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3fafff3750884c8e/Desktop/Desktop/lakshmi/sweety/Coding Challange/Day 5/"/>
    </mc:Choice>
  </mc:AlternateContent>
  <xr:revisionPtr revIDLastSave="536" documentId="8_{D5715315-A600-4CB9-9B63-43D93AAE2D26}" xr6:coauthVersionLast="47" xr6:coauthVersionMax="47" xr10:uidLastSave="{72D22F18-62FA-4557-B726-367541404C3C}"/>
  <bookViews>
    <workbookView xWindow="-108" yWindow="-108" windowWidth="23256" windowHeight="12456" xr2:uid="{F5A7260B-29B6-4530-AF74-A3F77C2333B1}"/>
  </bookViews>
  <sheets>
    <sheet name="Summary dashboard" sheetId="11" r:id="rId1"/>
    <sheet name="Data &amp; calculations" sheetId="2" r:id="rId2"/>
    <sheet name="Detailed analysis" sheetId="3" r:id="rId3"/>
    <sheet name="Recommendations" sheetId="12" r:id="rId4"/>
  </sheets>
  <definedNames>
    <definedName name="ExternalData_1" localSheetId="1" hidden="1">'Data &amp; calculations'!$A$1:$G$151</definedName>
    <definedName name="Slicer_assigned_analyst">#N/A</definedName>
    <definedName name="Slicer_category">#N/A</definedName>
    <definedName name="Slicer_day_of_week">#N/A</definedName>
    <definedName name="Slicer_priority">#N/A</definedName>
    <definedName name="Slicer_resolution_time_hrs">#N/A</definedName>
  </definedNames>
  <calcPr calcId="191029"/>
  <pivotCaches>
    <pivotCache cacheId="16"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5" i="3" l="1"/>
  <c r="B86" i="3"/>
  <c r="B87" i="3"/>
  <c r="B88" i="3"/>
  <c r="B89" i="3"/>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F8E51C-6002-45F3-872C-AE64C895A488}" keepAlive="1" name="Query - help_desk_tickets" description="Connection to the 'help_desk_tickets' query in the workbook." type="5" refreshedVersion="8" background="1" saveData="1">
    <dbPr connection="Provider=Microsoft.Mashup.OleDb.1;Data Source=$Workbook$;Location=help_desk_tickets;Extended Properties=&quot;&quot;" command="SELECT * FROM [help_desk_tickets]"/>
  </connection>
</connections>
</file>

<file path=xl/sharedStrings.xml><?xml version="1.0" encoding="utf-8"?>
<sst xmlns="http://schemas.openxmlformats.org/spreadsheetml/2006/main" count="842" uniqueCount="385">
  <si>
    <t>ticket_id</t>
  </si>
  <si>
    <t>submission_date</t>
  </si>
  <si>
    <t>resolution_date</t>
  </si>
  <si>
    <t>category</t>
  </si>
  <si>
    <t>assigned_analyst</t>
  </si>
  <si>
    <t>description</t>
  </si>
  <si>
    <t>priority</t>
  </si>
  <si>
    <t>TICKET-1000</t>
  </si>
  <si>
    <t>Other</t>
  </si>
  <si>
    <t>Toni Wiley</t>
  </si>
  <si>
    <t>Dream part subject until full. Brother century suddenly above. Six eight benefit animal move best.</t>
  </si>
  <si>
    <t>High</t>
  </si>
  <si>
    <t>TICKET-1001</t>
  </si>
  <si>
    <t>Software</t>
  </si>
  <si>
    <t>Tanya Jones</t>
  </si>
  <si>
    <t>Application X is crashing every time I open it. Lead how phone also score player later blue.</t>
  </si>
  <si>
    <t>Medium</t>
  </si>
  <si>
    <t>TICKET-1002</t>
  </si>
  <si>
    <t>Sheila Ball</t>
  </si>
  <si>
    <t>Black attack cold would page. Reality she war a chance. Physical hour Mr item red agreement for.</t>
  </si>
  <si>
    <t>TICKET-1003</t>
  </si>
  <si>
    <t>Hardware</t>
  </si>
  <si>
    <t>Cynthia Rich</t>
  </si>
  <si>
    <t>My laptop's keyboard isn't working properly, some keys are stuck. Tree culture above effort more national whether.</t>
  </si>
  <si>
    <t>TICKET-1004</t>
  </si>
  <si>
    <t>Janice Burns</t>
  </si>
  <si>
    <t>Application X is crashing every time I open it. Order wrong fight foreign bad house pick.</t>
  </si>
  <si>
    <t>TICKET-1005</t>
  </si>
  <si>
    <t>Application X is crashing every time I open it. Sport should network realize relate very voice.</t>
  </si>
  <si>
    <t>Low</t>
  </si>
  <si>
    <t>TICKET-1006</t>
  </si>
  <si>
    <t>Access</t>
  </si>
  <si>
    <t>Autumn Ryan</t>
  </si>
  <si>
    <t>I'm locked out of my account and can't reset my password. If rather year suffer wrong.</t>
  </si>
  <si>
    <t>TICKET-1007</t>
  </si>
  <si>
    <t>Amanda White</t>
  </si>
  <si>
    <t>Application X is crashing every time I open it. Here bill leg region training. Grow new may.</t>
  </si>
  <si>
    <t>TICKET-1008</t>
  </si>
  <si>
    <t>My laptop's keyboard isn't working properly, some keys are stuck. Common maintain theory involve ok detail.</t>
  </si>
  <si>
    <t>TICKET-1009</t>
  </si>
  <si>
    <t>Application X is crashing every time I open it. Responsibility again recently traditional word.</t>
  </si>
  <si>
    <t>TICKET-1010</t>
  </si>
  <si>
    <t>Adam Stone</t>
  </si>
  <si>
    <t>Application X is crashing every time I open it. Structure this woman born.</t>
  </si>
  <si>
    <t>TICKET-1011</t>
  </si>
  <si>
    <t>Network</t>
  </si>
  <si>
    <t>Natasha Harris</t>
  </si>
  <si>
    <t>Can't connect to the Wi-Fi. It's showing 'No internet access'. Maintain without college strong few not week.</t>
  </si>
  <si>
    <t>TICKET-1012</t>
  </si>
  <si>
    <t>Can't connect to the Wi-Fi. It's showing 'No internet access'. Official human task door century energy Mr.</t>
  </si>
  <si>
    <t>TICKET-1013</t>
  </si>
  <si>
    <t>Application X is crashing every time I open it. Spring operation performance glass choice kind.</t>
  </si>
  <si>
    <t>TICKET-1014</t>
  </si>
  <si>
    <t>Application X is crashing every time I open it. Summer yard maintain fire ask eight.</t>
  </si>
  <si>
    <t>TICKET-1015</t>
  </si>
  <si>
    <t>Marvin West</t>
  </si>
  <si>
    <t>Application X is crashing every time I open it. Least check between event. Can brother two form.</t>
  </si>
  <si>
    <t>TICKET-1016</t>
  </si>
  <si>
    <t>Application X is crashing every time I open it. Resource in affect charge customer accept dream.</t>
  </si>
  <si>
    <t>TICKET-1017</t>
  </si>
  <si>
    <t>Security</t>
  </si>
  <si>
    <t>Thought national word picture each deep.</t>
  </si>
  <si>
    <t>TICKET-1018</t>
  </si>
  <si>
    <t>Can't connect to the Wi-Fi. It's showing 'No internet access'. Card series research else cup though artist.</t>
  </si>
  <si>
    <t>TICKET-1019</t>
  </si>
  <si>
    <t>My laptop's keyboard isn't working properly, some keys are stuck. Young up grow after offer east region would.</t>
  </si>
  <si>
    <t>TICKET-1020</t>
  </si>
  <si>
    <t>Application X is crashing every time I open it. Nice then management.</t>
  </si>
  <si>
    <t>TICKET-1021</t>
  </si>
  <si>
    <t>Application X is crashing every time I open it. Water act involve follow hot.</t>
  </si>
  <si>
    <t>TICKET-1022</t>
  </si>
  <si>
    <t>Application X is crashing every time I open it. Another such apply table let.</t>
  </si>
  <si>
    <t>TICKET-1023</t>
  </si>
  <si>
    <t>Application X is crashing every time I open it. Senior per draw day mention sea quickly.</t>
  </si>
  <si>
    <t>TICKET-1024</t>
  </si>
  <si>
    <t>Can't connect to the Wi-Fi. It's showing 'No internet access'. Race Republican expect east might collection.</t>
  </si>
  <si>
    <t>TICKET-1025</t>
  </si>
  <si>
    <t>Application X is crashing every time I open it. Total maintain service writer.</t>
  </si>
  <si>
    <t>TICKET-1026</t>
  </si>
  <si>
    <t>Can't connect to the Wi-Fi. It's showing 'No internet access'. Individual herself decide generation.</t>
  </si>
  <si>
    <t>TICKET-1027</t>
  </si>
  <si>
    <t>Billing</t>
  </si>
  <si>
    <t>Yourself floor foot character choose. Brother prepare but film key name.</t>
  </si>
  <si>
    <t>TICKET-1028</t>
  </si>
  <si>
    <t>Successful radio play network yet. Fill director direction ready white.</t>
  </si>
  <si>
    <t>TICKET-1029</t>
  </si>
  <si>
    <t>Application X is crashing every time I open it. Southern beat general first much hotel agency.</t>
  </si>
  <si>
    <t>TICKET-1030</t>
  </si>
  <si>
    <t>Can't connect to the Wi-Fi. It's showing 'No internet access'. Cup government by life reduce each customer.</t>
  </si>
  <si>
    <t>TICKET-1031</t>
  </si>
  <si>
    <t>Application X is crashing every time I open it. Market growth film.</t>
  </si>
  <si>
    <t>TICKET-1032</t>
  </si>
  <si>
    <t>Can't connect to the Wi-Fi. It's showing 'No internet access'. Could north state feel others participant.</t>
  </si>
  <si>
    <t>TICKET-1033</t>
  </si>
  <si>
    <t>Follow chair add finally these plan staff. Across shoulder school free.</t>
  </si>
  <si>
    <t>TICKET-1034</t>
  </si>
  <si>
    <t>Application X is crashing every time I open it. Bag half join treat water by affect.</t>
  </si>
  <si>
    <t>TICKET-1035</t>
  </si>
  <si>
    <t>My laptop's keyboard isn't working properly, some keys are stuck. Science bad news pressure anything probably save.</t>
  </si>
  <si>
    <t>TICKET-1036</t>
  </si>
  <si>
    <t>Application X is crashing every time I open it. Fund project find law identify close worker.</t>
  </si>
  <si>
    <t>TICKET-1037</t>
  </si>
  <si>
    <t>Rate play media air. Trade thank hundred choice reduce remember possible us.</t>
  </si>
  <si>
    <t>TICKET-1038</t>
  </si>
  <si>
    <t>Application X is crashing every time I open it. Effort avoid door shoulder cut.</t>
  </si>
  <si>
    <t>TICKET-1039</t>
  </si>
  <si>
    <t>I'm locked out of my account and can't reset my password. Point fine stop radio chair tree career scene.</t>
  </si>
  <si>
    <t>TICKET-1040</t>
  </si>
  <si>
    <t>Can't connect to the Wi-Fi. It's showing 'No internet access'. Simple practice operation move put.</t>
  </si>
  <si>
    <t>TICKET-1041</t>
  </si>
  <si>
    <t>My laptop's keyboard isn't working properly, some keys are stuck. Firm discuss audience say amount.</t>
  </si>
  <si>
    <t>TICKET-1042</t>
  </si>
  <si>
    <t>Physical business information.
Activity else house another. Still protect admit answer.</t>
  </si>
  <si>
    <t>TICKET-1043</t>
  </si>
  <si>
    <t>Application X is crashing every time I open it. Anything despite not.</t>
  </si>
  <si>
    <t>Critical</t>
  </si>
  <si>
    <t>TICKET-1044</t>
  </si>
  <si>
    <t>My laptop's keyboard isn't working properly, some keys are stuck. Film answer tax different carry represent.</t>
  </si>
  <si>
    <t>TICKET-1045</t>
  </si>
  <si>
    <t>Application X is crashing every time I open it. American computer let go event.</t>
  </si>
  <si>
    <t>TICKET-1046</t>
  </si>
  <si>
    <t>Can't connect to the Wi-Fi. It's showing 'No internet access'. Build oil wait community less happen.</t>
  </si>
  <si>
    <t>TICKET-1047</t>
  </si>
  <si>
    <t>I'm locked out of my account and can't reset my password. Decide stuff agree national politics current son.</t>
  </si>
  <si>
    <t>TICKET-1048</t>
  </si>
  <si>
    <t>Can't connect to the Wi-Fi. It's showing 'No internet access'. Phone interview worker could.</t>
  </si>
  <si>
    <t>TICKET-1049</t>
  </si>
  <si>
    <t>Can't connect to the Wi-Fi. It's showing 'No internet access'. Together life least mission.</t>
  </si>
  <si>
    <t>TICKET-1050</t>
  </si>
  <si>
    <t>If forget newspaper behavior note put. Almost affect entire. Trial set capital real.</t>
  </si>
  <si>
    <t>TICKET-1051</t>
  </si>
  <si>
    <t>Application X is crashing every time I open it. My sound short.</t>
  </si>
  <si>
    <t>TICKET-1052</t>
  </si>
  <si>
    <t>Application X is crashing every time I open it. Where culture site value set.</t>
  </si>
  <si>
    <t>TICKET-1053</t>
  </si>
  <si>
    <t>Application X is crashing every time I open it. Go claim billion small experience old.</t>
  </si>
  <si>
    <t>TICKET-1054</t>
  </si>
  <si>
    <t>Can't connect to the Wi-Fi. It's showing 'No internet access'. Option name including.</t>
  </si>
  <si>
    <t>TICKET-1055</t>
  </si>
  <si>
    <t>I'm locked out of my account and can't reset my password. Idea enter expert decision something.</t>
  </si>
  <si>
    <t>TICKET-1056</t>
  </si>
  <si>
    <t>Through culture similar finally. Oil world money about fine street small.</t>
  </si>
  <si>
    <t>TICKET-1057</t>
  </si>
  <si>
    <t>Weight go sort sign law response since. Sister other actually Mrs fight everything get.</t>
  </si>
  <si>
    <t>TICKET-1058</t>
  </si>
  <si>
    <t>Particular ask company nearly exist exactly friend.</t>
  </si>
  <si>
    <t>TICKET-1059</t>
  </si>
  <si>
    <t>Application X is crashing every time I open it. Skin subject purpose baby training.</t>
  </si>
  <si>
    <t>TICKET-1060</t>
  </si>
  <si>
    <t>My laptop's keyboard isn't working properly, some keys are stuck. Than none office improve.</t>
  </si>
  <si>
    <t>TICKET-1061</t>
  </si>
  <si>
    <t>Application X is crashing every time I open it. With because article scene father black.</t>
  </si>
  <si>
    <t>TICKET-1062</t>
  </si>
  <si>
    <t>Application X is crashing every time I open it. Food pass energy fund need read anything.</t>
  </si>
  <si>
    <t>TICKET-1063</t>
  </si>
  <si>
    <t>I'm locked out of my account and can't reset my password. Agreement news significant cultural agree.</t>
  </si>
  <si>
    <t>TICKET-1064</t>
  </si>
  <si>
    <t>I'm locked out of my account and can't reset my password. Especially under always tend teacher build.</t>
  </si>
  <si>
    <t>TICKET-1065</t>
  </si>
  <si>
    <t>Can't connect to the Wi-Fi. It's showing 'No internet access'. Child as debate economy.</t>
  </si>
  <si>
    <t>TICKET-1066</t>
  </si>
  <si>
    <t>My laptop's keyboard isn't working properly, some keys are stuck. Someone poor mission fill free.</t>
  </si>
  <si>
    <t>TICKET-1067</t>
  </si>
  <si>
    <t>Can't connect to the Wi-Fi. It's showing 'No internet access'. Represent safe scene wall dog.</t>
  </si>
  <si>
    <t>TICKET-1068</t>
  </si>
  <si>
    <t>Application X is crashing every time I open it. Claim success those baby.</t>
  </si>
  <si>
    <t>TICKET-1069</t>
  </si>
  <si>
    <t>Application X is crashing every time I open it. Term lot their. Dark itself deal race Democrat.</t>
  </si>
  <si>
    <t>TICKET-1070</t>
  </si>
  <si>
    <t>My laptop's keyboard isn't working properly, some keys are stuck. Bad past glass strategy. Above skin station.</t>
  </si>
  <si>
    <t>TICKET-1071</t>
  </si>
  <si>
    <t>Application X is crashing every time I open it. Tv control generation away public remain.</t>
  </si>
  <si>
    <t>TICKET-1072</t>
  </si>
  <si>
    <t>Can't connect to the Wi-Fi. It's showing 'No internet access'. Alone skill foot benefit.</t>
  </si>
  <si>
    <t>TICKET-1073</t>
  </si>
  <si>
    <t>Media respond them indicate. Up movie television stop. Garden ten city already close.</t>
  </si>
  <si>
    <t>TICKET-1074</t>
  </si>
  <si>
    <t>Lay support mouth control understand could. Husband for evening upon involve.</t>
  </si>
  <si>
    <t>TICKET-1075</t>
  </si>
  <si>
    <t>Company month civil season include. Onto life for both little.</t>
  </si>
  <si>
    <t>TICKET-1076</t>
  </si>
  <si>
    <t>Application X is crashing every time I open it. Candidate push mind exactly feel.</t>
  </si>
  <si>
    <t>TICKET-1077</t>
  </si>
  <si>
    <t>Writer city suffer within important recently difference. Wait only relationship free.</t>
  </si>
  <si>
    <t>TICKET-1078</t>
  </si>
  <si>
    <t>Application X is crashing every time I open it. Form customer bill interest remember which.</t>
  </si>
  <si>
    <t>TICKET-1079</t>
  </si>
  <si>
    <t>Can't connect to the Wi-Fi. It's showing 'No internet access'. Agree begin guess ask choice low themselves born.</t>
  </si>
  <si>
    <t>TICKET-1080</t>
  </si>
  <si>
    <t>Application X is crashing every time I open it. Center worry nor whole.</t>
  </si>
  <si>
    <t>TICKET-1081</t>
  </si>
  <si>
    <t>I'm locked out of my account and can't reset my password. Miss son responsibility hour.</t>
  </si>
  <si>
    <t>TICKET-1082</t>
  </si>
  <si>
    <t>Application X is crashing every time I open it. Develop course foreign no either.</t>
  </si>
  <si>
    <t>TICKET-1083</t>
  </si>
  <si>
    <t>Public husband return country service very. Be exactly time firm yard price bad.</t>
  </si>
  <si>
    <t>TICKET-1084</t>
  </si>
  <si>
    <t>My laptop's keyboard isn't working properly, some keys are stuck. Perform author more owner girl message.</t>
  </si>
  <si>
    <t>TICKET-1085</t>
  </si>
  <si>
    <t>I'm locked out of my account and can't reset my password. Church stop environment.</t>
  </si>
  <si>
    <t>TICKET-1086</t>
  </si>
  <si>
    <t>Application X is crashing every time I open it. Everyone body modern feeling shake loss.</t>
  </si>
  <si>
    <t>TICKET-1087</t>
  </si>
  <si>
    <t>My laptop's keyboard isn't working properly, some keys are stuck. Whole material thus despite firm more.</t>
  </si>
  <si>
    <t>TICKET-1088</t>
  </si>
  <si>
    <t>Application X is crashing every time I open it. Until statement century seat vote never.</t>
  </si>
  <si>
    <t>TICKET-1089</t>
  </si>
  <si>
    <t>Application X is crashing every time I open it. Big season the.</t>
  </si>
  <si>
    <t>TICKET-1090</t>
  </si>
  <si>
    <t>Application X is crashing every time I open it. Usually career attention realize.</t>
  </si>
  <si>
    <t>TICKET-1091</t>
  </si>
  <si>
    <t>Application X is crashing every time I open it. Firm tonight statement feel Mrs music.</t>
  </si>
  <si>
    <t>TICKET-1092</t>
  </si>
  <si>
    <t>Can't connect to the Wi-Fi. It's showing 'No internet access'. Life change act. Through imagine again whole.</t>
  </si>
  <si>
    <t>TICKET-1093</t>
  </si>
  <si>
    <t>Including development attack wide. Concern his environment attack program rest team.</t>
  </si>
  <si>
    <t>TICKET-1094</t>
  </si>
  <si>
    <t>I'm locked out of my account and can't reset my password. Another collection another many.</t>
  </si>
  <si>
    <t>TICKET-1095</t>
  </si>
  <si>
    <t>Compare or at environmental. Six what them fall. Husband certain institution phone resource blood.</t>
  </si>
  <si>
    <t>TICKET-1096</t>
  </si>
  <si>
    <t>I'm locked out of my account and can't reset my password. Medical let door front. Law end always.</t>
  </si>
  <si>
    <t>TICKET-1097</t>
  </si>
  <si>
    <t>My laptop's keyboard isn't working properly, some keys are stuck. Rich fire power city. Water career next relate.</t>
  </si>
  <si>
    <t>TICKET-1098</t>
  </si>
  <si>
    <t>Application X is crashing every time I open it. Result happy song want finish stuff.</t>
  </si>
  <si>
    <t>TICKET-1099</t>
  </si>
  <si>
    <t>My laptop's keyboard isn't working properly, some keys are stuck. Themselves big matter happy small.</t>
  </si>
  <si>
    <t>TICKET-1100</t>
  </si>
  <si>
    <t>Application X is crashing every time I open it. Agent will respond help.</t>
  </si>
  <si>
    <t>TICKET-1101</t>
  </si>
  <si>
    <t>Application X is crashing every time I open it. Short commercial everybody difficult change.</t>
  </si>
  <si>
    <t>TICKET-1102</t>
  </si>
  <si>
    <t>Any today within none hot again green. Remember attack event view father.</t>
  </si>
  <si>
    <t>TICKET-1103</t>
  </si>
  <si>
    <t>Application X is crashing every time I open it. Represent senior his finish include nothing.</t>
  </si>
  <si>
    <t>TICKET-1104</t>
  </si>
  <si>
    <t>She certain boy build. Test bag country president environment.</t>
  </si>
  <si>
    <t>TICKET-1105</t>
  </si>
  <si>
    <t>Can't connect to the Wi-Fi. It's showing 'No internet access'. Hair job save son.</t>
  </si>
  <si>
    <t>TICKET-1106</t>
  </si>
  <si>
    <t>Growth middle establish public.</t>
  </si>
  <si>
    <t>TICKET-1107</t>
  </si>
  <si>
    <t>My laptop's keyboard isn't working properly, some keys are stuck. Produce require line letter listen often.</t>
  </si>
  <si>
    <t>TICKET-1108</t>
  </si>
  <si>
    <t>My laptop's keyboard isn't working properly, some keys are stuck. At bag continue.</t>
  </si>
  <si>
    <t>TICKET-1109</t>
  </si>
  <si>
    <t>Application X is crashing every time I open it. Without pass book tend.</t>
  </si>
  <si>
    <t>TICKET-1110</t>
  </si>
  <si>
    <t>I'm locked out of my account and can't reset my password. Right where add.</t>
  </si>
  <si>
    <t>TICKET-1111</t>
  </si>
  <si>
    <t>Application X is crashing every time I open it. Argue team senior low training.</t>
  </si>
  <si>
    <t>TICKET-1112</t>
  </si>
  <si>
    <t>Plant attack should. Drive international today. Pretty statement her upon nation.</t>
  </si>
  <si>
    <t>TICKET-1113</t>
  </si>
  <si>
    <t>My laptop's keyboard isn't working properly, some keys are stuck. Chance place build body population.</t>
  </si>
  <si>
    <t>TICKET-1114</t>
  </si>
  <si>
    <t>Something million activity. Interview under cover career under. Can address show public.</t>
  </si>
  <si>
    <t>TICKET-1115</t>
  </si>
  <si>
    <t>I'm locked out of my account and can't reset my password. Receive nature option oil read trouble.</t>
  </si>
  <si>
    <t>TICKET-1116</t>
  </si>
  <si>
    <t>Application X is crashing every time I open it. Toward ago director condition food share meet.</t>
  </si>
  <si>
    <t>TICKET-1117</t>
  </si>
  <si>
    <t>I'm locked out of my account and can't reset my password. For we when drive. Start identify now throw.</t>
  </si>
  <si>
    <t>TICKET-1118</t>
  </si>
  <si>
    <t>Even focus animal civil quality lay skill. Need maybe former return.</t>
  </si>
  <si>
    <t>TICKET-1119</t>
  </si>
  <si>
    <t>My laptop's keyboard isn't working properly, some keys are stuck. Cup money work certainly color.</t>
  </si>
  <si>
    <t>TICKET-1120</t>
  </si>
  <si>
    <t>Clear late win beat. Those arm say year him science door.</t>
  </si>
  <si>
    <t>TICKET-1121</t>
  </si>
  <si>
    <t>I'm locked out of my account and can't reset my password. Purpose almost nature create authority company.</t>
  </si>
  <si>
    <t>TICKET-1122</t>
  </si>
  <si>
    <t>Application X is crashing every time I open it. Garden better chance impact where how member.</t>
  </si>
  <si>
    <t>TICKET-1123</t>
  </si>
  <si>
    <t>Can't connect to the Wi-Fi. It's showing 'No internet access'. Bag without else red. Able year decision others.</t>
  </si>
  <si>
    <t>TICKET-1124</t>
  </si>
  <si>
    <t>Police machine star. Computer lead control across blue eye force. Parent set professor sit couple.</t>
  </si>
  <si>
    <t>TICKET-1125</t>
  </si>
  <si>
    <t>Group resource dinner knowledge scientist Mr. Police simply enter training too.</t>
  </si>
  <si>
    <t>TICKET-1126</t>
  </si>
  <si>
    <t>My laptop's keyboard isn't working properly, some keys are stuck. Go wear understand relate.</t>
  </si>
  <si>
    <t>TICKET-1127</t>
  </si>
  <si>
    <t>Application X is crashing every time I open it. Gas mother rate wind fight success medical.</t>
  </si>
  <si>
    <t>TICKET-1128</t>
  </si>
  <si>
    <t>Can't connect to the Wi-Fi. It's showing 'No internet access'. These entire million eat play sit.</t>
  </si>
  <si>
    <t>TICKET-1129</t>
  </si>
  <si>
    <t>Draw once season talk forward. Decision partner north realize finish one question.</t>
  </si>
  <si>
    <t>TICKET-1130</t>
  </si>
  <si>
    <t>Catch travel form bar pretty himself team. Light suffer evidence land ok may guy.</t>
  </si>
  <si>
    <t>TICKET-1131</t>
  </si>
  <si>
    <t>Act believe heavy watch best game part. Too language mean. Cut age personal resource.</t>
  </si>
  <si>
    <t>TICKET-1132</t>
  </si>
  <si>
    <t>Year name message voice data. Protect word up today. Break drop already life.</t>
  </si>
  <si>
    <t>TICKET-1133</t>
  </si>
  <si>
    <t>I'm locked out of my account and can't reset my password. Maintain tree story research hair why.</t>
  </si>
  <si>
    <t>TICKET-1134</t>
  </si>
  <si>
    <t>Memory process group arm attack indicate mother. View three prepare by.</t>
  </si>
  <si>
    <t>TICKET-1135</t>
  </si>
  <si>
    <t>Foreign sign be money cup raise keep. Right scene market.</t>
  </si>
  <si>
    <t>TICKET-1136</t>
  </si>
  <si>
    <t>My laptop's keyboard isn't working properly, some keys are stuck. Certain six among before.</t>
  </si>
  <si>
    <t>TICKET-1137</t>
  </si>
  <si>
    <t>My laptop's keyboard isn't working properly, some keys are stuck. Ago his against point garden drug.</t>
  </si>
  <si>
    <t>TICKET-1138</t>
  </si>
  <si>
    <t>Application X is crashing every time I open it. Any state food citizen.</t>
  </si>
  <si>
    <t>TICKET-1139</t>
  </si>
  <si>
    <t>Can't connect to the Wi-Fi. It's showing 'No internet access'. He particularly begin save area finally word.</t>
  </si>
  <si>
    <t>TICKET-1140</t>
  </si>
  <si>
    <t>My laptop's keyboard isn't working properly, some keys are stuck. Serious simply mind cost movie actually.</t>
  </si>
  <si>
    <t>TICKET-1141</t>
  </si>
  <si>
    <t>My laptop's keyboard isn't working properly, some keys are stuck. Social approach mother white.</t>
  </si>
  <si>
    <t>TICKET-1142</t>
  </si>
  <si>
    <t>Can't connect to the Wi-Fi. It's showing 'No internet access'. Enter room up sound nature.</t>
  </si>
  <si>
    <t>TICKET-1143</t>
  </si>
  <si>
    <t>My laptop's keyboard isn't working properly, some keys are stuck. Effort to since question.</t>
  </si>
  <si>
    <t>TICKET-1144</t>
  </si>
  <si>
    <t>Application X is crashing every time I open it. These drive president building.</t>
  </si>
  <si>
    <t>TICKET-1145</t>
  </si>
  <si>
    <t>Suddenly effort she without without.</t>
  </si>
  <si>
    <t>TICKET-1146</t>
  </si>
  <si>
    <t>Can't connect to the Wi-Fi. It's showing 'No internet access'. Should that nation can difficult nice.</t>
  </si>
  <si>
    <t>TICKET-1147</t>
  </si>
  <si>
    <t>Look scene real owner agent whose specific. Along they yourself character year or behind.</t>
  </si>
  <si>
    <t>TICKET-1148</t>
  </si>
  <si>
    <t>You reflect radio. Especially speech wish interesting wife.</t>
  </si>
  <si>
    <t>TICKET-1149</t>
  </si>
  <si>
    <t>My laptop's keyboard isn't working properly, some keys are stuck. Event pattern factor deep manager work.</t>
  </si>
  <si>
    <t>resolution time(hrs)</t>
  </si>
  <si>
    <t>day of week</t>
  </si>
  <si>
    <t>month name</t>
  </si>
  <si>
    <t>hour of submission</t>
  </si>
  <si>
    <t>Count of ticket_id</t>
  </si>
  <si>
    <t>Sun</t>
  </si>
  <si>
    <t>Mon</t>
  </si>
  <si>
    <t>Tue</t>
  </si>
  <si>
    <t>Wed</t>
  </si>
  <si>
    <t>Thu</t>
  </si>
  <si>
    <t>Fri</t>
  </si>
  <si>
    <t>Sat</t>
  </si>
  <si>
    <t>Grand Total</t>
  </si>
  <si>
    <t>Jun</t>
  </si>
  <si>
    <t>Jul</t>
  </si>
  <si>
    <t>Aug</t>
  </si>
  <si>
    <t>Sep</t>
  </si>
  <si>
    <t>Day of week</t>
  </si>
  <si>
    <t>Month</t>
  </si>
  <si>
    <t>Average of resolution time(hrs)</t>
  </si>
  <si>
    <t>Priority</t>
  </si>
  <si>
    <t>Category</t>
  </si>
  <si>
    <t>Keyword detection</t>
  </si>
  <si>
    <t>Count of login keyword</t>
  </si>
  <si>
    <t>Count of password keyword</t>
  </si>
  <si>
    <t>Count of network keyword</t>
  </si>
  <si>
    <t>Count of performance keyword</t>
  </si>
  <si>
    <t>Count of others keyword</t>
  </si>
  <si>
    <t>Assigned analyst</t>
  </si>
  <si>
    <t>TICKET TRENDS</t>
  </si>
  <si>
    <t>RESOLUTION TIME ANALYSIS</t>
  </si>
  <si>
    <t>TOP PROBLEMS</t>
  </si>
  <si>
    <t>ANALYST PERFORMANCE</t>
  </si>
  <si>
    <t>1. Automate Repetitive Issues</t>
  </si>
  <si>
    <r>
      <t xml:space="preserve">Implement a </t>
    </r>
    <r>
      <rPr>
        <b/>
        <sz val="11"/>
        <color theme="1"/>
        <rFont val="Calibri"/>
        <family val="2"/>
        <scheme val="minor"/>
      </rPr>
      <t>self-service password reset system</t>
    </r>
    <r>
      <rPr>
        <sz val="11"/>
        <color theme="1"/>
        <rFont val="Calibri"/>
        <family val="2"/>
        <scheme val="minor"/>
      </rPr>
      <t xml:space="preserve"> to reduce access-related tickets.</t>
    </r>
  </si>
  <si>
    <r>
      <t xml:space="preserve">Automate common requests like </t>
    </r>
    <r>
      <rPr>
        <b/>
        <sz val="11"/>
        <color theme="1"/>
        <rFont val="Calibri"/>
        <family val="2"/>
        <scheme val="minor"/>
      </rPr>
      <t>software installation and account unlocks</t>
    </r>
    <r>
      <rPr>
        <sz val="11"/>
        <color theme="1"/>
        <rFont val="Calibri"/>
        <family val="2"/>
        <scheme val="minor"/>
      </rPr>
      <t>.</t>
    </r>
  </si>
  <si>
    <t>🌐 2. Improve Network Reliability</t>
  </si>
  <si>
    <r>
      <t xml:space="preserve">Deploy </t>
    </r>
    <r>
      <rPr>
        <b/>
        <sz val="11"/>
        <color theme="1"/>
        <rFont val="Calibri"/>
        <family val="2"/>
        <scheme val="minor"/>
      </rPr>
      <t>network monitoring tools</t>
    </r>
    <r>
      <rPr>
        <sz val="11"/>
        <color theme="1"/>
        <rFont val="Calibri"/>
        <family val="2"/>
        <scheme val="minor"/>
      </rPr>
      <t xml:space="preserve"> to detect and resolve issues proactively.</t>
    </r>
  </si>
  <si>
    <t>Upgrade infrastructure to reduce frequent connectivity complaints.</t>
  </si>
  <si>
    <t>👨‍💻 3. Optimize Analyst Performance</t>
  </si>
  <si>
    <r>
      <t xml:space="preserve">Provide </t>
    </r>
    <r>
      <rPr>
        <b/>
        <sz val="11"/>
        <color theme="1"/>
        <rFont val="Calibri"/>
        <family val="2"/>
        <scheme val="minor"/>
      </rPr>
      <t>training and support</t>
    </r>
    <r>
      <rPr>
        <sz val="11"/>
        <color theme="1"/>
        <rFont val="Calibri"/>
        <family val="2"/>
        <scheme val="minor"/>
      </rPr>
      <t xml:space="preserve"> for analysts with higher resolution times.</t>
    </r>
  </si>
  <si>
    <r>
      <t xml:space="preserve">Introduce </t>
    </r>
    <r>
      <rPr>
        <b/>
        <sz val="11"/>
        <color theme="1"/>
        <rFont val="Calibri"/>
        <family val="2"/>
        <scheme val="minor"/>
      </rPr>
      <t>performance tracking metrics</t>
    </r>
    <r>
      <rPr>
        <sz val="11"/>
        <color theme="1"/>
        <rFont val="Calibri"/>
        <family val="2"/>
        <scheme val="minor"/>
      </rPr>
      <t xml:space="preserve"> to improve accountability.</t>
    </r>
  </si>
  <si>
    <t>⏰ 4. Resource Planning &amp; Staffing</t>
  </si>
  <si>
    <r>
      <t xml:space="preserve">Increase staffing during </t>
    </r>
    <r>
      <rPr>
        <b/>
        <sz val="11"/>
        <color theme="1"/>
        <rFont val="Calibri"/>
        <family val="2"/>
        <scheme val="minor"/>
      </rPr>
      <t>peak hours and high-volume days</t>
    </r>
    <r>
      <rPr>
        <sz val="11"/>
        <color theme="1"/>
        <rFont val="Calibri"/>
        <family val="2"/>
        <scheme val="minor"/>
      </rPr>
      <t>.</t>
    </r>
  </si>
  <si>
    <r>
      <t xml:space="preserve">Implement </t>
    </r>
    <r>
      <rPr>
        <b/>
        <sz val="11"/>
        <color theme="1"/>
        <rFont val="Calibri"/>
        <family val="2"/>
        <scheme val="minor"/>
      </rPr>
      <t>shift planning</t>
    </r>
    <r>
      <rPr>
        <sz val="11"/>
        <color theme="1"/>
        <rFont val="Calibri"/>
        <family val="2"/>
        <scheme val="minor"/>
      </rPr>
      <t xml:space="preserve"> based on ticket trends to balance workload.</t>
    </r>
  </si>
  <si>
    <t>📚 5. Build Knowledge Base</t>
  </si>
  <si>
    <r>
      <t xml:space="preserve">Create a centralized </t>
    </r>
    <r>
      <rPr>
        <b/>
        <sz val="11"/>
        <color theme="1"/>
        <rFont val="Calibri"/>
        <family val="2"/>
        <scheme val="minor"/>
      </rPr>
      <t>FAQ / knowledge base</t>
    </r>
    <r>
      <rPr>
        <sz val="11"/>
        <color theme="1"/>
        <rFont val="Calibri"/>
        <family val="2"/>
        <scheme val="minor"/>
      </rPr>
      <t xml:space="preserve"> for common issues.</t>
    </r>
  </si>
  <si>
    <t>Encourage users to resolve simple problems without raising tickets.</t>
  </si>
  <si>
    <t>🤖 6. Introduce Smart Ticketing System</t>
  </si>
  <si>
    <r>
      <t xml:space="preserve">Use </t>
    </r>
    <r>
      <rPr>
        <b/>
        <sz val="11"/>
        <color theme="1"/>
        <rFont val="Calibri"/>
        <family val="2"/>
        <scheme val="minor"/>
      </rPr>
      <t>AI-based ticket categorization and prioritization</t>
    </r>
    <r>
      <rPr>
        <sz val="11"/>
        <color theme="1"/>
        <rFont val="Calibri"/>
        <family val="2"/>
        <scheme val="minor"/>
      </rPr>
      <t xml:space="preserve"> to speed up assignment.</t>
    </r>
  </si>
  <si>
    <t>Auto-route tickets to the most suitable analyst.</t>
  </si>
  <si>
    <t>📊 7. Continuous Monitoring &amp; Improvement</t>
  </si>
  <si>
    <t>Regularly track:</t>
  </si>
  <si>
    <t>Ticket volume trends</t>
  </si>
  <si>
    <t>Resolution time</t>
  </si>
  <si>
    <t>Analyst performance</t>
  </si>
  <si>
    <r>
      <t xml:space="preserve">Use insights to </t>
    </r>
    <r>
      <rPr>
        <b/>
        <sz val="11"/>
        <color theme="1"/>
        <rFont val="Calibri"/>
        <family val="2"/>
        <scheme val="minor"/>
      </rPr>
      <t>continuously improve IT operations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</si>
</sst>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8"/>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2">
    <border>
      <left/>
      <right/>
      <top/>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applyNumberFormat="1"/>
    <xf numFmtId="22"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1" xfId="0" applyNumberFormat="1" applyFont="1" applyFill="1" applyBorder="1"/>
    <xf numFmtId="0" fontId="0" fillId="0" borderId="1" xfId="0" applyNumberFormat="1" applyFont="1" applyBorder="1"/>
    <xf numFmtId="9" fontId="0" fillId="0" borderId="0" xfId="1" applyFont="1"/>
    <xf numFmtId="0" fontId="4" fillId="0" borderId="0" xfId="0" applyFont="1" applyAlignment="1">
      <alignment horizontal="center" vertical="center"/>
    </xf>
    <xf numFmtId="0" fontId="5" fillId="0" borderId="0" xfId="0" applyFont="1" applyAlignment="1">
      <alignment horizontal="center" vertical="center"/>
    </xf>
    <xf numFmtId="0" fontId="5" fillId="0" borderId="0" xfId="0" applyFont="1" applyAlignment="1">
      <alignment horizontal="center"/>
    </xf>
    <xf numFmtId="0" fontId="4"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cellXfs>
  <cellStyles count="2">
    <cellStyle name="Normal" xfId="0" builtinId="0"/>
    <cellStyle name="Percent" xfId="1" builtinId="5"/>
  </cellStyles>
  <dxfs count="12">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s>
  <tableStyles count="0" defaultTableStyle="TableStyleMedium2" defaultPivotStyle="PivotStyleLight16"/>
  <colors>
    <mruColors>
      <color rgb="FFFF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analysis excel.xlsx]Detailed analysis!PivotTable1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Day wise tickets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'Detailed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'Detailed analysis'!$A$4:$A$11</c:f>
              <c:strCache>
                <c:ptCount val="7"/>
                <c:pt idx="0">
                  <c:v>Sun</c:v>
                </c:pt>
                <c:pt idx="1">
                  <c:v>Mon</c:v>
                </c:pt>
                <c:pt idx="2">
                  <c:v>Tue</c:v>
                </c:pt>
                <c:pt idx="3">
                  <c:v>Wed</c:v>
                </c:pt>
                <c:pt idx="4">
                  <c:v>Thu</c:v>
                </c:pt>
                <c:pt idx="5">
                  <c:v>Fri</c:v>
                </c:pt>
                <c:pt idx="6">
                  <c:v>Sat</c:v>
                </c:pt>
              </c:strCache>
            </c:strRef>
          </c:cat>
          <c:val>
            <c:numRef>
              <c:f>'Detailed analysis'!$B$4:$B$11</c:f>
              <c:numCache>
                <c:formatCode>General</c:formatCode>
                <c:ptCount val="7"/>
                <c:pt idx="0">
                  <c:v>26</c:v>
                </c:pt>
                <c:pt idx="1">
                  <c:v>19</c:v>
                </c:pt>
                <c:pt idx="2">
                  <c:v>22</c:v>
                </c:pt>
                <c:pt idx="3">
                  <c:v>24</c:v>
                </c:pt>
                <c:pt idx="4">
                  <c:v>23</c:v>
                </c:pt>
                <c:pt idx="5">
                  <c:v>16</c:v>
                </c:pt>
                <c:pt idx="6">
                  <c:v>20</c:v>
                </c:pt>
              </c:numCache>
            </c:numRef>
          </c:val>
          <c:extLst>
            <c:ext xmlns:c16="http://schemas.microsoft.com/office/drawing/2014/chart" uri="{C3380CC4-5D6E-409C-BE32-E72D297353CC}">
              <c16:uniqueId val="{00000000-3889-4BD4-8C29-B0F45836C97D}"/>
            </c:ext>
          </c:extLst>
        </c:ser>
        <c:dLbls>
          <c:dLblPos val="inEnd"/>
          <c:showLegendKey val="0"/>
          <c:showVal val="1"/>
          <c:showCatName val="0"/>
          <c:showSerName val="0"/>
          <c:showPercent val="0"/>
          <c:showBubbleSize val="0"/>
        </c:dLbls>
        <c:gapWidth val="65"/>
        <c:axId val="957262912"/>
        <c:axId val="957263392"/>
      </c:barChart>
      <c:catAx>
        <c:axId val="95726291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Day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7263392"/>
        <c:crosses val="autoZero"/>
        <c:auto val="1"/>
        <c:lblAlgn val="ctr"/>
        <c:lblOffset val="100"/>
        <c:noMultiLvlLbl val="0"/>
      </c:catAx>
      <c:valAx>
        <c:axId val="957263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Ticket id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5726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analysis excel.xlsx]Detailed analysis!PivotTable2</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analysis'!$B$20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'Detailed analysis'!$A$21:$A$25</c:f>
              <c:strCache>
                <c:ptCount val="4"/>
                <c:pt idx="0">
                  <c:v>Jun</c:v>
                </c:pt>
                <c:pt idx="1">
                  <c:v>Jul</c:v>
                </c:pt>
                <c:pt idx="2">
                  <c:v>Aug</c:v>
                </c:pt>
                <c:pt idx="3">
                  <c:v>Sep</c:v>
                </c:pt>
              </c:strCache>
            </c:strRef>
          </c:cat>
          <c:val>
            <c:numRef>
              <c:f>'Detailed analysis'!$B$21:$B$25</c:f>
              <c:numCache>
                <c:formatCode>General</c:formatCode>
                <c:ptCount val="4"/>
                <c:pt idx="0">
                  <c:v>27</c:v>
                </c:pt>
                <c:pt idx="1">
                  <c:v>51</c:v>
                </c:pt>
                <c:pt idx="2">
                  <c:v>45</c:v>
                </c:pt>
                <c:pt idx="3">
                  <c:v>27</c:v>
                </c:pt>
              </c:numCache>
            </c:numRef>
          </c:val>
          <c:smooth val="0"/>
          <c:extLst>
            <c:ext xmlns:c16="http://schemas.microsoft.com/office/drawing/2014/chart" uri="{C3380CC4-5D6E-409C-BE32-E72D297353CC}">
              <c16:uniqueId val="{00000000-8BA9-432D-A031-07C408F0C8CF}"/>
            </c:ext>
          </c:extLst>
        </c:ser>
        <c:dLbls>
          <c:dLblPos val="ctr"/>
          <c:showLegendKey val="0"/>
          <c:showVal val="1"/>
          <c:showCatName val="0"/>
          <c:showSerName val="0"/>
          <c:showPercent val="0"/>
          <c:showBubbleSize val="0"/>
        </c:dLbls>
        <c:marker val="1"/>
        <c:smooth val="0"/>
        <c:axId val="1068021904"/>
        <c:axId val="1068015184"/>
      </c:lineChart>
      <c:catAx>
        <c:axId val="10680219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8015184"/>
        <c:crosses val="autoZero"/>
        <c:auto val="1"/>
        <c:lblAlgn val="ctr"/>
        <c:lblOffset val="100"/>
        <c:noMultiLvlLbl val="0"/>
      </c:catAx>
      <c:valAx>
        <c:axId val="10680151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Ticket id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6802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analysis excel.xlsx]Detailed analysis!PivotTable3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resoultion time by priority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'Detailed analysis'!$B$44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'Detailed analysis'!$A$45:$A$49</c:f>
              <c:strCache>
                <c:ptCount val="4"/>
                <c:pt idx="0">
                  <c:v>Critical</c:v>
                </c:pt>
                <c:pt idx="1">
                  <c:v>High</c:v>
                </c:pt>
                <c:pt idx="2">
                  <c:v>Low</c:v>
                </c:pt>
                <c:pt idx="3">
                  <c:v>Medium</c:v>
                </c:pt>
              </c:strCache>
            </c:strRef>
          </c:cat>
          <c:val>
            <c:numRef>
              <c:f>'Detailed analysis'!$B$45:$B$49</c:f>
              <c:numCache>
                <c:formatCode>0.00</c:formatCode>
                <c:ptCount val="4"/>
                <c:pt idx="0">
                  <c:v>2.2080753471673233</c:v>
                </c:pt>
                <c:pt idx="1">
                  <c:v>6.6783504889067267</c:v>
                </c:pt>
                <c:pt idx="2">
                  <c:v>105.14095545498502</c:v>
                </c:pt>
                <c:pt idx="3">
                  <c:v>27.309928253952723</c:v>
                </c:pt>
              </c:numCache>
            </c:numRef>
          </c:val>
          <c:extLst>
            <c:ext xmlns:c16="http://schemas.microsoft.com/office/drawing/2014/chart" uri="{C3380CC4-5D6E-409C-BE32-E72D297353CC}">
              <c16:uniqueId val="{00000000-8A49-4937-B0A2-99DFBC9709CC}"/>
            </c:ext>
          </c:extLst>
        </c:ser>
        <c:dLbls>
          <c:showLegendKey val="0"/>
          <c:showVal val="1"/>
          <c:showCatName val="0"/>
          <c:showSerName val="0"/>
          <c:showPercent val="0"/>
          <c:showBubbleSize val="0"/>
        </c:dLbls>
        <c:gapWidth val="65"/>
        <c:shape val="box"/>
        <c:axId val="1008764528"/>
        <c:axId val="1008765008"/>
        <c:axId val="0"/>
      </c:bar3DChart>
      <c:catAx>
        <c:axId val="10087645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Priority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8765008"/>
        <c:crosses val="autoZero"/>
        <c:auto val="1"/>
        <c:lblAlgn val="ctr"/>
        <c:lblOffset val="100"/>
        <c:noMultiLvlLbl val="0"/>
      </c:catAx>
      <c:valAx>
        <c:axId val="100876500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Avg of resolution time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876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analysis excel.xlsx]Detailed analysis!PivotTable4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resolution time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'Detailed analysis'!$B$61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'Detailed analysis'!$A$62:$A$69</c:f>
              <c:strCache>
                <c:ptCount val="7"/>
                <c:pt idx="0">
                  <c:v>Access</c:v>
                </c:pt>
                <c:pt idx="1">
                  <c:v>Billing</c:v>
                </c:pt>
                <c:pt idx="2">
                  <c:v>Hardware</c:v>
                </c:pt>
                <c:pt idx="3">
                  <c:v>Network</c:v>
                </c:pt>
                <c:pt idx="4">
                  <c:v>Other</c:v>
                </c:pt>
                <c:pt idx="5">
                  <c:v>Security</c:v>
                </c:pt>
                <c:pt idx="6">
                  <c:v>Software</c:v>
                </c:pt>
              </c:strCache>
            </c:strRef>
          </c:cat>
          <c:val>
            <c:numRef>
              <c:f>'Detailed analysis'!$B$62:$B$69</c:f>
              <c:numCache>
                <c:formatCode>0.00</c:formatCode>
                <c:ptCount val="7"/>
                <c:pt idx="0">
                  <c:v>44.38678683338221</c:v>
                </c:pt>
                <c:pt idx="1">
                  <c:v>62.616181805555243</c:v>
                </c:pt>
                <c:pt idx="2">
                  <c:v>42.63662010414555</c:v>
                </c:pt>
                <c:pt idx="3">
                  <c:v>50.114464275361769</c:v>
                </c:pt>
                <c:pt idx="4">
                  <c:v>51.542925432072174</c:v>
                </c:pt>
                <c:pt idx="5">
                  <c:v>97.824122936523054</c:v>
                </c:pt>
                <c:pt idx="6">
                  <c:v>54.683194052280776</c:v>
                </c:pt>
              </c:numCache>
            </c:numRef>
          </c:val>
          <c:extLst>
            <c:ext xmlns:c16="http://schemas.microsoft.com/office/drawing/2014/chart" uri="{C3380CC4-5D6E-409C-BE32-E72D297353CC}">
              <c16:uniqueId val="{00000000-5F24-49B8-8FA0-48CD8CD10B2B}"/>
            </c:ext>
          </c:extLst>
        </c:ser>
        <c:dLbls>
          <c:showLegendKey val="0"/>
          <c:showVal val="1"/>
          <c:showCatName val="0"/>
          <c:showSerName val="0"/>
          <c:showPercent val="0"/>
          <c:showBubbleSize val="0"/>
        </c:dLbls>
        <c:gapWidth val="65"/>
        <c:shape val="box"/>
        <c:axId val="1161220528"/>
        <c:axId val="1161225808"/>
        <c:axId val="0"/>
      </c:bar3DChart>
      <c:catAx>
        <c:axId val="11612205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1225808"/>
        <c:crosses val="autoZero"/>
        <c:auto val="1"/>
        <c:lblAlgn val="ctr"/>
        <c:lblOffset val="100"/>
        <c:noMultiLvlLbl val="0"/>
      </c:catAx>
      <c:valAx>
        <c:axId val="116122580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Avg of resolution time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6122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recurring issues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'Detailed analysis'!$A$85:$A$89</c:f>
              <c:strCache>
                <c:ptCount val="5"/>
                <c:pt idx="0">
                  <c:v>Count of password keyword</c:v>
                </c:pt>
                <c:pt idx="1">
                  <c:v>Count of network keyword</c:v>
                </c:pt>
                <c:pt idx="2">
                  <c:v>Count of login keyword</c:v>
                </c:pt>
                <c:pt idx="3">
                  <c:v>Count of performance keyword</c:v>
                </c:pt>
                <c:pt idx="4">
                  <c:v>Count of others keyword</c:v>
                </c:pt>
              </c:strCache>
            </c:strRef>
          </c:cat>
          <c:val>
            <c:numRef>
              <c:f>'Detailed analysis'!$B$85:$B$89</c:f>
              <c:numCache>
                <c:formatCode>General</c:formatCode>
                <c:ptCount val="5"/>
                <c:pt idx="0">
                  <c:v>15</c:v>
                </c:pt>
                <c:pt idx="1">
                  <c:v>25</c:v>
                </c:pt>
                <c:pt idx="2">
                  <c:v>50</c:v>
                </c:pt>
                <c:pt idx="3">
                  <c:v>24</c:v>
                </c:pt>
                <c:pt idx="4">
                  <c:v>36</c:v>
                </c:pt>
              </c:numCache>
            </c:numRef>
          </c:val>
          <c:extLst>
            <c:ext xmlns:c16="http://schemas.microsoft.com/office/drawing/2014/chart" uri="{C3380CC4-5D6E-409C-BE32-E72D297353CC}">
              <c16:uniqueId val="{00000000-BC90-4076-A4C2-BC787E2473F5}"/>
            </c:ext>
          </c:extLst>
        </c:ser>
        <c:dLbls>
          <c:showLegendKey val="0"/>
          <c:showVal val="1"/>
          <c:showCatName val="0"/>
          <c:showSerName val="0"/>
          <c:showPercent val="0"/>
          <c:showBubbleSize val="0"/>
        </c:dLbls>
        <c:gapWidth val="150"/>
        <c:shape val="box"/>
        <c:axId val="1240157552"/>
        <c:axId val="1240159952"/>
        <c:axId val="0"/>
      </c:bar3DChart>
      <c:catAx>
        <c:axId val="1240157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59952"/>
        <c:crosses val="autoZero"/>
        <c:auto val="1"/>
        <c:lblAlgn val="ctr"/>
        <c:lblOffset val="100"/>
        <c:noMultiLvlLbl val="0"/>
      </c:catAx>
      <c:valAx>
        <c:axId val="12401599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5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analysis excel.xlsx]Detailed analysis!PivotTable7</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Analyst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analysis'!$B$112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'Detailed analysis'!$A$113:$A$123</c:f>
              <c:strCache>
                <c:ptCount val="10"/>
                <c:pt idx="0">
                  <c:v>Toni Wiley</c:v>
                </c:pt>
                <c:pt idx="1">
                  <c:v>Natasha Harris</c:v>
                </c:pt>
                <c:pt idx="2">
                  <c:v>Janice Burns</c:v>
                </c:pt>
                <c:pt idx="3">
                  <c:v>Adam Stone</c:v>
                </c:pt>
                <c:pt idx="4">
                  <c:v>Tanya Jones</c:v>
                </c:pt>
                <c:pt idx="5">
                  <c:v>Cynthia Rich</c:v>
                </c:pt>
                <c:pt idx="6">
                  <c:v>Marvin West</c:v>
                </c:pt>
                <c:pt idx="7">
                  <c:v>Sheila Ball</c:v>
                </c:pt>
                <c:pt idx="8">
                  <c:v>Autumn Ryan</c:v>
                </c:pt>
                <c:pt idx="9">
                  <c:v>Amanda White</c:v>
                </c:pt>
              </c:strCache>
            </c:strRef>
          </c:cat>
          <c:val>
            <c:numRef>
              <c:f>'Detailed analysis'!$B$113:$B$123</c:f>
              <c:numCache>
                <c:formatCode>0.00</c:formatCode>
                <c:ptCount val="10"/>
                <c:pt idx="0">
                  <c:v>27.262369940423273</c:v>
                </c:pt>
                <c:pt idx="1">
                  <c:v>33.453871150792111</c:v>
                </c:pt>
                <c:pt idx="2">
                  <c:v>35.375343589716628</c:v>
                </c:pt>
                <c:pt idx="3">
                  <c:v>46.389953906265873</c:v>
                </c:pt>
                <c:pt idx="4">
                  <c:v>47.042569074074791</c:v>
                </c:pt>
                <c:pt idx="5">
                  <c:v>50.214652532677384</c:v>
                </c:pt>
                <c:pt idx="6">
                  <c:v>64.433295625007304</c:v>
                </c:pt>
                <c:pt idx="7">
                  <c:v>66.843558003471117</c:v>
                </c:pt>
                <c:pt idx="8">
                  <c:v>72.610398169952745</c:v>
                </c:pt>
                <c:pt idx="9">
                  <c:v>82.225628907408094</c:v>
                </c:pt>
              </c:numCache>
            </c:numRef>
          </c:val>
          <c:smooth val="0"/>
          <c:extLst>
            <c:ext xmlns:c16="http://schemas.microsoft.com/office/drawing/2014/chart" uri="{C3380CC4-5D6E-409C-BE32-E72D297353CC}">
              <c16:uniqueId val="{00000000-750E-48CA-AD7D-63D95E33AEB1}"/>
            </c:ext>
          </c:extLst>
        </c:ser>
        <c:dLbls>
          <c:dLblPos val="ctr"/>
          <c:showLegendKey val="0"/>
          <c:showVal val="1"/>
          <c:showCatName val="0"/>
          <c:showSerName val="0"/>
          <c:showPercent val="0"/>
          <c:showBubbleSize val="0"/>
        </c:dLbls>
        <c:marker val="1"/>
        <c:smooth val="0"/>
        <c:axId val="1240344752"/>
        <c:axId val="1240365392"/>
      </c:lineChart>
      <c:catAx>
        <c:axId val="12403447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0365392"/>
        <c:crosses val="autoZero"/>
        <c:auto val="1"/>
        <c:lblAlgn val="ctr"/>
        <c:lblOffset val="100"/>
        <c:noMultiLvlLbl val="0"/>
      </c:catAx>
      <c:valAx>
        <c:axId val="12403653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24034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analysis excel.xlsx]Detailed analysis!PivotTable1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Day wise tickets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'Detailed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'Detailed analysis'!$A$4:$A$11</c:f>
              <c:strCache>
                <c:ptCount val="7"/>
                <c:pt idx="0">
                  <c:v>Sun</c:v>
                </c:pt>
                <c:pt idx="1">
                  <c:v>Mon</c:v>
                </c:pt>
                <c:pt idx="2">
                  <c:v>Tue</c:v>
                </c:pt>
                <c:pt idx="3">
                  <c:v>Wed</c:v>
                </c:pt>
                <c:pt idx="4">
                  <c:v>Thu</c:v>
                </c:pt>
                <c:pt idx="5">
                  <c:v>Fri</c:v>
                </c:pt>
                <c:pt idx="6">
                  <c:v>Sat</c:v>
                </c:pt>
              </c:strCache>
            </c:strRef>
          </c:cat>
          <c:val>
            <c:numRef>
              <c:f>'Detailed analysis'!$B$4:$B$11</c:f>
              <c:numCache>
                <c:formatCode>General</c:formatCode>
                <c:ptCount val="7"/>
                <c:pt idx="0">
                  <c:v>26</c:v>
                </c:pt>
                <c:pt idx="1">
                  <c:v>19</c:v>
                </c:pt>
                <c:pt idx="2">
                  <c:v>22</c:v>
                </c:pt>
                <c:pt idx="3">
                  <c:v>24</c:v>
                </c:pt>
                <c:pt idx="4">
                  <c:v>23</c:v>
                </c:pt>
                <c:pt idx="5">
                  <c:v>16</c:v>
                </c:pt>
                <c:pt idx="6">
                  <c:v>20</c:v>
                </c:pt>
              </c:numCache>
            </c:numRef>
          </c:val>
          <c:extLst>
            <c:ext xmlns:c16="http://schemas.microsoft.com/office/drawing/2014/chart" uri="{C3380CC4-5D6E-409C-BE32-E72D297353CC}">
              <c16:uniqueId val="{00000000-E089-4D0E-9F97-4DD160C4986C}"/>
            </c:ext>
          </c:extLst>
        </c:ser>
        <c:dLbls>
          <c:dLblPos val="inEnd"/>
          <c:showLegendKey val="0"/>
          <c:showVal val="1"/>
          <c:showCatName val="0"/>
          <c:showSerName val="0"/>
          <c:showPercent val="0"/>
          <c:showBubbleSize val="0"/>
        </c:dLbls>
        <c:gapWidth val="65"/>
        <c:axId val="957262912"/>
        <c:axId val="957263392"/>
      </c:barChart>
      <c:catAx>
        <c:axId val="95726291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Day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57263392"/>
        <c:crosses val="autoZero"/>
        <c:auto val="1"/>
        <c:lblAlgn val="ctr"/>
        <c:lblOffset val="100"/>
        <c:noMultiLvlLbl val="0"/>
      </c:catAx>
      <c:valAx>
        <c:axId val="957263392"/>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Ticket id</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57262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analysis excel.xlsx]Detailed analysis!PivotTable2</c:name>
    <c:fmtId val="2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trend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analysis'!$B$20</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'Detailed analysis'!$A$21:$A$25</c:f>
              <c:strCache>
                <c:ptCount val="4"/>
                <c:pt idx="0">
                  <c:v>Jun</c:v>
                </c:pt>
                <c:pt idx="1">
                  <c:v>Jul</c:v>
                </c:pt>
                <c:pt idx="2">
                  <c:v>Aug</c:v>
                </c:pt>
                <c:pt idx="3">
                  <c:v>Sep</c:v>
                </c:pt>
              </c:strCache>
            </c:strRef>
          </c:cat>
          <c:val>
            <c:numRef>
              <c:f>'Detailed analysis'!$B$21:$B$25</c:f>
              <c:numCache>
                <c:formatCode>General</c:formatCode>
                <c:ptCount val="4"/>
                <c:pt idx="0">
                  <c:v>27</c:v>
                </c:pt>
                <c:pt idx="1">
                  <c:v>51</c:v>
                </c:pt>
                <c:pt idx="2">
                  <c:v>45</c:v>
                </c:pt>
                <c:pt idx="3">
                  <c:v>27</c:v>
                </c:pt>
              </c:numCache>
            </c:numRef>
          </c:val>
          <c:smooth val="0"/>
          <c:extLst>
            <c:ext xmlns:c16="http://schemas.microsoft.com/office/drawing/2014/chart" uri="{C3380CC4-5D6E-409C-BE32-E72D297353CC}">
              <c16:uniqueId val="{00000000-9F26-49FB-817D-008235AA6E1A}"/>
            </c:ext>
          </c:extLst>
        </c:ser>
        <c:dLbls>
          <c:dLblPos val="ctr"/>
          <c:showLegendKey val="0"/>
          <c:showVal val="1"/>
          <c:showCatName val="0"/>
          <c:showSerName val="0"/>
          <c:showPercent val="0"/>
          <c:showBubbleSize val="0"/>
        </c:dLbls>
        <c:marker val="1"/>
        <c:smooth val="0"/>
        <c:axId val="1068021904"/>
        <c:axId val="1068015184"/>
      </c:lineChart>
      <c:catAx>
        <c:axId val="10680219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68015184"/>
        <c:crosses val="autoZero"/>
        <c:auto val="1"/>
        <c:lblAlgn val="ctr"/>
        <c:lblOffset val="100"/>
        <c:noMultiLvlLbl val="0"/>
      </c:catAx>
      <c:valAx>
        <c:axId val="106801518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Ticket id count</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crossAx val="106802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analysis excel.xlsx]Detailed analysis!PivotTable3</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resoultion time by priority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'Detailed analysis'!$B$44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'Detailed analysis'!$A$45:$A$49</c:f>
              <c:strCache>
                <c:ptCount val="4"/>
                <c:pt idx="0">
                  <c:v>Critical</c:v>
                </c:pt>
                <c:pt idx="1">
                  <c:v>High</c:v>
                </c:pt>
                <c:pt idx="2">
                  <c:v>Low</c:v>
                </c:pt>
                <c:pt idx="3">
                  <c:v>Medium</c:v>
                </c:pt>
              </c:strCache>
            </c:strRef>
          </c:cat>
          <c:val>
            <c:numRef>
              <c:f>'Detailed analysis'!$B$45:$B$49</c:f>
              <c:numCache>
                <c:formatCode>0.00</c:formatCode>
                <c:ptCount val="4"/>
                <c:pt idx="0">
                  <c:v>2.2080753471673233</c:v>
                </c:pt>
                <c:pt idx="1">
                  <c:v>6.6783504889067267</c:v>
                </c:pt>
                <c:pt idx="2">
                  <c:v>105.14095545498502</c:v>
                </c:pt>
                <c:pt idx="3">
                  <c:v>27.309928253952723</c:v>
                </c:pt>
              </c:numCache>
            </c:numRef>
          </c:val>
          <c:extLst>
            <c:ext xmlns:c16="http://schemas.microsoft.com/office/drawing/2014/chart" uri="{C3380CC4-5D6E-409C-BE32-E72D297353CC}">
              <c16:uniqueId val="{00000000-CDBF-4BD8-AF73-52DAE34A6B48}"/>
            </c:ext>
          </c:extLst>
        </c:ser>
        <c:dLbls>
          <c:showLegendKey val="0"/>
          <c:showVal val="1"/>
          <c:showCatName val="0"/>
          <c:showSerName val="0"/>
          <c:showPercent val="0"/>
          <c:showBubbleSize val="0"/>
        </c:dLbls>
        <c:gapWidth val="65"/>
        <c:shape val="box"/>
        <c:axId val="1008764528"/>
        <c:axId val="1008765008"/>
        <c:axId val="0"/>
      </c:bar3DChart>
      <c:catAx>
        <c:axId val="10087645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Priority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08765008"/>
        <c:crosses val="autoZero"/>
        <c:auto val="1"/>
        <c:lblAlgn val="ctr"/>
        <c:lblOffset val="100"/>
        <c:noMultiLvlLbl val="0"/>
      </c:catAx>
      <c:valAx>
        <c:axId val="100876500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Avg of resolution time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0876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analysis excel.xlsx]Detailed analysis!PivotTable4</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resolution time by 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'Detailed analysis'!$B$61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'Detailed analysis'!$A$62:$A$69</c:f>
              <c:strCache>
                <c:ptCount val="7"/>
                <c:pt idx="0">
                  <c:v>Access</c:v>
                </c:pt>
                <c:pt idx="1">
                  <c:v>Billing</c:v>
                </c:pt>
                <c:pt idx="2">
                  <c:v>Hardware</c:v>
                </c:pt>
                <c:pt idx="3">
                  <c:v>Network</c:v>
                </c:pt>
                <c:pt idx="4">
                  <c:v>Other</c:v>
                </c:pt>
                <c:pt idx="5">
                  <c:v>Security</c:v>
                </c:pt>
                <c:pt idx="6">
                  <c:v>Software</c:v>
                </c:pt>
              </c:strCache>
            </c:strRef>
          </c:cat>
          <c:val>
            <c:numRef>
              <c:f>'Detailed analysis'!$B$62:$B$69</c:f>
              <c:numCache>
                <c:formatCode>0.00</c:formatCode>
                <c:ptCount val="7"/>
                <c:pt idx="0">
                  <c:v>44.38678683338221</c:v>
                </c:pt>
                <c:pt idx="1">
                  <c:v>62.616181805555243</c:v>
                </c:pt>
                <c:pt idx="2">
                  <c:v>42.63662010414555</c:v>
                </c:pt>
                <c:pt idx="3">
                  <c:v>50.114464275361769</c:v>
                </c:pt>
                <c:pt idx="4">
                  <c:v>51.542925432072174</c:v>
                </c:pt>
                <c:pt idx="5">
                  <c:v>97.824122936523054</c:v>
                </c:pt>
                <c:pt idx="6">
                  <c:v>54.683194052280776</c:v>
                </c:pt>
              </c:numCache>
            </c:numRef>
          </c:val>
          <c:extLst>
            <c:ext xmlns:c16="http://schemas.microsoft.com/office/drawing/2014/chart" uri="{C3380CC4-5D6E-409C-BE32-E72D297353CC}">
              <c16:uniqueId val="{00000000-06A0-4A46-9836-A40D45FC4AEE}"/>
            </c:ext>
          </c:extLst>
        </c:ser>
        <c:dLbls>
          <c:showLegendKey val="0"/>
          <c:showVal val="1"/>
          <c:showCatName val="0"/>
          <c:showSerName val="0"/>
          <c:showPercent val="0"/>
          <c:showBubbleSize val="0"/>
        </c:dLbls>
        <c:gapWidth val="65"/>
        <c:shape val="box"/>
        <c:axId val="1161220528"/>
        <c:axId val="1161225808"/>
        <c:axId val="0"/>
      </c:bar3DChart>
      <c:catAx>
        <c:axId val="116122052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61225808"/>
        <c:crosses val="autoZero"/>
        <c:auto val="1"/>
        <c:lblAlgn val="ctr"/>
        <c:lblOffset val="100"/>
        <c:noMultiLvlLbl val="0"/>
      </c:catAx>
      <c:valAx>
        <c:axId val="116122580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Avg of resolution time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61220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Top recurring issues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'Detailed analysis'!$A$85:$A$89</c:f>
              <c:strCache>
                <c:ptCount val="5"/>
                <c:pt idx="0">
                  <c:v>Count of password keyword</c:v>
                </c:pt>
                <c:pt idx="1">
                  <c:v>Count of network keyword</c:v>
                </c:pt>
                <c:pt idx="2">
                  <c:v>Count of login keyword</c:v>
                </c:pt>
                <c:pt idx="3">
                  <c:v>Count of performance keyword</c:v>
                </c:pt>
                <c:pt idx="4">
                  <c:v>Count of others keyword</c:v>
                </c:pt>
              </c:strCache>
            </c:strRef>
          </c:cat>
          <c:val>
            <c:numRef>
              <c:f>'Detailed analysis'!$B$85:$B$89</c:f>
              <c:numCache>
                <c:formatCode>General</c:formatCode>
                <c:ptCount val="5"/>
                <c:pt idx="0">
                  <c:v>15</c:v>
                </c:pt>
                <c:pt idx="1">
                  <c:v>25</c:v>
                </c:pt>
                <c:pt idx="2">
                  <c:v>50</c:v>
                </c:pt>
                <c:pt idx="3">
                  <c:v>24</c:v>
                </c:pt>
                <c:pt idx="4">
                  <c:v>36</c:v>
                </c:pt>
              </c:numCache>
            </c:numRef>
          </c:val>
          <c:extLst>
            <c:ext xmlns:c16="http://schemas.microsoft.com/office/drawing/2014/chart" uri="{C3380CC4-5D6E-409C-BE32-E72D297353CC}">
              <c16:uniqueId val="{00000000-401E-4FA4-95B6-4011B6B5283E}"/>
            </c:ext>
          </c:extLst>
        </c:ser>
        <c:dLbls>
          <c:showLegendKey val="0"/>
          <c:showVal val="1"/>
          <c:showCatName val="0"/>
          <c:showSerName val="0"/>
          <c:showPercent val="0"/>
          <c:showBubbleSize val="0"/>
        </c:dLbls>
        <c:gapWidth val="150"/>
        <c:shape val="box"/>
        <c:axId val="1240157552"/>
        <c:axId val="1240159952"/>
        <c:axId val="0"/>
      </c:bar3DChart>
      <c:catAx>
        <c:axId val="1240157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59952"/>
        <c:crosses val="autoZero"/>
        <c:auto val="1"/>
        <c:lblAlgn val="ctr"/>
        <c:lblOffset val="100"/>
        <c:noMultiLvlLbl val="0"/>
      </c:catAx>
      <c:valAx>
        <c:axId val="12401599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015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[Day 5 analysis excel.xlsx]Detailed analysis!PivotTable7</c:name>
    <c:fmtId val="1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Analyst performance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'Detailed analysis'!$B$112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'Detailed analysis'!$A$113:$A$123</c:f>
              <c:strCache>
                <c:ptCount val="10"/>
                <c:pt idx="0">
                  <c:v>Toni Wiley</c:v>
                </c:pt>
                <c:pt idx="1">
                  <c:v>Natasha Harris</c:v>
                </c:pt>
                <c:pt idx="2">
                  <c:v>Janice Burns</c:v>
                </c:pt>
                <c:pt idx="3">
                  <c:v>Adam Stone</c:v>
                </c:pt>
                <c:pt idx="4">
                  <c:v>Tanya Jones</c:v>
                </c:pt>
                <c:pt idx="5">
                  <c:v>Cynthia Rich</c:v>
                </c:pt>
                <c:pt idx="6">
                  <c:v>Marvin West</c:v>
                </c:pt>
                <c:pt idx="7">
                  <c:v>Sheila Ball</c:v>
                </c:pt>
                <c:pt idx="8">
                  <c:v>Autumn Ryan</c:v>
                </c:pt>
                <c:pt idx="9">
                  <c:v>Amanda White</c:v>
                </c:pt>
              </c:strCache>
            </c:strRef>
          </c:cat>
          <c:val>
            <c:numRef>
              <c:f>'Detailed analysis'!$B$113:$B$123</c:f>
              <c:numCache>
                <c:formatCode>0.00</c:formatCode>
                <c:ptCount val="10"/>
                <c:pt idx="0">
                  <c:v>27.262369940423273</c:v>
                </c:pt>
                <c:pt idx="1">
                  <c:v>33.453871150792111</c:v>
                </c:pt>
                <c:pt idx="2">
                  <c:v>35.375343589716628</c:v>
                </c:pt>
                <c:pt idx="3">
                  <c:v>46.389953906265873</c:v>
                </c:pt>
                <c:pt idx="4">
                  <c:v>47.042569074074791</c:v>
                </c:pt>
                <c:pt idx="5">
                  <c:v>50.214652532677384</c:v>
                </c:pt>
                <c:pt idx="6">
                  <c:v>64.433295625007304</c:v>
                </c:pt>
                <c:pt idx="7">
                  <c:v>66.843558003471117</c:v>
                </c:pt>
                <c:pt idx="8">
                  <c:v>72.610398169952745</c:v>
                </c:pt>
                <c:pt idx="9">
                  <c:v>82.225628907408094</c:v>
                </c:pt>
              </c:numCache>
            </c:numRef>
          </c:val>
          <c:smooth val="0"/>
          <c:extLst>
            <c:ext xmlns:c16="http://schemas.microsoft.com/office/drawing/2014/chart" uri="{C3380CC4-5D6E-409C-BE32-E72D297353CC}">
              <c16:uniqueId val="{00000000-BBEC-4028-8CB0-DBC5D58CAC02}"/>
            </c:ext>
          </c:extLst>
        </c:ser>
        <c:dLbls>
          <c:dLblPos val="ctr"/>
          <c:showLegendKey val="0"/>
          <c:showVal val="1"/>
          <c:showCatName val="0"/>
          <c:showSerName val="0"/>
          <c:showPercent val="0"/>
          <c:showBubbleSize val="0"/>
        </c:dLbls>
        <c:marker val="1"/>
        <c:smooth val="0"/>
        <c:axId val="1240344752"/>
        <c:axId val="1240365392"/>
      </c:lineChart>
      <c:catAx>
        <c:axId val="12403447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40365392"/>
        <c:crosses val="autoZero"/>
        <c:auto val="1"/>
        <c:lblAlgn val="ctr"/>
        <c:lblOffset val="100"/>
        <c:noMultiLvlLbl val="0"/>
      </c:catAx>
      <c:valAx>
        <c:axId val="124036539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24034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8</xdr:col>
      <xdr:colOff>213360</xdr:colOff>
      <xdr:row>1</xdr:row>
      <xdr:rowOff>60960</xdr:rowOff>
    </xdr:from>
    <xdr:to>
      <xdr:col>10</xdr:col>
      <xdr:colOff>350520</xdr:colOff>
      <xdr:row>6</xdr:row>
      <xdr:rowOff>53340</xdr:rowOff>
    </xdr:to>
    <xdr:sp macro="" textlink="">
      <xdr:nvSpPr>
        <xdr:cNvPr id="2" name="Rectangle: Folded Corner 1">
          <a:extLst>
            <a:ext uri="{FF2B5EF4-FFF2-40B4-BE49-F238E27FC236}">
              <a16:creationId xmlns:a16="http://schemas.microsoft.com/office/drawing/2014/main" id="{F6187A96-C61B-8124-75E0-1ED159CE90E0}"/>
            </a:ext>
          </a:extLst>
        </xdr:cNvPr>
        <xdr:cNvSpPr/>
      </xdr:nvSpPr>
      <xdr:spPr>
        <a:xfrm>
          <a:off x="5090160" y="243840"/>
          <a:ext cx="1356360" cy="906780"/>
        </a:xfrm>
        <a:prstGeom prst="foldedCorner">
          <a:avLst/>
        </a:prstGeom>
        <a:solidFill>
          <a:schemeClr val="accent5">
            <a:lumMod val="40000"/>
            <a:lumOff val="6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800"/>
            <a:t>Total tickets</a:t>
          </a:r>
        </a:p>
        <a:p>
          <a:pPr algn="ctr"/>
          <a:r>
            <a:rPr lang="en-IN" sz="1800"/>
            <a:t>150</a:t>
          </a:r>
        </a:p>
      </xdr:txBody>
    </xdr:sp>
    <xdr:clientData/>
  </xdr:twoCellAnchor>
  <xdr:twoCellAnchor>
    <xdr:from>
      <xdr:col>10</xdr:col>
      <xdr:colOff>571500</xdr:colOff>
      <xdr:row>1</xdr:row>
      <xdr:rowOff>38100</xdr:rowOff>
    </xdr:from>
    <xdr:to>
      <xdr:col>15</xdr:col>
      <xdr:colOff>0</xdr:colOff>
      <xdr:row>6</xdr:row>
      <xdr:rowOff>114300</xdr:rowOff>
    </xdr:to>
    <xdr:sp macro="" textlink="">
      <xdr:nvSpPr>
        <xdr:cNvPr id="3" name="Rectangle: Folded Corner 2">
          <a:extLst>
            <a:ext uri="{FF2B5EF4-FFF2-40B4-BE49-F238E27FC236}">
              <a16:creationId xmlns:a16="http://schemas.microsoft.com/office/drawing/2014/main" id="{93209E75-EC18-4509-80B0-9C0898F8C40D}"/>
            </a:ext>
          </a:extLst>
        </xdr:cNvPr>
        <xdr:cNvSpPr/>
      </xdr:nvSpPr>
      <xdr:spPr>
        <a:xfrm>
          <a:off x="6667500" y="220980"/>
          <a:ext cx="2476500" cy="990600"/>
        </a:xfrm>
        <a:prstGeom prst="foldedCorner">
          <a:avLst/>
        </a:prstGeom>
        <a:solidFill>
          <a:schemeClr val="accent6">
            <a:lumMod val="60000"/>
            <a:lumOff val="40000"/>
          </a:schemeClr>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800"/>
            <a:t>Average resolution time</a:t>
          </a:r>
        </a:p>
        <a:p>
          <a:pPr algn="ctr"/>
          <a:r>
            <a:rPr lang="en-IN" sz="1800"/>
            <a:t>53.29</a:t>
          </a:r>
        </a:p>
      </xdr:txBody>
    </xdr:sp>
    <xdr:clientData/>
  </xdr:twoCellAnchor>
  <xdr:twoCellAnchor>
    <xdr:from>
      <xdr:col>15</xdr:col>
      <xdr:colOff>198120</xdr:colOff>
      <xdr:row>1</xdr:row>
      <xdr:rowOff>53340</xdr:rowOff>
    </xdr:from>
    <xdr:to>
      <xdr:col>18</xdr:col>
      <xdr:colOff>327660</xdr:colOff>
      <xdr:row>6</xdr:row>
      <xdr:rowOff>137160</xdr:rowOff>
    </xdr:to>
    <xdr:sp macro="" textlink="">
      <xdr:nvSpPr>
        <xdr:cNvPr id="4" name="Rectangle: Folded Corner 3">
          <a:extLst>
            <a:ext uri="{FF2B5EF4-FFF2-40B4-BE49-F238E27FC236}">
              <a16:creationId xmlns:a16="http://schemas.microsoft.com/office/drawing/2014/main" id="{AC857F5E-2BB5-49DD-B9E7-9554D2C88FDC}"/>
            </a:ext>
          </a:extLst>
        </xdr:cNvPr>
        <xdr:cNvSpPr/>
      </xdr:nvSpPr>
      <xdr:spPr>
        <a:xfrm>
          <a:off x="9342120" y="236220"/>
          <a:ext cx="1958340" cy="998220"/>
        </a:xfrm>
        <a:prstGeom prst="foldedCorner">
          <a:avLst/>
        </a:prstGeom>
        <a:solidFill>
          <a:srgbClr val="FF0066"/>
        </a:solidFill>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ctr"/>
          <a:r>
            <a:rPr lang="en-IN" sz="1800"/>
            <a:t>% critical tickets</a:t>
          </a:r>
        </a:p>
        <a:p>
          <a:pPr algn="ctr"/>
          <a:r>
            <a:rPr lang="en-IN" sz="1800"/>
            <a:t>3%</a:t>
          </a:r>
        </a:p>
      </xdr:txBody>
    </xdr:sp>
    <xdr:clientData/>
  </xdr:twoCellAnchor>
  <xdr:twoCellAnchor>
    <xdr:from>
      <xdr:col>0</xdr:col>
      <xdr:colOff>0</xdr:colOff>
      <xdr:row>8</xdr:row>
      <xdr:rowOff>0</xdr:rowOff>
    </xdr:from>
    <xdr:to>
      <xdr:col>5</xdr:col>
      <xdr:colOff>220980</xdr:colOff>
      <xdr:row>20</xdr:row>
      <xdr:rowOff>45720</xdr:rowOff>
    </xdr:to>
    <xdr:graphicFrame macro="">
      <xdr:nvGraphicFramePr>
        <xdr:cNvPr id="5" name="Chart 4">
          <a:extLst>
            <a:ext uri="{FF2B5EF4-FFF2-40B4-BE49-F238E27FC236}">
              <a16:creationId xmlns:a16="http://schemas.microsoft.com/office/drawing/2014/main" id="{8C9D6301-9D25-4CD9-A935-5FF6980C5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388620</xdr:colOff>
      <xdr:row>8</xdr:row>
      <xdr:rowOff>7620</xdr:rowOff>
    </xdr:from>
    <xdr:to>
      <xdr:col>11</xdr:col>
      <xdr:colOff>472440</xdr:colOff>
      <xdr:row>20</xdr:row>
      <xdr:rowOff>60960</xdr:rowOff>
    </xdr:to>
    <xdr:graphicFrame macro="">
      <xdr:nvGraphicFramePr>
        <xdr:cNvPr id="6" name="Chart 5">
          <a:extLst>
            <a:ext uri="{FF2B5EF4-FFF2-40B4-BE49-F238E27FC236}">
              <a16:creationId xmlns:a16="http://schemas.microsoft.com/office/drawing/2014/main" id="{26F34071-4E49-4F48-AA7E-E1BE954A7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99060</xdr:colOff>
      <xdr:row>8</xdr:row>
      <xdr:rowOff>0</xdr:rowOff>
    </xdr:from>
    <xdr:to>
      <xdr:col>18</xdr:col>
      <xdr:colOff>373380</xdr:colOff>
      <xdr:row>20</xdr:row>
      <xdr:rowOff>60960</xdr:rowOff>
    </xdr:to>
    <xdr:graphicFrame macro="">
      <xdr:nvGraphicFramePr>
        <xdr:cNvPr id="7" name="Chart 6">
          <a:extLst>
            <a:ext uri="{FF2B5EF4-FFF2-40B4-BE49-F238E27FC236}">
              <a16:creationId xmlns:a16="http://schemas.microsoft.com/office/drawing/2014/main" id="{6BD83092-904E-46D5-8F75-1AD2AE7C64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30480</xdr:colOff>
      <xdr:row>21</xdr:row>
      <xdr:rowOff>15240</xdr:rowOff>
    </xdr:from>
    <xdr:to>
      <xdr:col>5</xdr:col>
      <xdr:colOff>228600</xdr:colOff>
      <xdr:row>34</xdr:row>
      <xdr:rowOff>83820</xdr:rowOff>
    </xdr:to>
    <xdr:graphicFrame macro="">
      <xdr:nvGraphicFramePr>
        <xdr:cNvPr id="8" name="Chart 7">
          <a:extLst>
            <a:ext uri="{FF2B5EF4-FFF2-40B4-BE49-F238E27FC236}">
              <a16:creationId xmlns:a16="http://schemas.microsoft.com/office/drawing/2014/main" id="{3CA5AACE-D56E-47A0-ACC6-4BFBCB84D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21</xdr:row>
      <xdr:rowOff>0</xdr:rowOff>
    </xdr:from>
    <xdr:to>
      <xdr:col>13</xdr:col>
      <xdr:colOff>7620</xdr:colOff>
      <xdr:row>35</xdr:row>
      <xdr:rowOff>160020</xdr:rowOff>
    </xdr:to>
    <xdr:graphicFrame macro="">
      <xdr:nvGraphicFramePr>
        <xdr:cNvPr id="9" name="Chart 8">
          <a:extLst>
            <a:ext uri="{FF2B5EF4-FFF2-40B4-BE49-F238E27FC236}">
              <a16:creationId xmlns:a16="http://schemas.microsoft.com/office/drawing/2014/main" id="{94382100-4C31-4A86-BEB1-29DDC9494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83820</xdr:colOff>
      <xdr:row>21</xdr:row>
      <xdr:rowOff>7620</xdr:rowOff>
    </xdr:from>
    <xdr:to>
      <xdr:col>19</xdr:col>
      <xdr:colOff>556260</xdr:colOff>
      <xdr:row>36</xdr:row>
      <xdr:rowOff>152400</xdr:rowOff>
    </xdr:to>
    <xdr:graphicFrame macro="">
      <xdr:nvGraphicFramePr>
        <xdr:cNvPr id="10" name="Chart 9">
          <a:extLst>
            <a:ext uri="{FF2B5EF4-FFF2-40B4-BE49-F238E27FC236}">
              <a16:creationId xmlns:a16="http://schemas.microsoft.com/office/drawing/2014/main" id="{C0025D0B-F5FE-460A-B0CB-775354C512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137160</xdr:colOff>
      <xdr:row>0</xdr:row>
      <xdr:rowOff>106680</xdr:rowOff>
    </xdr:from>
    <xdr:to>
      <xdr:col>7</xdr:col>
      <xdr:colOff>601980</xdr:colOff>
      <xdr:row>6</xdr:row>
      <xdr:rowOff>160020</xdr:rowOff>
    </xdr:to>
    <xdr:sp macro="" textlink="">
      <xdr:nvSpPr>
        <xdr:cNvPr id="12" name="Cloud 11">
          <a:extLst>
            <a:ext uri="{FF2B5EF4-FFF2-40B4-BE49-F238E27FC236}">
              <a16:creationId xmlns:a16="http://schemas.microsoft.com/office/drawing/2014/main" id="{F73E6343-19B1-05BB-F612-37E50887C903}"/>
            </a:ext>
          </a:extLst>
        </xdr:cNvPr>
        <xdr:cNvSpPr/>
      </xdr:nvSpPr>
      <xdr:spPr>
        <a:xfrm>
          <a:off x="137160" y="106680"/>
          <a:ext cx="4732020" cy="1150620"/>
        </a:xfrm>
        <a:prstGeom prst="cloud">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IT HELP DESK ANALYSIS DASHBOARD</a:t>
          </a:r>
        </a:p>
      </xdr:txBody>
    </xdr:sp>
    <xdr:clientData/>
  </xdr:twoCellAnchor>
  <xdr:twoCellAnchor editAs="oneCell">
    <xdr:from>
      <xdr:col>19</xdr:col>
      <xdr:colOff>0</xdr:colOff>
      <xdr:row>1</xdr:row>
      <xdr:rowOff>1</xdr:rowOff>
    </xdr:from>
    <xdr:to>
      <xdr:col>22</xdr:col>
      <xdr:colOff>0</xdr:colOff>
      <xdr:row>8</xdr:row>
      <xdr:rowOff>144781</xdr:rowOff>
    </xdr:to>
    <mc:AlternateContent xmlns:mc="http://schemas.openxmlformats.org/markup-compatibility/2006">
      <mc:Choice xmlns:a14="http://schemas.microsoft.com/office/drawing/2010/main" Requires="a14">
        <xdr:graphicFrame macro="">
          <xdr:nvGraphicFramePr>
            <xdr:cNvPr id="13" name="priority 1">
              <a:extLst>
                <a:ext uri="{FF2B5EF4-FFF2-40B4-BE49-F238E27FC236}">
                  <a16:creationId xmlns:a16="http://schemas.microsoft.com/office/drawing/2014/main" id="{32C12196-17BA-48F4-BA18-816A2B1337A6}"/>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11582400" y="182881"/>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9</xdr:row>
      <xdr:rowOff>1</xdr:rowOff>
    </xdr:from>
    <xdr:to>
      <xdr:col>22</xdr:col>
      <xdr:colOff>0</xdr:colOff>
      <xdr:row>20</xdr:row>
      <xdr:rowOff>175261</xdr:rowOff>
    </xdr:to>
    <mc:AlternateContent xmlns:mc="http://schemas.openxmlformats.org/markup-compatibility/2006">
      <mc:Choice xmlns:a14="http://schemas.microsoft.com/office/drawing/2010/main" Requires="a14">
        <xdr:graphicFrame macro="">
          <xdr:nvGraphicFramePr>
            <xdr:cNvPr id="14" name="category 1">
              <a:extLst>
                <a:ext uri="{FF2B5EF4-FFF2-40B4-BE49-F238E27FC236}">
                  <a16:creationId xmlns:a16="http://schemas.microsoft.com/office/drawing/2014/main" id="{1C3E0A58-6527-43B5-A730-C25F885BF54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582400" y="1645921"/>
              <a:ext cx="1828800" cy="2186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21</xdr:row>
      <xdr:rowOff>0</xdr:rowOff>
    </xdr:from>
    <xdr:to>
      <xdr:col>23</xdr:col>
      <xdr:colOff>0</xdr:colOff>
      <xdr:row>34</xdr:row>
      <xdr:rowOff>89535</xdr:rowOff>
    </xdr:to>
    <mc:AlternateContent xmlns:mc="http://schemas.openxmlformats.org/markup-compatibility/2006">
      <mc:Choice xmlns:a14="http://schemas.microsoft.com/office/drawing/2010/main" Requires="a14">
        <xdr:graphicFrame macro="">
          <xdr:nvGraphicFramePr>
            <xdr:cNvPr id="15" name="assigned_analyst 1">
              <a:extLst>
                <a:ext uri="{FF2B5EF4-FFF2-40B4-BE49-F238E27FC236}">
                  <a16:creationId xmlns:a16="http://schemas.microsoft.com/office/drawing/2014/main" id="{2977D32E-35A4-47E0-BB10-DB579F3718F0}"/>
                </a:ext>
              </a:extLst>
            </xdr:cNvPr>
            <xdr:cNvGraphicFramePr/>
          </xdr:nvGraphicFramePr>
          <xdr:xfrm>
            <a:off x="0" y="0"/>
            <a:ext cx="0" cy="0"/>
          </xdr:xfrm>
          <a:graphic>
            <a:graphicData uri="http://schemas.microsoft.com/office/drawing/2010/slicer">
              <sle:slicer xmlns:sle="http://schemas.microsoft.com/office/drawing/2010/slicer" name="assigned_analyst 1"/>
            </a:graphicData>
          </a:graphic>
        </xdr:graphicFrame>
      </mc:Choice>
      <mc:Fallback>
        <xdr:sp macro="" textlink="">
          <xdr:nvSpPr>
            <xdr:cNvPr id="0" name=""/>
            <xdr:cNvSpPr>
              <a:spLocks noTextEdit="1"/>
            </xdr:cNvSpPr>
          </xdr:nvSpPr>
          <xdr:spPr>
            <a:xfrm>
              <a:off x="12192000" y="3840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2</xdr:row>
      <xdr:rowOff>11430</xdr:rowOff>
    </xdr:from>
    <xdr:to>
      <xdr:col>9</xdr:col>
      <xdr:colOff>495300</xdr:colOff>
      <xdr:row>17</xdr:row>
      <xdr:rowOff>11430</xdr:rowOff>
    </xdr:to>
    <xdr:graphicFrame macro="">
      <xdr:nvGraphicFramePr>
        <xdr:cNvPr id="2" name="Chart 1">
          <a:extLst>
            <a:ext uri="{FF2B5EF4-FFF2-40B4-BE49-F238E27FC236}">
              <a16:creationId xmlns:a16="http://schemas.microsoft.com/office/drawing/2014/main" id="{80D2D861-00ED-0CC3-160E-97080A74C2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114300</xdr:colOff>
      <xdr:row>16</xdr:row>
      <xdr:rowOff>30480</xdr:rowOff>
    </xdr:from>
    <xdr:to>
      <xdr:col>17</xdr:col>
      <xdr:colOff>114300</xdr:colOff>
      <xdr:row>29</xdr:row>
      <xdr:rowOff>120015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CE96665-A755-B5E7-03D4-C4E4C876A0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464040" y="2956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495300</xdr:colOff>
      <xdr:row>16</xdr:row>
      <xdr:rowOff>68580</xdr:rowOff>
    </xdr:from>
    <xdr:to>
      <xdr:col>13</xdr:col>
      <xdr:colOff>495300</xdr:colOff>
      <xdr:row>29</xdr:row>
      <xdr:rowOff>158115</xdr:rowOff>
    </xdr:to>
    <mc:AlternateContent xmlns:mc="http://schemas.openxmlformats.org/markup-compatibility/2006">
      <mc:Choice xmlns:a14="http://schemas.microsoft.com/office/drawing/2010/main" Requires="a14">
        <xdr:graphicFrame macro="">
          <xdr:nvGraphicFramePr>
            <xdr:cNvPr id="4" name="assigned_analyst">
              <a:extLst>
                <a:ext uri="{FF2B5EF4-FFF2-40B4-BE49-F238E27FC236}">
                  <a16:creationId xmlns:a16="http://schemas.microsoft.com/office/drawing/2014/main" id="{B371DDF0-A91A-195D-34FE-07B97B433B8D}"/>
                </a:ext>
              </a:extLst>
            </xdr:cNvPr>
            <xdr:cNvGraphicFramePr/>
          </xdr:nvGraphicFramePr>
          <xdr:xfrm>
            <a:off x="0" y="0"/>
            <a:ext cx="0" cy="0"/>
          </xdr:xfrm>
          <a:graphic>
            <a:graphicData uri="http://schemas.microsoft.com/office/drawing/2010/slicer">
              <sle:slicer xmlns:sle="http://schemas.microsoft.com/office/drawing/2010/slicer" name="assigned_analyst"/>
            </a:graphicData>
          </a:graphic>
        </xdr:graphicFrame>
      </mc:Choice>
      <mc:Fallback>
        <xdr:sp macro="" textlink="">
          <xdr:nvSpPr>
            <xdr:cNvPr id="0" name=""/>
            <xdr:cNvSpPr>
              <a:spLocks noTextEdit="1"/>
            </xdr:cNvSpPr>
          </xdr:nvSpPr>
          <xdr:spPr>
            <a:xfrm>
              <a:off x="7406640" y="2994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533400</xdr:colOff>
      <xdr:row>2</xdr:row>
      <xdr:rowOff>45720</xdr:rowOff>
    </xdr:from>
    <xdr:to>
      <xdr:col>13</xdr:col>
      <xdr:colOff>533400</xdr:colOff>
      <xdr:row>15</xdr:row>
      <xdr:rowOff>135255</xdr:rowOff>
    </xdr:to>
    <mc:AlternateContent xmlns:mc="http://schemas.openxmlformats.org/markup-compatibility/2006">
      <mc:Choice xmlns:a14="http://schemas.microsoft.com/office/drawing/2010/main" Requires="a14">
        <xdr:graphicFrame macro="">
          <xdr:nvGraphicFramePr>
            <xdr:cNvPr id="5" name="priority">
              <a:extLst>
                <a:ext uri="{FF2B5EF4-FFF2-40B4-BE49-F238E27FC236}">
                  <a16:creationId xmlns:a16="http://schemas.microsoft.com/office/drawing/2014/main" id="{447B52A7-BC44-BA8F-66B7-A349570F1766}"/>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7444740" y="411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91440</xdr:colOff>
      <xdr:row>2</xdr:row>
      <xdr:rowOff>22860</xdr:rowOff>
    </xdr:from>
    <xdr:to>
      <xdr:col>17</xdr:col>
      <xdr:colOff>91440</xdr:colOff>
      <xdr:row>15</xdr:row>
      <xdr:rowOff>112395</xdr:rowOff>
    </xdr:to>
    <mc:AlternateContent xmlns:mc="http://schemas.openxmlformats.org/markup-compatibility/2006">
      <mc:Choice xmlns:a14="http://schemas.microsoft.com/office/drawing/2010/main" Requires="a14">
        <xdr:graphicFrame macro="">
          <xdr:nvGraphicFramePr>
            <xdr:cNvPr id="6" name="resolution time(hrs)">
              <a:extLst>
                <a:ext uri="{FF2B5EF4-FFF2-40B4-BE49-F238E27FC236}">
                  <a16:creationId xmlns:a16="http://schemas.microsoft.com/office/drawing/2014/main" id="{A764A722-BB45-BC94-39CB-7FB5C362CC9A}"/>
                </a:ext>
              </a:extLst>
            </xdr:cNvPr>
            <xdr:cNvGraphicFramePr/>
          </xdr:nvGraphicFramePr>
          <xdr:xfrm>
            <a:off x="0" y="0"/>
            <a:ext cx="0" cy="0"/>
          </xdr:xfrm>
          <a:graphic>
            <a:graphicData uri="http://schemas.microsoft.com/office/drawing/2010/slicer">
              <sle:slicer xmlns:sle="http://schemas.microsoft.com/office/drawing/2010/slicer" name="resolution time(hrs)"/>
            </a:graphicData>
          </a:graphic>
        </xdr:graphicFrame>
      </mc:Choice>
      <mc:Fallback>
        <xdr:sp macro="" textlink="">
          <xdr:nvSpPr>
            <xdr:cNvPr id="0" name=""/>
            <xdr:cNvSpPr>
              <a:spLocks noTextEdit="1"/>
            </xdr:cNvSpPr>
          </xdr:nvSpPr>
          <xdr:spPr>
            <a:xfrm>
              <a:off x="944118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175260</xdr:colOff>
      <xdr:row>2</xdr:row>
      <xdr:rowOff>22860</xdr:rowOff>
    </xdr:from>
    <xdr:to>
      <xdr:col>20</xdr:col>
      <xdr:colOff>175260</xdr:colOff>
      <xdr:row>15</xdr:row>
      <xdr:rowOff>112395</xdr:rowOff>
    </xdr:to>
    <mc:AlternateContent xmlns:mc="http://schemas.openxmlformats.org/markup-compatibility/2006">
      <mc:Choice xmlns:a14="http://schemas.microsoft.com/office/drawing/2010/main" Requires="a14">
        <xdr:graphicFrame macro="">
          <xdr:nvGraphicFramePr>
            <xdr:cNvPr id="7" name="day of week">
              <a:extLst>
                <a:ext uri="{FF2B5EF4-FFF2-40B4-BE49-F238E27FC236}">
                  <a16:creationId xmlns:a16="http://schemas.microsoft.com/office/drawing/2014/main" id="{E1EE71E5-F70D-7BB3-DCC3-9371DFE30FB7}"/>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dr:sp macro="" textlink="">
          <xdr:nvSpPr>
            <xdr:cNvPr id="0" name=""/>
            <xdr:cNvSpPr>
              <a:spLocks noTextEdit="1"/>
            </xdr:cNvSpPr>
          </xdr:nvSpPr>
          <xdr:spPr>
            <a:xfrm>
              <a:off x="11353800" y="388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106680</xdr:colOff>
      <xdr:row>19</xdr:row>
      <xdr:rowOff>7620</xdr:rowOff>
    </xdr:from>
    <xdr:to>
      <xdr:col>9</xdr:col>
      <xdr:colOff>365760</xdr:colOff>
      <xdr:row>30</xdr:row>
      <xdr:rowOff>106680</xdr:rowOff>
    </xdr:to>
    <xdr:graphicFrame macro="">
      <xdr:nvGraphicFramePr>
        <xdr:cNvPr id="8" name="Chart 7">
          <a:extLst>
            <a:ext uri="{FF2B5EF4-FFF2-40B4-BE49-F238E27FC236}">
              <a16:creationId xmlns:a16="http://schemas.microsoft.com/office/drawing/2014/main" id="{67E08029-2EC3-4CEA-B15B-77B3599C8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175260</xdr:colOff>
      <xdr:row>43</xdr:row>
      <xdr:rowOff>7620</xdr:rowOff>
    </xdr:from>
    <xdr:to>
      <xdr:col>9</xdr:col>
      <xdr:colOff>480060</xdr:colOff>
      <xdr:row>58</xdr:row>
      <xdr:rowOff>7620</xdr:rowOff>
    </xdr:to>
    <xdr:graphicFrame macro="">
      <xdr:nvGraphicFramePr>
        <xdr:cNvPr id="9" name="Chart 8">
          <a:extLst>
            <a:ext uri="{FF2B5EF4-FFF2-40B4-BE49-F238E27FC236}">
              <a16:creationId xmlns:a16="http://schemas.microsoft.com/office/drawing/2014/main" id="{F1282A01-6862-4BCC-A250-51032FEE1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213360</xdr:colOff>
      <xdr:row>59</xdr:row>
      <xdr:rowOff>167640</xdr:rowOff>
    </xdr:from>
    <xdr:to>
      <xdr:col>9</xdr:col>
      <xdr:colOff>518160</xdr:colOff>
      <xdr:row>74</xdr:row>
      <xdr:rowOff>167640</xdr:rowOff>
    </xdr:to>
    <xdr:graphicFrame macro="">
      <xdr:nvGraphicFramePr>
        <xdr:cNvPr id="10" name="Chart 9">
          <a:extLst>
            <a:ext uri="{FF2B5EF4-FFF2-40B4-BE49-F238E27FC236}">
              <a16:creationId xmlns:a16="http://schemas.microsoft.com/office/drawing/2014/main" id="{5E885EA2-2E2E-4096-8268-811457D07E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198120</xdr:colOff>
      <xdr:row>84</xdr:row>
      <xdr:rowOff>7620</xdr:rowOff>
    </xdr:from>
    <xdr:to>
      <xdr:col>9</xdr:col>
      <xdr:colOff>502920</xdr:colOff>
      <xdr:row>99</xdr:row>
      <xdr:rowOff>7620</xdr:rowOff>
    </xdr:to>
    <xdr:graphicFrame macro="">
      <xdr:nvGraphicFramePr>
        <xdr:cNvPr id="11" name="Chart 10">
          <a:extLst>
            <a:ext uri="{FF2B5EF4-FFF2-40B4-BE49-F238E27FC236}">
              <a16:creationId xmlns:a16="http://schemas.microsoft.com/office/drawing/2014/main" id="{CA5E9049-3E5E-4B9A-AAC2-650498994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100</xdr:row>
      <xdr:rowOff>0</xdr:rowOff>
    </xdr:from>
    <xdr:to>
      <xdr:col>6</xdr:col>
      <xdr:colOff>243840</xdr:colOff>
      <xdr:row>105</xdr:row>
      <xdr:rowOff>91440</xdr:rowOff>
    </xdr:to>
    <xdr:sp macro="" textlink="">
      <xdr:nvSpPr>
        <xdr:cNvPr id="12" name="TextBox 11">
          <a:extLst>
            <a:ext uri="{FF2B5EF4-FFF2-40B4-BE49-F238E27FC236}">
              <a16:creationId xmlns:a16="http://schemas.microsoft.com/office/drawing/2014/main" id="{C8652315-C5BD-4EA0-B650-2CFC26BBE373}"/>
            </a:ext>
          </a:extLst>
        </xdr:cNvPr>
        <xdr:cNvSpPr txBox="1"/>
      </xdr:nvSpPr>
      <xdr:spPr>
        <a:xfrm>
          <a:off x="0" y="16276320"/>
          <a:ext cx="4716780" cy="100584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Insight:</a:t>
          </a:r>
        </a:p>
        <a:p>
          <a:r>
            <a:rPr lang="en-IN"/>
            <a:t>High password issues → Users forget passwords</a:t>
          </a:r>
        </a:p>
        <a:p>
          <a:r>
            <a:rPr lang="en-IN"/>
            <a:t>Many login issues → System authentication problem</a:t>
          </a:r>
        </a:p>
        <a:p>
          <a:r>
            <a:rPr lang="en-IN"/>
            <a:t>Network complaints → Infrastructure instability</a:t>
          </a:r>
        </a:p>
        <a:p>
          <a:r>
            <a:rPr lang="en-IN"/>
            <a:t>Slow systems → Outdated hardware/software</a:t>
          </a:r>
        </a:p>
        <a:p>
          <a:endParaRPr lang="en-IN" sz="1100"/>
        </a:p>
      </xdr:txBody>
    </xdr:sp>
    <xdr:clientData/>
  </xdr:twoCellAnchor>
  <xdr:twoCellAnchor>
    <xdr:from>
      <xdr:col>3</xdr:col>
      <xdr:colOff>0</xdr:colOff>
      <xdr:row>111</xdr:row>
      <xdr:rowOff>0</xdr:rowOff>
    </xdr:from>
    <xdr:to>
      <xdr:col>10</xdr:col>
      <xdr:colOff>304800</xdr:colOff>
      <xdr:row>126</xdr:row>
      <xdr:rowOff>0</xdr:rowOff>
    </xdr:to>
    <xdr:graphicFrame macro="">
      <xdr:nvGraphicFramePr>
        <xdr:cNvPr id="13" name="Chart 12">
          <a:extLst>
            <a:ext uri="{FF2B5EF4-FFF2-40B4-BE49-F238E27FC236}">
              <a16:creationId xmlns:a16="http://schemas.microsoft.com/office/drawing/2014/main" id="{C795FF6B-9FDD-47FE-9237-317738226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304800</xdr:colOff>
      <xdr:row>31</xdr:row>
      <xdr:rowOff>129540</xdr:rowOff>
    </xdr:from>
    <xdr:to>
      <xdr:col>8</xdr:col>
      <xdr:colOff>441960</xdr:colOff>
      <xdr:row>38</xdr:row>
      <xdr:rowOff>38100</xdr:rowOff>
    </xdr:to>
    <xdr:sp macro="" textlink="">
      <xdr:nvSpPr>
        <xdr:cNvPr id="14" name="TextBox 13">
          <a:extLst>
            <a:ext uri="{FF2B5EF4-FFF2-40B4-BE49-F238E27FC236}">
              <a16:creationId xmlns:a16="http://schemas.microsoft.com/office/drawing/2014/main" id="{439A77C4-0CB1-DCCE-1E66-C9C83A08CA82}"/>
            </a:ext>
          </a:extLst>
        </xdr:cNvPr>
        <xdr:cNvSpPr txBox="1"/>
      </xdr:nvSpPr>
      <xdr:spPr>
        <a:xfrm>
          <a:off x="304800" y="5798820"/>
          <a:ext cx="5829300" cy="118872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Insights:</a:t>
          </a:r>
        </a:p>
        <a:p>
          <a:r>
            <a:rPr lang="en-IN"/>
            <a:t>--&gt;Ticket volume shows </a:t>
          </a:r>
          <a:r>
            <a:rPr lang="en-IN" b="1"/>
            <a:t>clear peaks on specific days and hours</a:t>
          </a:r>
          <a:r>
            <a:rPr lang="en-IN"/>
            <a:t>, indicating uneven workload distribution.</a:t>
          </a:r>
        </a:p>
        <a:p>
          <a:r>
            <a:rPr lang="en-IN"/>
            <a:t>--&gt;Higher number of tickets during </a:t>
          </a:r>
          <a:r>
            <a:rPr lang="en-IN" b="1"/>
            <a:t>start of the week and working hours</a:t>
          </a:r>
          <a:r>
            <a:rPr lang="en-IN"/>
            <a:t>, suggesting demand is time-driven.</a:t>
          </a:r>
        </a:p>
        <a:p>
          <a:endParaRPr lang="en-IN" sz="1100"/>
        </a:p>
      </xdr:txBody>
    </xdr:sp>
    <xdr:clientData/>
  </xdr:twoCellAnchor>
  <xdr:twoCellAnchor>
    <xdr:from>
      <xdr:col>0</xdr:col>
      <xdr:colOff>121920</xdr:colOff>
      <xdr:row>75</xdr:row>
      <xdr:rowOff>91440</xdr:rowOff>
    </xdr:from>
    <xdr:to>
      <xdr:col>9</xdr:col>
      <xdr:colOff>487680</xdr:colOff>
      <xdr:row>80</xdr:row>
      <xdr:rowOff>152400</xdr:rowOff>
    </xdr:to>
    <xdr:sp macro="" textlink="">
      <xdr:nvSpPr>
        <xdr:cNvPr id="15" name="TextBox 14">
          <a:extLst>
            <a:ext uri="{FF2B5EF4-FFF2-40B4-BE49-F238E27FC236}">
              <a16:creationId xmlns:a16="http://schemas.microsoft.com/office/drawing/2014/main" id="{B7D58D6E-23A0-55C4-73DF-C5B9CE4D9B91}"/>
            </a:ext>
          </a:extLst>
        </xdr:cNvPr>
        <xdr:cNvSpPr txBox="1"/>
      </xdr:nvSpPr>
      <xdr:spPr>
        <a:xfrm>
          <a:off x="121920" y="13807440"/>
          <a:ext cx="6667500" cy="975360"/>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Insights:</a:t>
          </a:r>
        </a:p>
        <a:p>
          <a:r>
            <a:rPr lang="en-IN"/>
            <a:t>--&gt;Average resolution time varies significantly across categories.</a:t>
          </a:r>
        </a:p>
        <a:p>
          <a:r>
            <a:rPr lang="en-IN" b="1"/>
            <a:t>--&gt;Hardware-related issues take longer</a:t>
          </a:r>
          <a:r>
            <a:rPr lang="en-IN"/>
            <a:t> to resolve compared to software and access issues.</a:t>
          </a:r>
        </a:p>
        <a:p>
          <a:r>
            <a:rPr lang="en-IN"/>
            <a:t>--&gt;Critical tickets are generally resolved faster, indicating </a:t>
          </a:r>
          <a:r>
            <a:rPr lang="en-IN" b="1"/>
            <a:t>priority-based handling is effective</a:t>
          </a:r>
          <a:endParaRPr lang="en-IN"/>
        </a:p>
        <a:p>
          <a:endParaRPr lang="en-IN" sz="1100"/>
        </a:p>
      </xdr:txBody>
    </xdr:sp>
    <xdr:clientData/>
  </xdr:twoCellAnchor>
  <xdr:twoCellAnchor>
    <xdr:from>
      <xdr:col>0</xdr:col>
      <xdr:colOff>45720</xdr:colOff>
      <xdr:row>127</xdr:row>
      <xdr:rowOff>83820</xdr:rowOff>
    </xdr:from>
    <xdr:to>
      <xdr:col>8</xdr:col>
      <xdr:colOff>144780</xdr:colOff>
      <xdr:row>132</xdr:row>
      <xdr:rowOff>15240</xdr:rowOff>
    </xdr:to>
    <xdr:sp macro="" textlink="">
      <xdr:nvSpPr>
        <xdr:cNvPr id="16" name="TextBox 15">
          <a:extLst>
            <a:ext uri="{FF2B5EF4-FFF2-40B4-BE49-F238E27FC236}">
              <a16:creationId xmlns:a16="http://schemas.microsoft.com/office/drawing/2014/main" id="{386A698E-F8A8-CD1D-562D-389FDE1126D8}"/>
            </a:ext>
          </a:extLst>
        </xdr:cNvPr>
        <xdr:cNvSpPr txBox="1"/>
      </xdr:nvSpPr>
      <xdr:spPr>
        <a:xfrm>
          <a:off x="45720" y="23309580"/>
          <a:ext cx="5791200" cy="845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Insights:</a:t>
          </a:r>
        </a:p>
        <a:p>
          <a:r>
            <a:rPr lang="en-IN" b="1"/>
            <a:t>--&gt;</a:t>
          </a:r>
          <a:r>
            <a:rPr lang="en-IN"/>
            <a:t>There is a noticeable difference in resolution times among analysts.</a:t>
          </a:r>
        </a:p>
        <a:p>
          <a:r>
            <a:rPr lang="en-IN"/>
            <a:t>--&gt;Some analysts consistently resolve tickets faster, while others take longer.</a:t>
          </a:r>
        </a:p>
        <a:p>
          <a:r>
            <a:rPr lang="en-IN"/>
            <a:t>--&gt;This suggests </a:t>
          </a:r>
          <a:r>
            <a:rPr lang="en-IN" b="1"/>
            <a:t>skill gaps or uneven workload distribution</a:t>
          </a:r>
          <a:r>
            <a:rPr lang="en-IN"/>
            <a:t>.</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kshman sai" refreshedDate="46101.898790856481" createdVersion="8" refreshedVersion="8" minRefreshableVersion="3" recordCount="150" xr:uid="{7E9E06A9-4B9C-489A-894B-94E86FE0E05C}">
  <cacheSource type="worksheet">
    <worksheetSource name="help_desk_tickets"/>
  </cacheSource>
  <cacheFields count="11">
    <cacheField name="ticket_id" numFmtId="0">
      <sharedItems count="150">
        <s v="TICKET-1000"/>
        <s v="TICKET-1001"/>
        <s v="TICKET-1002"/>
        <s v="TICKET-1003"/>
        <s v="TICKET-1004"/>
        <s v="TICKET-1005"/>
        <s v="TICKET-1006"/>
        <s v="TICKET-1007"/>
        <s v="TICKET-1008"/>
        <s v="TICKET-1009"/>
        <s v="TICKET-1010"/>
        <s v="TICKET-1011"/>
        <s v="TICKET-1012"/>
        <s v="TICKET-1013"/>
        <s v="TICKET-1014"/>
        <s v="TICKET-1015"/>
        <s v="TICKET-1016"/>
        <s v="TICKET-1017"/>
        <s v="TICKET-1018"/>
        <s v="TICKET-1019"/>
        <s v="TICKET-1020"/>
        <s v="TICKET-1021"/>
        <s v="TICKET-1022"/>
        <s v="TICKET-1023"/>
        <s v="TICKET-1024"/>
        <s v="TICKET-1025"/>
        <s v="TICKET-1026"/>
        <s v="TICKET-1027"/>
        <s v="TICKET-1028"/>
        <s v="TICKET-1029"/>
        <s v="TICKET-1030"/>
        <s v="TICKET-1031"/>
        <s v="TICKET-1032"/>
        <s v="TICKET-1033"/>
        <s v="TICKET-1034"/>
        <s v="TICKET-1035"/>
        <s v="TICKET-1036"/>
        <s v="TICKET-1037"/>
        <s v="TICKET-1038"/>
        <s v="TICKET-1039"/>
        <s v="TICKET-1040"/>
        <s v="TICKET-1041"/>
        <s v="TICKET-1042"/>
        <s v="TICKET-1043"/>
        <s v="TICKET-1044"/>
        <s v="TICKET-1045"/>
        <s v="TICKET-1046"/>
        <s v="TICKET-1047"/>
        <s v="TICKET-1048"/>
        <s v="TICKET-1049"/>
        <s v="TICKET-1050"/>
        <s v="TICKET-1051"/>
        <s v="TICKET-1052"/>
        <s v="TICKET-1053"/>
        <s v="TICKET-1054"/>
        <s v="TICKET-1055"/>
        <s v="TICKET-1056"/>
        <s v="TICKET-1057"/>
        <s v="TICKET-1058"/>
        <s v="TICKET-1059"/>
        <s v="TICKET-1060"/>
        <s v="TICKET-1061"/>
        <s v="TICKET-1062"/>
        <s v="TICKET-1063"/>
        <s v="TICKET-1064"/>
        <s v="TICKET-1065"/>
        <s v="TICKET-1066"/>
        <s v="TICKET-1067"/>
        <s v="TICKET-1068"/>
        <s v="TICKET-1069"/>
        <s v="TICKET-1070"/>
        <s v="TICKET-1071"/>
        <s v="TICKET-1072"/>
        <s v="TICKET-1073"/>
        <s v="TICKET-1074"/>
        <s v="TICKET-1075"/>
        <s v="TICKET-1076"/>
        <s v="TICKET-1077"/>
        <s v="TICKET-1078"/>
        <s v="TICKET-1079"/>
        <s v="TICKET-1080"/>
        <s v="TICKET-1081"/>
        <s v="TICKET-1082"/>
        <s v="TICKET-1083"/>
        <s v="TICKET-1084"/>
        <s v="TICKET-1085"/>
        <s v="TICKET-1086"/>
        <s v="TICKET-1087"/>
        <s v="TICKET-1088"/>
        <s v="TICKET-1089"/>
        <s v="TICKET-1090"/>
        <s v="TICKET-1091"/>
        <s v="TICKET-1092"/>
        <s v="TICKET-1093"/>
        <s v="TICKET-1094"/>
        <s v="TICKET-1095"/>
        <s v="TICKET-1096"/>
        <s v="TICKET-1097"/>
        <s v="TICKET-1098"/>
        <s v="TICKET-1099"/>
        <s v="TICKET-1100"/>
        <s v="TICKET-1101"/>
        <s v="TICKET-1102"/>
        <s v="TICKET-1103"/>
        <s v="TICKET-1104"/>
        <s v="TICKET-1105"/>
        <s v="TICKET-1106"/>
        <s v="TICKET-1107"/>
        <s v="TICKET-1108"/>
        <s v="TICKET-1109"/>
        <s v="TICKET-1110"/>
        <s v="TICKET-1111"/>
        <s v="TICKET-1112"/>
        <s v="TICKET-1113"/>
        <s v="TICKET-1114"/>
        <s v="TICKET-1115"/>
        <s v="TICKET-1116"/>
        <s v="TICKET-1117"/>
        <s v="TICKET-1118"/>
        <s v="TICKET-1119"/>
        <s v="TICKET-1120"/>
        <s v="TICKET-1121"/>
        <s v="TICKET-1122"/>
        <s v="TICKET-1123"/>
        <s v="TICKET-1124"/>
        <s v="TICKET-1125"/>
        <s v="TICKET-1126"/>
        <s v="TICKET-1127"/>
        <s v="TICKET-1128"/>
        <s v="TICKET-1129"/>
        <s v="TICKET-1130"/>
        <s v="TICKET-1131"/>
        <s v="TICKET-1132"/>
        <s v="TICKET-1133"/>
        <s v="TICKET-1134"/>
        <s v="TICKET-1135"/>
        <s v="TICKET-1136"/>
        <s v="TICKET-1137"/>
        <s v="TICKET-1138"/>
        <s v="TICKET-1139"/>
        <s v="TICKET-1140"/>
        <s v="TICKET-1141"/>
        <s v="TICKET-1142"/>
        <s v="TICKET-1143"/>
        <s v="TICKET-1144"/>
        <s v="TICKET-1145"/>
        <s v="TICKET-1146"/>
        <s v="TICKET-1147"/>
        <s v="TICKET-1148"/>
        <s v="TICKET-1149"/>
      </sharedItems>
    </cacheField>
    <cacheField name="submission_date" numFmtId="22">
      <sharedItems containsSemiMixedTypes="0" containsNonDate="0" containsDate="1" containsString="0" minDate="2025-06-18T07:42:24" maxDate="2025-09-15T13:02:57"/>
    </cacheField>
    <cacheField name="resolution_date" numFmtId="22">
      <sharedItems containsSemiMixedTypes="0" containsNonDate="0" containsDate="1" containsString="0" minDate="2025-06-19T21:32:31" maxDate="2025-09-17T23:47:19"/>
    </cacheField>
    <cacheField name="category" numFmtId="0">
      <sharedItems count="7">
        <s v="Other"/>
        <s v="Software"/>
        <s v="Hardware"/>
        <s v="Access"/>
        <s v="Network"/>
        <s v="Security"/>
        <s v="Billing"/>
      </sharedItems>
    </cacheField>
    <cacheField name="assigned_analyst" numFmtId="0">
      <sharedItems count="10">
        <s v="Toni Wiley"/>
        <s v="Tanya Jones"/>
        <s v="Sheila Ball"/>
        <s v="Cynthia Rich"/>
        <s v="Janice Burns"/>
        <s v="Autumn Ryan"/>
        <s v="Amanda White"/>
        <s v="Adam Stone"/>
        <s v="Natasha Harris"/>
        <s v="Marvin West"/>
      </sharedItems>
    </cacheField>
    <cacheField name="description" numFmtId="0">
      <sharedItems/>
    </cacheField>
    <cacheField name="priority" numFmtId="0">
      <sharedItems count="4">
        <s v="High"/>
        <s v="Medium"/>
        <s v="Low"/>
        <s v="Critical"/>
      </sharedItems>
    </cacheField>
    <cacheField name="resolution time(hrs)" numFmtId="2">
      <sharedItems containsSemiMixedTypes="0" containsString="0" containsNumber="1" minValue="1.5365711110644042" maxValue="167.59663333342178" count="150">
        <n v="5.1735194443026558"/>
        <n v="35.835202500165906"/>
        <n v="38.309437222138513"/>
        <n v="7.8459174998570234"/>
        <n v="9.1162586110294797"/>
        <n v="133.33368777780561"/>
        <n v="27.559388611174654"/>
        <n v="108.71431305556325"/>
        <n v="17.387358055450022"/>
        <n v="29.151189166645054"/>
        <n v="147.14153555547819"/>
        <n v="3.8372252777335234"/>
        <n v="17.115037777635735"/>
        <n v="102.76395222230349"/>
        <n v="2.6426983333658427"/>
        <n v="2.7640861112158746"/>
        <n v="116.44657277769875"/>
        <n v="51.917999999946915"/>
        <n v="84.755737222207244"/>
        <n v="40.523201944597531"/>
        <n v="36.284043888968881"/>
        <n v="45.837676111143082"/>
        <n v="17.074626111018006"/>
        <n v="39.931116944295354"/>
        <n v="102.08274805551628"/>
        <n v="37.885860555397812"/>
        <n v="11.800193611183204"/>
        <n v="45.769049444468692"/>
        <n v="42.905720833281521"/>
        <n v="32.695510555640794"/>
        <n v="150.35184000001755"/>
        <n v="7.605974166712258"/>
        <n v="132.49974805559032"/>
        <n v="129.92903861106606"/>
        <n v="146.62014916667249"/>
        <n v="25.812275277741719"/>
        <n v="93.53977527783718"/>
        <n v="149.17866722226609"/>
        <n v="10.381147500069346"/>
        <n v="12.236511666735169"/>
        <n v="41.163475833367556"/>
        <n v="24.935883611091413"/>
        <n v="154.30078833340667"/>
        <n v="1.5365711110644042"/>
        <n v="4.1308872221270576"/>
        <n v="11.384240555518772"/>
        <n v="45.981415000045672"/>
        <n v="117.5607711111079"/>
        <n v="12.453128611086868"/>
        <n v="26.690726388827898"/>
        <n v="110.78663972223876"/>
        <n v="149.55620611121412"/>
        <n v="15.098936111025978"/>
        <n v="13.197324722190388"/>
        <n v="10.050953888974618"/>
        <n v="40.6832955556456"/>
        <n v="30.605780277808663"/>
        <n v="166.32303749991115"/>
        <n v="41.562863888859283"/>
        <n v="31.670991666731425"/>
        <n v="24.736738611012697"/>
        <n v="37.730805833358318"/>
        <n v="23.700668055564165"/>
        <n v="7.9743663890403695"/>
        <n v="8.061980833299458"/>
        <n v="14.739059999934398"/>
        <n v="133.72519416664727"/>
        <n v="34.74484305549413"/>
        <n v="78.502738055598456"/>
        <n v="24.10892333323136"/>
        <n v="3.2174966666498221"/>
        <n v="20.049746666802093"/>
        <n v="37.835306111199316"/>
        <n v="8.1097877778229304"/>
        <n v="144.03052083333023"/>
        <n v="7.8787933333078399"/>
        <n v="3.6636022223392501"/>
        <n v="6.9611850001383573"/>
        <n v="63.510849166719709"/>
        <n v="95.163950277725235"/>
        <n v="149.81765777774854"/>
        <n v="105.16462888894603"/>
        <n v="45.064024999912363"/>
        <n v="59.617646111059003"/>
        <n v="110.1942252778681"/>
        <n v="8.7434869445278309"/>
        <n v="35.308717777894344"/>
        <n v="20.010911666729953"/>
        <n v="31.555126111081336"/>
        <n v="145.01276666665217"/>
        <n v="18.295303888851777"/>
        <n v="150.53814916661941"/>
        <n v="46.390991388936527"/>
        <n v="81.685709444456734"/>
        <n v="105.60925638891058"/>
        <n v="28.03102111100452"/>
        <n v="43.742991944483947"/>
        <n v="160.21090972214006"/>
        <n v="3.0616666665882803"/>
        <n v="8.8113313889480196"/>
        <n v="2.0685291665140539"/>
        <n v="41.605333055660594"/>
        <n v="26.523077222169377"/>
        <n v="11.395052499894518"/>
        <n v="4.2905477777821943"/>
        <n v="57.938167222193442"/>
        <n v="30.193269999988843"/>
        <n v="65.283170000009704"/>
        <n v="4.9788058333215304"/>
        <n v="166.00622638879577"/>
        <n v="6.6577211111434735"/>
        <n v="167.1715288888081"/>
        <n v="116.64569888898404"/>
        <n v="2.1963722222135402"/>
        <n v="14.470271944475826"/>
        <n v="113.8086258333642"/>
        <n v="32.350627777632326"/>
        <n v="43.645191388903186"/>
        <n v="158.29285000014352"/>
        <n v="18.82843583333306"/>
        <n v="18.383862222195603"/>
        <n v="14.387060000037309"/>
        <n v="18.575216944387648"/>
        <n v="41.91713083331706"/>
        <n v="12.709414444339927"/>
        <n v="17.723529444483574"/>
        <n v="94.699863889021799"/>
        <n v="106.00362472218694"/>
        <n v="8.2745905556366779"/>
        <n v="46.646001110959332"/>
        <n v="43.714935555530246"/>
        <n v="92.843407499953173"/>
        <n v="83.458815555553883"/>
        <n v="9.9665258334134705"/>
        <n v="167.59663333342178"/>
        <n v="114.81629194447305"/>
        <n v="77.951536388893146"/>
        <n v="38.037633333296981"/>
        <n v="23.30690499994671"/>
        <n v="139.76372777792858"/>
        <n v="14.877491944294889"/>
        <n v="12.868507222097833"/>
        <n v="29.233325555396732"/>
        <n v="88.001805555482861"/>
        <n v="12.229459166759625"/>
        <n v="2.009704444441013"/>
        <n v="7.8493558333721012"/>
        <n v="84.07412638887763"/>
        <n v="26.466056111035869"/>
        <n v="24.012929166667163"/>
      </sharedItems>
    </cacheField>
    <cacheField name="day of week" numFmtId="0">
      <sharedItems count="7">
        <s v="Fri"/>
        <s v="Mon"/>
        <s v="Thu"/>
        <s v="Wed"/>
        <s v="Sat"/>
        <s v="Tue"/>
        <s v="Sun"/>
      </sharedItems>
    </cacheField>
    <cacheField name="month name" numFmtId="0">
      <sharedItems count="4">
        <s v="Jun"/>
        <s v="Sep"/>
        <s v="Jul"/>
        <s v="Aug"/>
      </sharedItems>
    </cacheField>
    <cacheField name="hour of submission" numFmtId="0">
      <sharedItems containsSemiMixedTypes="0" containsString="0" containsNumber="1" containsInteger="1" minValue="0" maxValue="23" count="24">
        <n v="22"/>
        <n v="19"/>
        <n v="9"/>
        <n v="17"/>
        <n v="21"/>
        <n v="20"/>
        <n v="10"/>
        <n v="7"/>
        <n v="16"/>
        <n v="14"/>
        <n v="13"/>
        <n v="1"/>
        <n v="11"/>
        <n v="23"/>
        <n v="12"/>
        <n v="3"/>
        <n v="5"/>
        <n v="0"/>
        <n v="18"/>
        <n v="8"/>
        <n v="15"/>
        <n v="2"/>
        <n v="6"/>
        <n v="4"/>
      </sharedItems>
    </cacheField>
  </cacheFields>
  <extLst>
    <ext xmlns:x14="http://schemas.microsoft.com/office/spreadsheetml/2009/9/main" uri="{725AE2AE-9491-48be-B2B4-4EB974FC3084}">
      <x14:pivotCacheDefinition pivotCacheId="1139638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d v="2025-06-27T22:36:16"/>
    <d v="2025-06-28T03:46:41"/>
    <x v="0"/>
    <x v="0"/>
    <s v="Dream part subject until full. Brother century suddenly above. Six eight benefit animal move best."/>
    <x v="0"/>
    <x v="0"/>
    <x v="0"/>
    <x v="0"/>
    <x v="0"/>
  </r>
  <r>
    <x v="1"/>
    <d v="2025-09-01T19:27:59"/>
    <d v="2025-09-03T07:18:06"/>
    <x v="1"/>
    <x v="1"/>
    <s v="Application X is crashing every time I open it. Lead how phone also score player later blue."/>
    <x v="1"/>
    <x v="1"/>
    <x v="1"/>
    <x v="1"/>
    <x v="1"/>
  </r>
  <r>
    <x v="2"/>
    <d v="2025-09-04T09:32:03"/>
    <d v="2025-09-05T23:50:37"/>
    <x v="0"/>
    <x v="2"/>
    <s v="Black attack cold would page. Reality she war a chance. Physical hour Mr item red agreement for."/>
    <x v="1"/>
    <x v="2"/>
    <x v="2"/>
    <x v="1"/>
    <x v="2"/>
  </r>
  <r>
    <x v="3"/>
    <d v="2025-07-28T17:47:34"/>
    <d v="2025-07-29T01:38:19"/>
    <x v="2"/>
    <x v="3"/>
    <s v="My laptop's keyboard isn't working properly, some keys are stuck. Tree culture above effort more national whether."/>
    <x v="0"/>
    <x v="3"/>
    <x v="1"/>
    <x v="2"/>
    <x v="3"/>
  </r>
  <r>
    <x v="4"/>
    <d v="2025-09-03T21:46:09"/>
    <d v="2025-09-04T06:53:07"/>
    <x v="1"/>
    <x v="4"/>
    <s v="Application X is crashing every time I open it. Order wrong fight foreign bad house pick."/>
    <x v="0"/>
    <x v="4"/>
    <x v="3"/>
    <x v="1"/>
    <x v="4"/>
  </r>
  <r>
    <x v="5"/>
    <d v="2025-08-04T20:32:40"/>
    <d v="2025-08-10T09:52:42"/>
    <x v="1"/>
    <x v="2"/>
    <s v="Application X is crashing every time I open it. Sport should network realize relate very voice."/>
    <x v="2"/>
    <x v="5"/>
    <x v="1"/>
    <x v="3"/>
    <x v="5"/>
  </r>
  <r>
    <x v="6"/>
    <d v="2025-08-22T10:38:16"/>
    <d v="2025-08-23T14:11:49"/>
    <x v="3"/>
    <x v="5"/>
    <s v="I'm locked out of my account and can't reset my password. If rather year suffer wrong."/>
    <x v="2"/>
    <x v="6"/>
    <x v="0"/>
    <x v="3"/>
    <x v="6"/>
  </r>
  <r>
    <x v="7"/>
    <d v="2025-07-05T07:43:28"/>
    <d v="2025-07-09T20:26:19"/>
    <x v="1"/>
    <x v="6"/>
    <s v="Application X is crashing every time I open it. Here bill leg region training. Grow new may."/>
    <x v="2"/>
    <x v="7"/>
    <x v="4"/>
    <x v="2"/>
    <x v="7"/>
  </r>
  <r>
    <x v="8"/>
    <d v="2025-07-07T16:41:14"/>
    <d v="2025-07-08T10:04:28"/>
    <x v="2"/>
    <x v="6"/>
    <s v="My laptop's keyboard isn't working properly, some keys are stuck. Common maintain theory involve ok detail."/>
    <x v="1"/>
    <x v="8"/>
    <x v="1"/>
    <x v="2"/>
    <x v="8"/>
  </r>
  <r>
    <x v="9"/>
    <d v="2025-09-10T14:49:33"/>
    <d v="2025-09-11T19:58:37"/>
    <x v="1"/>
    <x v="2"/>
    <s v="Application X is crashing every time I open it. Responsibility again recently traditional word."/>
    <x v="1"/>
    <x v="9"/>
    <x v="3"/>
    <x v="1"/>
    <x v="9"/>
  </r>
  <r>
    <x v="10"/>
    <d v="2025-08-27T13:20:02"/>
    <d v="2025-09-02T16:28:31"/>
    <x v="1"/>
    <x v="7"/>
    <s v="Application X is crashing every time I open it. Structure this woman born."/>
    <x v="2"/>
    <x v="10"/>
    <x v="3"/>
    <x v="3"/>
    <x v="10"/>
  </r>
  <r>
    <x v="11"/>
    <d v="2025-06-24T01:56:19"/>
    <d v="2025-06-24T05:46:33"/>
    <x v="4"/>
    <x v="8"/>
    <s v="Can't connect to the Wi-Fi. It's showing 'No internet access'. Maintain without college strong few not week."/>
    <x v="0"/>
    <x v="11"/>
    <x v="5"/>
    <x v="0"/>
    <x v="11"/>
  </r>
  <r>
    <x v="12"/>
    <d v="2025-06-28T09:51:47"/>
    <d v="2025-06-29T02:58:41"/>
    <x v="4"/>
    <x v="0"/>
    <s v="Can't connect to the Wi-Fi. It's showing 'No internet access'. Official human task door century energy Mr."/>
    <x v="1"/>
    <x v="12"/>
    <x v="4"/>
    <x v="0"/>
    <x v="2"/>
  </r>
  <r>
    <x v="13"/>
    <d v="2025-07-22T09:08:54"/>
    <d v="2025-07-26T15:54:44"/>
    <x v="1"/>
    <x v="6"/>
    <s v="Application X is crashing every time I open it. Spring operation performance glass choice kind."/>
    <x v="2"/>
    <x v="13"/>
    <x v="5"/>
    <x v="2"/>
    <x v="2"/>
  </r>
  <r>
    <x v="14"/>
    <d v="2025-07-09T22:32:58"/>
    <d v="2025-07-10T01:11:32"/>
    <x v="1"/>
    <x v="1"/>
    <s v="Application X is crashing every time I open it. Summer yard maintain fire ask eight."/>
    <x v="0"/>
    <x v="14"/>
    <x v="3"/>
    <x v="2"/>
    <x v="0"/>
  </r>
  <r>
    <x v="15"/>
    <d v="2025-07-23T22:34:11"/>
    <d v="2025-07-24T01:20:01"/>
    <x v="1"/>
    <x v="9"/>
    <s v="Application X is crashing every time I open it. Least check between event. Can brother two form."/>
    <x v="0"/>
    <x v="15"/>
    <x v="3"/>
    <x v="2"/>
    <x v="0"/>
  </r>
  <r>
    <x v="16"/>
    <d v="2025-08-06T11:52:05"/>
    <d v="2025-08-11T08:18:53"/>
    <x v="1"/>
    <x v="6"/>
    <s v="Application X is crashing every time I open it. Resource in affect charge customer accept dream."/>
    <x v="2"/>
    <x v="16"/>
    <x v="3"/>
    <x v="3"/>
    <x v="12"/>
  </r>
  <r>
    <x v="17"/>
    <d v="2025-06-30T16:42:14"/>
    <d v="2025-07-02T20:37:19"/>
    <x v="5"/>
    <x v="0"/>
    <s v="Thought national word picture each deep."/>
    <x v="2"/>
    <x v="17"/>
    <x v="1"/>
    <x v="0"/>
    <x v="8"/>
  </r>
  <r>
    <x v="18"/>
    <d v="2025-06-30T23:03:04"/>
    <d v="2025-07-04T11:48:25"/>
    <x v="4"/>
    <x v="3"/>
    <s v="Can't connect to the Wi-Fi. It's showing 'No internet access'. Card series research else cup though artist."/>
    <x v="2"/>
    <x v="18"/>
    <x v="1"/>
    <x v="0"/>
    <x v="13"/>
  </r>
  <r>
    <x v="19"/>
    <d v="2025-07-03T07:27:15"/>
    <d v="2025-07-04T23:58:39"/>
    <x v="2"/>
    <x v="3"/>
    <s v="My laptop's keyboard isn't working properly, some keys are stuck. Young up grow after offer east region would."/>
    <x v="1"/>
    <x v="19"/>
    <x v="2"/>
    <x v="2"/>
    <x v="7"/>
  </r>
  <r>
    <x v="20"/>
    <d v="2025-06-23T22:49:38"/>
    <d v="2025-06-25T11:06:40"/>
    <x v="1"/>
    <x v="1"/>
    <s v="Application X is crashing every time I open it. Nice then management."/>
    <x v="1"/>
    <x v="20"/>
    <x v="1"/>
    <x v="0"/>
    <x v="0"/>
  </r>
  <r>
    <x v="21"/>
    <d v="2025-07-08T11:34:57"/>
    <d v="2025-07-10T09:25:12"/>
    <x v="1"/>
    <x v="0"/>
    <s v="Application X is crashing every time I open it. Water act involve follow hot."/>
    <x v="1"/>
    <x v="21"/>
    <x v="5"/>
    <x v="2"/>
    <x v="12"/>
  </r>
  <r>
    <x v="22"/>
    <d v="2025-06-22T23:29:46"/>
    <d v="2025-06-23T16:34:14"/>
    <x v="1"/>
    <x v="7"/>
    <s v="Application X is crashing every time I open it. Another such apply table let."/>
    <x v="1"/>
    <x v="22"/>
    <x v="6"/>
    <x v="0"/>
    <x v="13"/>
  </r>
  <r>
    <x v="23"/>
    <d v="2025-08-29T12:27:53"/>
    <d v="2025-08-31T04:23:45"/>
    <x v="1"/>
    <x v="4"/>
    <s v="Application X is crashing every time I open it. Senior per draw day mention sea quickly."/>
    <x v="1"/>
    <x v="23"/>
    <x v="0"/>
    <x v="3"/>
    <x v="14"/>
  </r>
  <r>
    <x v="24"/>
    <d v="2025-07-12T03:37:37"/>
    <d v="2025-07-16T09:42:35"/>
    <x v="4"/>
    <x v="3"/>
    <s v="Can't connect to the Wi-Fi. It's showing 'No internet access'. Race Republican expect east might collection."/>
    <x v="2"/>
    <x v="24"/>
    <x v="4"/>
    <x v="2"/>
    <x v="15"/>
  </r>
  <r>
    <x v="25"/>
    <d v="2025-07-13T05:42:50"/>
    <d v="2025-07-14T19:35:59"/>
    <x v="1"/>
    <x v="1"/>
    <s v="Application X is crashing every time I open it. Total maintain service writer."/>
    <x v="1"/>
    <x v="25"/>
    <x v="6"/>
    <x v="2"/>
    <x v="16"/>
  </r>
  <r>
    <x v="26"/>
    <d v="2025-06-24T00:26:51"/>
    <d v="2025-06-24T12:14:52"/>
    <x v="4"/>
    <x v="4"/>
    <s v="Can't connect to the Wi-Fi. It's showing 'No internet access'. Individual herself decide generation."/>
    <x v="0"/>
    <x v="26"/>
    <x v="5"/>
    <x v="0"/>
    <x v="17"/>
  </r>
  <r>
    <x v="27"/>
    <d v="2025-07-03T19:29:05"/>
    <d v="2025-07-05T17:15:14"/>
    <x v="6"/>
    <x v="1"/>
    <s v="Yourself floor foot character choose. Brother prepare but film key name."/>
    <x v="1"/>
    <x v="27"/>
    <x v="2"/>
    <x v="2"/>
    <x v="1"/>
  </r>
  <r>
    <x v="28"/>
    <d v="2025-09-15T13:02:57"/>
    <d v="2025-09-17T07:57:18"/>
    <x v="0"/>
    <x v="0"/>
    <s v="Successful radio play network yet. Fill director direction ready white."/>
    <x v="2"/>
    <x v="28"/>
    <x v="1"/>
    <x v="1"/>
    <x v="10"/>
  </r>
  <r>
    <x v="29"/>
    <d v="2025-08-27T21:57:13"/>
    <d v="2025-08-29T06:38:57"/>
    <x v="1"/>
    <x v="2"/>
    <s v="Application X is crashing every time I open it. Southern beat general first much hotel agency."/>
    <x v="1"/>
    <x v="29"/>
    <x v="3"/>
    <x v="3"/>
    <x v="4"/>
  </r>
  <r>
    <x v="30"/>
    <d v="2025-08-30T20:17:04"/>
    <d v="2025-09-06T02:38:11"/>
    <x v="4"/>
    <x v="2"/>
    <s v="Can't connect to the Wi-Fi. It's showing 'No internet access'. Cup government by life reduce each customer."/>
    <x v="2"/>
    <x v="30"/>
    <x v="4"/>
    <x v="3"/>
    <x v="5"/>
  </r>
  <r>
    <x v="31"/>
    <d v="2025-08-24T23:58:58"/>
    <d v="2025-08-25T07:35:19"/>
    <x v="1"/>
    <x v="1"/>
    <s v="Application X is crashing every time I open it. Market growth film."/>
    <x v="0"/>
    <x v="31"/>
    <x v="6"/>
    <x v="3"/>
    <x v="13"/>
  </r>
  <r>
    <x v="32"/>
    <d v="2025-07-11T18:10:39"/>
    <d v="2025-07-17T06:40:38"/>
    <x v="4"/>
    <x v="6"/>
    <s v="Can't connect to the Wi-Fi. It's showing 'No internet access'. Could north state feel others participant."/>
    <x v="2"/>
    <x v="32"/>
    <x v="0"/>
    <x v="2"/>
    <x v="18"/>
  </r>
  <r>
    <x v="33"/>
    <d v="2025-09-04T19:33:03"/>
    <d v="2025-09-10T05:28:47"/>
    <x v="6"/>
    <x v="5"/>
    <s v="Follow chair add finally these plan staff. Across shoulder school free."/>
    <x v="2"/>
    <x v="33"/>
    <x v="2"/>
    <x v="1"/>
    <x v="1"/>
  </r>
  <r>
    <x v="34"/>
    <d v="2025-08-24T17:06:08"/>
    <d v="2025-08-30T19:43:21"/>
    <x v="1"/>
    <x v="4"/>
    <s v="Application X is crashing every time I open it. Bag half join treat water by affect."/>
    <x v="2"/>
    <x v="34"/>
    <x v="6"/>
    <x v="3"/>
    <x v="3"/>
  </r>
  <r>
    <x v="35"/>
    <d v="2025-06-30T17:48:03"/>
    <d v="2025-07-01T19:36:47"/>
    <x v="2"/>
    <x v="1"/>
    <s v="My laptop's keyboard isn't working properly, some keys are stuck. Science bad news pressure anything probably save."/>
    <x v="2"/>
    <x v="35"/>
    <x v="1"/>
    <x v="0"/>
    <x v="3"/>
  </r>
  <r>
    <x v="36"/>
    <d v="2025-09-09T08:46:26"/>
    <d v="2025-09-13T06:18:49"/>
    <x v="1"/>
    <x v="8"/>
    <s v="Application X is crashing every time I open it. Fund project find law identify close worker."/>
    <x v="2"/>
    <x v="36"/>
    <x v="5"/>
    <x v="1"/>
    <x v="19"/>
  </r>
  <r>
    <x v="37"/>
    <d v="2025-08-11T10:56:36"/>
    <d v="2025-08-17T16:07:19"/>
    <x v="0"/>
    <x v="7"/>
    <s v="Rate play media air. Trade thank hundred choice reduce remember possible us."/>
    <x v="2"/>
    <x v="37"/>
    <x v="1"/>
    <x v="3"/>
    <x v="6"/>
  </r>
  <r>
    <x v="38"/>
    <d v="2025-09-01T16:20:12"/>
    <d v="2025-09-02T02:43:04"/>
    <x v="1"/>
    <x v="5"/>
    <s v="Application X is crashing every time I open it. Effort avoid door shoulder cut."/>
    <x v="1"/>
    <x v="38"/>
    <x v="1"/>
    <x v="1"/>
    <x v="8"/>
  </r>
  <r>
    <x v="39"/>
    <d v="2025-08-14T20:30:07"/>
    <d v="2025-08-15T08:44:19"/>
    <x v="3"/>
    <x v="6"/>
    <s v="I'm locked out of my account and can't reset my password. Point fine stop radio chair tree career scene."/>
    <x v="1"/>
    <x v="39"/>
    <x v="2"/>
    <x v="3"/>
    <x v="5"/>
  </r>
  <r>
    <x v="40"/>
    <d v="2025-09-05T05:49:39"/>
    <d v="2025-09-06T22:59:27"/>
    <x v="4"/>
    <x v="0"/>
    <s v="Can't connect to the Wi-Fi. It's showing 'No internet access'. Simple practice operation move put."/>
    <x v="1"/>
    <x v="40"/>
    <x v="0"/>
    <x v="1"/>
    <x v="16"/>
  </r>
  <r>
    <x v="41"/>
    <d v="2025-09-13T18:26:30"/>
    <d v="2025-09-14T19:22:39"/>
    <x v="2"/>
    <x v="1"/>
    <s v="My laptop's keyboard isn't working properly, some keys are stuck. Firm discuss audience say amount."/>
    <x v="2"/>
    <x v="41"/>
    <x v="4"/>
    <x v="1"/>
    <x v="18"/>
  </r>
  <r>
    <x v="42"/>
    <d v="2025-07-28T00:42:24"/>
    <d v="2025-08-03T11:00:27"/>
    <x v="6"/>
    <x v="9"/>
    <s v="Physical business information._x000a_Activity else house another. Still protect admit answer."/>
    <x v="2"/>
    <x v="42"/>
    <x v="1"/>
    <x v="2"/>
    <x v="17"/>
  </r>
  <r>
    <x v="43"/>
    <d v="2025-07-30T21:37:33"/>
    <d v="2025-07-30T23:09:44"/>
    <x v="1"/>
    <x v="6"/>
    <s v="Application X is crashing every time I open it. Anything despite not."/>
    <x v="3"/>
    <x v="43"/>
    <x v="3"/>
    <x v="2"/>
    <x v="4"/>
  </r>
  <r>
    <x v="44"/>
    <d v="2025-08-03T03:02:33"/>
    <d v="2025-08-03T07:10:24"/>
    <x v="2"/>
    <x v="5"/>
    <s v="My laptop's keyboard isn't working properly, some keys are stuck. Film answer tax different carry represent."/>
    <x v="0"/>
    <x v="44"/>
    <x v="6"/>
    <x v="3"/>
    <x v="15"/>
  </r>
  <r>
    <x v="45"/>
    <d v="2025-07-05T09:41:54"/>
    <d v="2025-07-05T21:04:57"/>
    <x v="1"/>
    <x v="1"/>
    <s v="Application X is crashing every time I open it. American computer let go event."/>
    <x v="0"/>
    <x v="45"/>
    <x v="4"/>
    <x v="2"/>
    <x v="2"/>
  </r>
  <r>
    <x v="46"/>
    <d v="2025-08-30T13:43:06"/>
    <d v="2025-09-01T11:41:59"/>
    <x v="4"/>
    <x v="4"/>
    <s v="Can't connect to the Wi-Fi. It's showing 'No internet access'. Build oil wait community less happen."/>
    <x v="1"/>
    <x v="46"/>
    <x v="4"/>
    <x v="3"/>
    <x v="10"/>
  </r>
  <r>
    <x v="47"/>
    <d v="2025-06-22T15:23:41"/>
    <d v="2025-06-27T12:57:19"/>
    <x v="3"/>
    <x v="1"/>
    <s v="I'm locked out of my account and can't reset my password. Decide stuff agree national politics current son."/>
    <x v="2"/>
    <x v="47"/>
    <x v="6"/>
    <x v="0"/>
    <x v="20"/>
  </r>
  <r>
    <x v="48"/>
    <d v="2025-07-03T03:12:43"/>
    <d v="2025-07-03T15:39:54"/>
    <x v="4"/>
    <x v="1"/>
    <s v="Can't connect to the Wi-Fi. It's showing 'No internet access'. Phone interview worker could."/>
    <x v="1"/>
    <x v="48"/>
    <x v="2"/>
    <x v="2"/>
    <x v="15"/>
  </r>
  <r>
    <x v="49"/>
    <d v="2025-08-09T17:51:19"/>
    <d v="2025-08-10T20:32:46"/>
    <x v="4"/>
    <x v="1"/>
    <s v="Can't connect to the Wi-Fi. It's showing 'No internet access'. Together life least mission."/>
    <x v="1"/>
    <x v="49"/>
    <x v="4"/>
    <x v="3"/>
    <x v="3"/>
  </r>
  <r>
    <x v="50"/>
    <d v="2025-07-23T08:22:42"/>
    <d v="2025-07-27T23:09:54"/>
    <x v="0"/>
    <x v="3"/>
    <s v="If forget newspaper behavior note put. Almost affect entire. Trial set capital real."/>
    <x v="2"/>
    <x v="50"/>
    <x v="3"/>
    <x v="2"/>
    <x v="19"/>
  </r>
  <r>
    <x v="51"/>
    <d v="2025-07-31T19:51:43"/>
    <d v="2025-08-07T01:25:06"/>
    <x v="1"/>
    <x v="1"/>
    <s v="Application X is crashing every time I open it. My sound short."/>
    <x v="2"/>
    <x v="51"/>
    <x v="2"/>
    <x v="2"/>
    <x v="1"/>
  </r>
  <r>
    <x v="52"/>
    <d v="2025-06-29T02:21:50"/>
    <d v="2025-06-29T17:27:46"/>
    <x v="1"/>
    <x v="3"/>
    <s v="Application X is crashing every time I open it. Where culture site value set."/>
    <x v="1"/>
    <x v="52"/>
    <x v="6"/>
    <x v="0"/>
    <x v="21"/>
  </r>
  <r>
    <x v="53"/>
    <d v="2025-08-15T20:41:48"/>
    <d v="2025-08-16T09:53:39"/>
    <x v="1"/>
    <x v="1"/>
    <s v="Application X is crashing every time I open it. Go claim billion small experience old."/>
    <x v="1"/>
    <x v="53"/>
    <x v="0"/>
    <x v="3"/>
    <x v="5"/>
  </r>
  <r>
    <x v="54"/>
    <d v="2025-07-15T09:00:06"/>
    <d v="2025-07-15T19:03:10"/>
    <x v="4"/>
    <x v="2"/>
    <s v="Can't connect to the Wi-Fi. It's showing 'No internet access'. Option name including."/>
    <x v="0"/>
    <x v="54"/>
    <x v="5"/>
    <x v="2"/>
    <x v="2"/>
  </r>
  <r>
    <x v="55"/>
    <d v="2025-06-21T01:06:48"/>
    <d v="2025-06-22T17:47:48"/>
    <x v="3"/>
    <x v="1"/>
    <s v="I'm locked out of my account and can't reset my password. Idea enter expert decision something."/>
    <x v="1"/>
    <x v="55"/>
    <x v="4"/>
    <x v="0"/>
    <x v="11"/>
  </r>
  <r>
    <x v="56"/>
    <d v="2025-08-02T07:52:13"/>
    <d v="2025-08-03T14:28:34"/>
    <x v="0"/>
    <x v="3"/>
    <s v="Through culture similar finally. Oil world money about fine street small."/>
    <x v="1"/>
    <x v="56"/>
    <x v="4"/>
    <x v="3"/>
    <x v="7"/>
  </r>
  <r>
    <x v="57"/>
    <d v="2025-07-22T08:29:35"/>
    <d v="2025-07-29T06:48:58"/>
    <x v="5"/>
    <x v="6"/>
    <s v="Weight go sort sign law response since. Sister other actually Mrs fight everything get."/>
    <x v="2"/>
    <x v="57"/>
    <x v="5"/>
    <x v="2"/>
    <x v="19"/>
  </r>
  <r>
    <x v="58"/>
    <d v="2025-08-06T13:42:51"/>
    <d v="2025-08-08T07:16:37"/>
    <x v="0"/>
    <x v="6"/>
    <s v="Particular ask company nearly exist exactly friend."/>
    <x v="1"/>
    <x v="58"/>
    <x v="3"/>
    <x v="3"/>
    <x v="10"/>
  </r>
  <r>
    <x v="59"/>
    <d v="2025-06-19T06:37:43"/>
    <d v="2025-06-20T14:17:59"/>
    <x v="1"/>
    <x v="5"/>
    <s v="Application X is crashing every time I open it. Skin subject purpose baby training."/>
    <x v="1"/>
    <x v="59"/>
    <x v="2"/>
    <x v="0"/>
    <x v="22"/>
  </r>
  <r>
    <x v="60"/>
    <d v="2025-08-27T11:05:38"/>
    <d v="2025-08-28T11:49:50"/>
    <x v="2"/>
    <x v="3"/>
    <s v="My laptop's keyboard isn't working properly, some keys are stuck. Than none office improve."/>
    <x v="1"/>
    <x v="60"/>
    <x v="3"/>
    <x v="3"/>
    <x v="12"/>
  </r>
  <r>
    <x v="61"/>
    <d v="2025-09-10T20:19:38"/>
    <d v="2025-09-12T10:03:29"/>
    <x v="1"/>
    <x v="0"/>
    <s v="Application X is crashing every time I open it. With because article scene father black."/>
    <x v="1"/>
    <x v="61"/>
    <x v="3"/>
    <x v="1"/>
    <x v="5"/>
  </r>
  <r>
    <x v="62"/>
    <d v="2025-07-01T16:39:40"/>
    <d v="2025-07-02T16:21:43"/>
    <x v="1"/>
    <x v="7"/>
    <s v="Application X is crashing every time I open it. Food pass energy fund need read anything."/>
    <x v="1"/>
    <x v="62"/>
    <x v="5"/>
    <x v="2"/>
    <x v="8"/>
  </r>
  <r>
    <x v="63"/>
    <d v="2025-08-02T07:57:09"/>
    <d v="2025-08-02T15:55:37"/>
    <x v="3"/>
    <x v="7"/>
    <s v="I'm locked out of my account and can't reset my password. Agreement news significant cultural agree."/>
    <x v="0"/>
    <x v="63"/>
    <x v="4"/>
    <x v="3"/>
    <x v="7"/>
  </r>
  <r>
    <x v="64"/>
    <d v="2025-09-10T05:58:12"/>
    <d v="2025-09-10T14:01:55"/>
    <x v="3"/>
    <x v="4"/>
    <s v="I'm locked out of my account and can't reset my password. Especially under always tend teacher build."/>
    <x v="1"/>
    <x v="64"/>
    <x v="3"/>
    <x v="1"/>
    <x v="16"/>
  </r>
  <r>
    <x v="65"/>
    <d v="2025-08-17T19:11:16"/>
    <d v="2025-08-18T09:55:36"/>
    <x v="4"/>
    <x v="0"/>
    <s v="Can't connect to the Wi-Fi. It's showing 'No internet access'. Child as debate economy."/>
    <x v="1"/>
    <x v="65"/>
    <x v="6"/>
    <x v="3"/>
    <x v="1"/>
  </r>
  <r>
    <x v="66"/>
    <d v="2025-07-18T06:21:58"/>
    <d v="2025-07-23T20:05:28"/>
    <x v="2"/>
    <x v="2"/>
    <s v="My laptop's keyboard isn't working properly, some keys are stuck. Someone poor mission fill free."/>
    <x v="2"/>
    <x v="66"/>
    <x v="0"/>
    <x v="2"/>
    <x v="22"/>
  </r>
  <r>
    <x v="67"/>
    <d v="2025-07-06T02:18:19"/>
    <d v="2025-07-07T13:03:00"/>
    <x v="4"/>
    <x v="7"/>
    <s v="Can't connect to the Wi-Fi. It's showing 'No internet access'. Represent safe scene wall dog."/>
    <x v="1"/>
    <x v="67"/>
    <x v="6"/>
    <x v="2"/>
    <x v="21"/>
  </r>
  <r>
    <x v="68"/>
    <d v="2025-08-25T22:46:50"/>
    <d v="2025-08-29T05:16:59"/>
    <x v="1"/>
    <x v="5"/>
    <s v="Application X is crashing every time I open it. Claim success those baby."/>
    <x v="2"/>
    <x v="68"/>
    <x v="1"/>
    <x v="3"/>
    <x v="0"/>
  </r>
  <r>
    <x v="69"/>
    <d v="2025-09-07T00:30:29"/>
    <d v="2025-09-08T00:37:01"/>
    <x v="1"/>
    <x v="4"/>
    <s v="Application X is crashing every time I open it. Term lot their. Dark itself deal race Democrat."/>
    <x v="1"/>
    <x v="69"/>
    <x v="6"/>
    <x v="1"/>
    <x v="17"/>
  </r>
  <r>
    <x v="70"/>
    <d v="2025-07-21T21:58:21"/>
    <d v="2025-07-22T01:11:24"/>
    <x v="2"/>
    <x v="7"/>
    <s v="My laptop's keyboard isn't working properly, some keys are stuck. Bad past glass strategy. Above skin station."/>
    <x v="3"/>
    <x v="70"/>
    <x v="1"/>
    <x v="2"/>
    <x v="4"/>
  </r>
  <r>
    <x v="71"/>
    <d v="2025-07-24T12:55:27"/>
    <d v="2025-07-25T08:58:26"/>
    <x v="1"/>
    <x v="2"/>
    <s v="Application X is crashing every time I open it. Tv control generation away public remain."/>
    <x v="1"/>
    <x v="71"/>
    <x v="2"/>
    <x v="2"/>
    <x v="14"/>
  </r>
  <r>
    <x v="72"/>
    <d v="2025-06-18T07:42:24"/>
    <d v="2025-06-19T21:32:31"/>
    <x v="4"/>
    <x v="7"/>
    <s v="Can't connect to the Wi-Fi. It's showing 'No internet access'. Alone skill foot benefit."/>
    <x v="1"/>
    <x v="72"/>
    <x v="3"/>
    <x v="0"/>
    <x v="7"/>
  </r>
  <r>
    <x v="73"/>
    <d v="2025-09-03T02:34:13"/>
    <d v="2025-09-03T10:40:49"/>
    <x v="0"/>
    <x v="8"/>
    <s v="Media respond them indicate. Up movie television stop. Garden ten city already close."/>
    <x v="0"/>
    <x v="73"/>
    <x v="3"/>
    <x v="1"/>
    <x v="21"/>
  </r>
  <r>
    <x v="74"/>
    <d v="2025-08-08T23:17:56"/>
    <d v="2025-08-14T23:19:46"/>
    <x v="5"/>
    <x v="1"/>
    <s v="Lay support mouth control understand could. Husband for evening upon involve."/>
    <x v="2"/>
    <x v="74"/>
    <x v="0"/>
    <x v="3"/>
    <x v="13"/>
  </r>
  <r>
    <x v="75"/>
    <d v="2025-08-28T01:48:14"/>
    <d v="2025-08-28T09:40:58"/>
    <x v="0"/>
    <x v="7"/>
    <s v="Company month civil season include. Onto life for both little."/>
    <x v="0"/>
    <x v="75"/>
    <x v="2"/>
    <x v="3"/>
    <x v="11"/>
  </r>
  <r>
    <x v="76"/>
    <d v="2025-07-20T10:31:23"/>
    <d v="2025-07-20T14:11:12"/>
    <x v="1"/>
    <x v="1"/>
    <s v="Application X is crashing every time I open it. Candidate push mind exactly feel."/>
    <x v="0"/>
    <x v="76"/>
    <x v="6"/>
    <x v="2"/>
    <x v="6"/>
  </r>
  <r>
    <x v="77"/>
    <d v="2025-07-17T15:42:38"/>
    <d v="2025-07-17T22:40:18"/>
    <x v="5"/>
    <x v="5"/>
    <s v="Writer city suffer within important recently difference. Wait only relationship free."/>
    <x v="0"/>
    <x v="77"/>
    <x v="2"/>
    <x v="2"/>
    <x v="20"/>
  </r>
  <r>
    <x v="78"/>
    <d v="2025-07-23T19:59:04"/>
    <d v="2025-07-26T11:29:43"/>
    <x v="1"/>
    <x v="1"/>
    <s v="Application X is crashing every time I open it. Form customer bill interest remember which."/>
    <x v="2"/>
    <x v="78"/>
    <x v="3"/>
    <x v="2"/>
    <x v="1"/>
  </r>
  <r>
    <x v="79"/>
    <d v="2025-06-27T20:58:34"/>
    <d v="2025-07-01T20:08:25"/>
    <x v="4"/>
    <x v="1"/>
    <s v="Can't connect to the Wi-Fi. It's showing 'No internet access'. Agree begin guess ask choice low themselves born."/>
    <x v="2"/>
    <x v="79"/>
    <x v="0"/>
    <x v="0"/>
    <x v="5"/>
  </r>
  <r>
    <x v="80"/>
    <d v="2025-06-19T16:43:35"/>
    <d v="2025-06-25T22:32:38"/>
    <x v="1"/>
    <x v="6"/>
    <s v="Application X is crashing every time I open it. Center worry nor whole."/>
    <x v="2"/>
    <x v="80"/>
    <x v="2"/>
    <x v="0"/>
    <x v="8"/>
  </r>
  <r>
    <x v="81"/>
    <d v="2025-06-27T00:50:45"/>
    <d v="2025-07-01T10:00:38"/>
    <x v="3"/>
    <x v="3"/>
    <s v="I'm locked out of my account and can't reset my password. Miss son responsibility hour."/>
    <x v="2"/>
    <x v="81"/>
    <x v="0"/>
    <x v="0"/>
    <x v="17"/>
  </r>
  <r>
    <x v="82"/>
    <d v="2025-08-10T11:17:27"/>
    <d v="2025-08-12T08:21:18"/>
    <x v="1"/>
    <x v="1"/>
    <s v="Application X is crashing every time I open it. Develop course foreign no either."/>
    <x v="1"/>
    <x v="82"/>
    <x v="6"/>
    <x v="3"/>
    <x v="12"/>
  </r>
  <r>
    <x v="83"/>
    <d v="2025-07-29T01:49:12"/>
    <d v="2025-07-31T13:26:15"/>
    <x v="6"/>
    <x v="4"/>
    <s v="Public husband return country service very. Be exactly time firm yard price bad."/>
    <x v="2"/>
    <x v="83"/>
    <x v="5"/>
    <x v="2"/>
    <x v="11"/>
  </r>
  <r>
    <x v="84"/>
    <d v="2025-07-06T10:09:04"/>
    <d v="2025-07-11T00:20:43"/>
    <x v="2"/>
    <x v="9"/>
    <s v="My laptop's keyboard isn't working properly, some keys are stuck. Perform author more owner girl message."/>
    <x v="2"/>
    <x v="84"/>
    <x v="6"/>
    <x v="2"/>
    <x v="6"/>
  </r>
  <r>
    <x v="85"/>
    <d v="2025-07-30T04:23:34"/>
    <d v="2025-07-30T13:08:10"/>
    <x v="3"/>
    <x v="5"/>
    <s v="I'm locked out of my account and can't reset my password. Church stop environment."/>
    <x v="0"/>
    <x v="85"/>
    <x v="3"/>
    <x v="2"/>
    <x v="23"/>
  </r>
  <r>
    <x v="86"/>
    <d v="2025-08-23T05:18:39"/>
    <d v="2025-08-24T16:37:11"/>
    <x v="1"/>
    <x v="7"/>
    <s v="Application X is crashing every time I open it. Everyone body modern feeling shake loss."/>
    <x v="1"/>
    <x v="86"/>
    <x v="4"/>
    <x v="3"/>
    <x v="16"/>
  </r>
  <r>
    <x v="87"/>
    <d v="2025-07-10T03:11:23"/>
    <d v="2025-07-10T23:12:02"/>
    <x v="2"/>
    <x v="2"/>
    <s v="My laptop's keyboard isn't working properly, some keys are stuck. Whole material thus despite firm more."/>
    <x v="1"/>
    <x v="87"/>
    <x v="2"/>
    <x v="2"/>
    <x v="15"/>
  </r>
  <r>
    <x v="88"/>
    <d v="2025-09-12T18:58:40"/>
    <d v="2025-09-14T02:31:59"/>
    <x v="1"/>
    <x v="5"/>
    <s v="Application X is crashing every time I open it. Until statement century seat vote never."/>
    <x v="1"/>
    <x v="88"/>
    <x v="0"/>
    <x v="1"/>
    <x v="18"/>
  </r>
  <r>
    <x v="89"/>
    <d v="2025-09-02T15:20:46"/>
    <d v="2025-09-08T16:21:32"/>
    <x v="1"/>
    <x v="5"/>
    <s v="Application X is crashing every time I open it. Big season the."/>
    <x v="2"/>
    <x v="89"/>
    <x v="5"/>
    <x v="1"/>
    <x v="20"/>
  </r>
  <r>
    <x v="90"/>
    <d v="2025-07-12T12:04:37"/>
    <d v="2025-07-13T06:22:20"/>
    <x v="1"/>
    <x v="0"/>
    <s v="Application X is crashing every time I open it. Usually career attention realize."/>
    <x v="1"/>
    <x v="90"/>
    <x v="4"/>
    <x v="2"/>
    <x v="14"/>
  </r>
  <r>
    <x v="91"/>
    <d v="2025-08-06T04:36:43"/>
    <d v="2025-08-12T11:09:01"/>
    <x v="1"/>
    <x v="5"/>
    <s v="Application X is crashing every time I open it. Firm tonight statement feel Mrs music."/>
    <x v="2"/>
    <x v="91"/>
    <x v="3"/>
    <x v="3"/>
    <x v="23"/>
  </r>
  <r>
    <x v="92"/>
    <d v="2025-06-24T12:26:10"/>
    <d v="2025-06-26T10:49:37"/>
    <x v="4"/>
    <x v="3"/>
    <s v="Can't connect to the Wi-Fi. It's showing 'No internet access'. Life change act. Through imagine again whole."/>
    <x v="1"/>
    <x v="92"/>
    <x v="5"/>
    <x v="0"/>
    <x v="14"/>
  </r>
  <r>
    <x v="93"/>
    <d v="2025-06-25T21:27:43"/>
    <d v="2025-06-29T07:08:52"/>
    <x v="0"/>
    <x v="3"/>
    <s v="Including development attack wide. Concern his environment attack program rest team."/>
    <x v="2"/>
    <x v="93"/>
    <x v="3"/>
    <x v="0"/>
    <x v="4"/>
  </r>
  <r>
    <x v="94"/>
    <d v="2025-07-25T15:06:41"/>
    <d v="2025-07-30T00:43:14"/>
    <x v="3"/>
    <x v="7"/>
    <s v="I'm locked out of my account and can't reset my password. Another collection another many."/>
    <x v="2"/>
    <x v="94"/>
    <x v="0"/>
    <x v="2"/>
    <x v="20"/>
  </r>
  <r>
    <x v="95"/>
    <d v="2025-07-25T17:47:29"/>
    <d v="2025-07-26T21:49:20"/>
    <x v="0"/>
    <x v="0"/>
    <s v="Compare or at environmental. Six what them fall. Husband certain institution phone resource blood."/>
    <x v="1"/>
    <x v="95"/>
    <x v="0"/>
    <x v="2"/>
    <x v="3"/>
  </r>
  <r>
    <x v="96"/>
    <d v="2025-08-12T17:49:45"/>
    <d v="2025-08-14T13:34:20"/>
    <x v="3"/>
    <x v="4"/>
    <s v="I'm locked out of my account and can't reset my password. Medical let door front. Law end always."/>
    <x v="2"/>
    <x v="96"/>
    <x v="5"/>
    <x v="3"/>
    <x v="3"/>
  </r>
  <r>
    <x v="97"/>
    <d v="2025-07-25T21:16:19"/>
    <d v="2025-08-01T13:28:59"/>
    <x v="2"/>
    <x v="5"/>
    <s v="My laptop's keyboard isn't working properly, some keys are stuck. Rich fire power city. Water career next relate."/>
    <x v="2"/>
    <x v="97"/>
    <x v="0"/>
    <x v="2"/>
    <x v="4"/>
  </r>
  <r>
    <x v="98"/>
    <d v="2025-09-14T19:22:48"/>
    <d v="2025-09-14T22:26:30"/>
    <x v="1"/>
    <x v="1"/>
    <s v="Application X is crashing every time I open it. Result happy song want finish stuff."/>
    <x v="0"/>
    <x v="98"/>
    <x v="6"/>
    <x v="1"/>
    <x v="1"/>
  </r>
  <r>
    <x v="99"/>
    <d v="2025-07-31T00:15:23"/>
    <d v="2025-07-31T09:04:04"/>
    <x v="2"/>
    <x v="4"/>
    <s v="My laptop's keyboard isn't working properly, some keys are stuck. Themselves big matter happy small."/>
    <x v="1"/>
    <x v="99"/>
    <x v="2"/>
    <x v="2"/>
    <x v="17"/>
  </r>
  <r>
    <x v="100"/>
    <d v="2025-08-17T13:13:44"/>
    <d v="2025-08-17T15:17:50"/>
    <x v="1"/>
    <x v="5"/>
    <s v="Application X is crashing every time I open it. Agent will respond help."/>
    <x v="3"/>
    <x v="100"/>
    <x v="6"/>
    <x v="3"/>
    <x v="10"/>
  </r>
  <r>
    <x v="101"/>
    <d v="2025-09-11T12:55:11"/>
    <d v="2025-09-13T06:31:30"/>
    <x v="1"/>
    <x v="7"/>
    <s v="Application X is crashing every time I open it. Short commercial everybody difficult change."/>
    <x v="1"/>
    <x v="101"/>
    <x v="2"/>
    <x v="1"/>
    <x v="14"/>
  </r>
  <r>
    <x v="102"/>
    <d v="2025-07-01T08:49:20"/>
    <d v="2025-07-02T11:20:43"/>
    <x v="0"/>
    <x v="5"/>
    <s v="Any today within none hot again green. Remember attack event view father."/>
    <x v="2"/>
    <x v="102"/>
    <x v="5"/>
    <x v="2"/>
    <x v="19"/>
  </r>
  <r>
    <x v="103"/>
    <d v="2025-06-25T22:36:03"/>
    <d v="2025-06-26T09:59:45"/>
    <x v="1"/>
    <x v="9"/>
    <s v="Application X is crashing every time I open it. Represent senior his finish include nothing."/>
    <x v="1"/>
    <x v="103"/>
    <x v="3"/>
    <x v="0"/>
    <x v="0"/>
  </r>
  <r>
    <x v="104"/>
    <d v="2025-09-06T06:19:01"/>
    <d v="2025-09-06T10:36:27"/>
    <x v="6"/>
    <x v="9"/>
    <s v="She certain boy build. Test bag country president environment."/>
    <x v="0"/>
    <x v="104"/>
    <x v="4"/>
    <x v="1"/>
    <x v="22"/>
  </r>
  <r>
    <x v="105"/>
    <d v="2025-08-03T06:45:06"/>
    <d v="2025-08-05T16:41:24"/>
    <x v="4"/>
    <x v="8"/>
    <s v="Can't connect to the Wi-Fi. It's showing 'No internet access'. Hair job save son."/>
    <x v="2"/>
    <x v="105"/>
    <x v="6"/>
    <x v="3"/>
    <x v="22"/>
  </r>
  <r>
    <x v="106"/>
    <d v="2025-08-17T12:18:02"/>
    <d v="2025-08-18T18:29:37"/>
    <x v="6"/>
    <x v="2"/>
    <s v="Growth middle establish public."/>
    <x v="1"/>
    <x v="106"/>
    <x v="6"/>
    <x v="3"/>
    <x v="14"/>
  </r>
  <r>
    <x v="107"/>
    <d v="2025-07-28T14:54:12"/>
    <d v="2025-07-31T08:11:11"/>
    <x v="2"/>
    <x v="1"/>
    <s v="My laptop's keyboard isn't working properly, some keys are stuck. Produce require line letter listen often."/>
    <x v="2"/>
    <x v="107"/>
    <x v="1"/>
    <x v="2"/>
    <x v="9"/>
  </r>
  <r>
    <x v="108"/>
    <d v="2025-07-12T06:57:35"/>
    <d v="2025-07-12T11:56:19"/>
    <x v="2"/>
    <x v="2"/>
    <s v="My laptop's keyboard isn't working properly, some keys are stuck. At bag continue."/>
    <x v="0"/>
    <x v="108"/>
    <x v="4"/>
    <x v="2"/>
    <x v="22"/>
  </r>
  <r>
    <x v="109"/>
    <d v="2025-07-13T00:24:13"/>
    <d v="2025-07-19T22:24:35"/>
    <x v="1"/>
    <x v="2"/>
    <s v="Application X is crashing every time I open it. Without pass book tend."/>
    <x v="2"/>
    <x v="109"/>
    <x v="6"/>
    <x v="2"/>
    <x v="17"/>
  </r>
  <r>
    <x v="110"/>
    <d v="2025-07-14T05:56:24"/>
    <d v="2025-07-14T12:35:51"/>
    <x v="3"/>
    <x v="7"/>
    <s v="I'm locked out of my account and can't reset my password. Right where add."/>
    <x v="0"/>
    <x v="110"/>
    <x v="1"/>
    <x v="2"/>
    <x v="16"/>
  </r>
  <r>
    <x v="111"/>
    <d v="2025-08-28T11:29:55"/>
    <d v="2025-09-04T10:40:12"/>
    <x v="1"/>
    <x v="2"/>
    <s v="Application X is crashing every time I open it. Argue team senior low training."/>
    <x v="2"/>
    <x v="111"/>
    <x v="2"/>
    <x v="3"/>
    <x v="12"/>
  </r>
  <r>
    <x v="112"/>
    <d v="2025-08-28T08:02:11"/>
    <d v="2025-09-02T04:40:56"/>
    <x v="5"/>
    <x v="1"/>
    <s v="Plant attack should. Drive international today. Pretty statement her upon nation."/>
    <x v="2"/>
    <x v="112"/>
    <x v="2"/>
    <x v="3"/>
    <x v="19"/>
  </r>
  <r>
    <x v="113"/>
    <d v="2025-08-20T11:19:48"/>
    <d v="2025-08-20T13:31:35"/>
    <x v="2"/>
    <x v="3"/>
    <s v="My laptop's keyboard isn't working properly, some keys are stuck. Chance place build body population."/>
    <x v="0"/>
    <x v="113"/>
    <x v="3"/>
    <x v="3"/>
    <x v="12"/>
  </r>
  <r>
    <x v="114"/>
    <d v="2025-06-26T06:39:15"/>
    <d v="2025-06-26T21:07:28"/>
    <x v="0"/>
    <x v="4"/>
    <s v="Something million activity. Interview under cover career under. Can address show public."/>
    <x v="1"/>
    <x v="114"/>
    <x v="2"/>
    <x v="0"/>
    <x v="22"/>
  </r>
  <r>
    <x v="115"/>
    <d v="2025-09-04T00:02:17"/>
    <d v="2025-09-08T17:50:48"/>
    <x v="3"/>
    <x v="9"/>
    <s v="I'm locked out of my account and can't reset my password. Receive nature option oil read trouble."/>
    <x v="2"/>
    <x v="115"/>
    <x v="2"/>
    <x v="1"/>
    <x v="17"/>
  </r>
  <r>
    <x v="116"/>
    <d v="2025-07-14T03:29:18"/>
    <d v="2025-07-15T11:50:20"/>
    <x v="1"/>
    <x v="2"/>
    <s v="Application X is crashing every time I open it. Toward ago director condition food share meet."/>
    <x v="1"/>
    <x v="116"/>
    <x v="1"/>
    <x v="2"/>
    <x v="15"/>
  </r>
  <r>
    <x v="117"/>
    <d v="2025-07-24T06:40:03"/>
    <d v="2025-07-26T02:18:46"/>
    <x v="3"/>
    <x v="8"/>
    <s v="I'm locked out of my account and can't reset my password. For we when drive. Start identify now throw."/>
    <x v="1"/>
    <x v="117"/>
    <x v="2"/>
    <x v="2"/>
    <x v="22"/>
  </r>
  <r>
    <x v="118"/>
    <d v="2025-08-03T22:42:23"/>
    <d v="2025-08-10T12:59:57"/>
    <x v="6"/>
    <x v="5"/>
    <s v="Even focus animal civil quality lay skill. Need maybe former return."/>
    <x v="2"/>
    <x v="118"/>
    <x v="6"/>
    <x v="3"/>
    <x v="0"/>
  </r>
  <r>
    <x v="119"/>
    <d v="2025-07-12T00:15:34"/>
    <d v="2025-07-12T19:05:17"/>
    <x v="2"/>
    <x v="1"/>
    <s v="My laptop's keyboard isn't working properly, some keys are stuck. Cup money work certainly color."/>
    <x v="1"/>
    <x v="119"/>
    <x v="4"/>
    <x v="2"/>
    <x v="17"/>
  </r>
  <r>
    <x v="120"/>
    <d v="2025-07-19T13:02:22"/>
    <d v="2025-07-20T07:25:23"/>
    <x v="0"/>
    <x v="4"/>
    <s v="Clear late win beat. Those arm say year him science door."/>
    <x v="1"/>
    <x v="120"/>
    <x v="4"/>
    <x v="2"/>
    <x v="10"/>
  </r>
  <r>
    <x v="121"/>
    <d v="2025-06-29T20:08:30"/>
    <d v="2025-06-30T10:31:43"/>
    <x v="3"/>
    <x v="7"/>
    <s v="I'm locked out of my account and can't reset my password. Purpose almost nature create authority company."/>
    <x v="1"/>
    <x v="121"/>
    <x v="6"/>
    <x v="0"/>
    <x v="5"/>
  </r>
  <r>
    <x v="122"/>
    <d v="2025-07-29T14:50:17"/>
    <d v="2025-07-30T09:24:48"/>
    <x v="1"/>
    <x v="0"/>
    <s v="Application X is crashing every time I open it. Garden better chance impact where how member."/>
    <x v="1"/>
    <x v="122"/>
    <x v="5"/>
    <x v="2"/>
    <x v="9"/>
  </r>
  <r>
    <x v="123"/>
    <d v="2025-08-19T01:11:31"/>
    <d v="2025-08-20T19:06:33"/>
    <x v="4"/>
    <x v="1"/>
    <s v="Can't connect to the Wi-Fi. It's showing 'No internet access'. Bag without else red. Able year decision others."/>
    <x v="1"/>
    <x v="123"/>
    <x v="5"/>
    <x v="3"/>
    <x v="11"/>
  </r>
  <r>
    <x v="124"/>
    <d v="2025-06-25T06:03:59"/>
    <d v="2025-06-25T18:46:33"/>
    <x v="6"/>
    <x v="9"/>
    <s v="Police machine star. Computer lead control across blue eye force. Parent set professor sit couple."/>
    <x v="1"/>
    <x v="124"/>
    <x v="3"/>
    <x v="0"/>
    <x v="22"/>
  </r>
  <r>
    <x v="125"/>
    <d v="2025-08-02T18:27:58"/>
    <d v="2025-08-03T12:11:22"/>
    <x v="6"/>
    <x v="3"/>
    <s v="Group resource dinner knowledge scientist Mr. Police simply enter training too."/>
    <x v="1"/>
    <x v="125"/>
    <x v="4"/>
    <x v="3"/>
    <x v="18"/>
  </r>
  <r>
    <x v="126"/>
    <d v="2025-08-26T00:22:43"/>
    <d v="2025-08-29T23:04:42"/>
    <x v="2"/>
    <x v="5"/>
    <s v="My laptop's keyboard isn't working properly, some keys are stuck. Go wear understand relate."/>
    <x v="2"/>
    <x v="126"/>
    <x v="5"/>
    <x v="3"/>
    <x v="17"/>
  </r>
  <r>
    <x v="127"/>
    <d v="2025-07-17T15:23:19"/>
    <d v="2025-07-22T01:23:32"/>
    <x v="1"/>
    <x v="9"/>
    <s v="Application X is crashing every time I open it. Gas mother rate wind fight success medical."/>
    <x v="2"/>
    <x v="127"/>
    <x v="2"/>
    <x v="2"/>
    <x v="20"/>
  </r>
  <r>
    <x v="128"/>
    <d v="2025-09-09T17:02:08"/>
    <d v="2025-09-10T01:18:37"/>
    <x v="4"/>
    <x v="2"/>
    <s v="Can't connect to the Wi-Fi. It's showing 'No internet access'. These entire million eat play sit."/>
    <x v="0"/>
    <x v="128"/>
    <x v="5"/>
    <x v="1"/>
    <x v="3"/>
  </r>
  <r>
    <x v="129"/>
    <d v="2025-09-06T17:30:19"/>
    <d v="2025-09-08T16:09:05"/>
    <x v="0"/>
    <x v="1"/>
    <s v="Draw once season talk forward. Decision partner north realize finish one question."/>
    <x v="1"/>
    <x v="129"/>
    <x v="4"/>
    <x v="1"/>
    <x v="3"/>
  </r>
  <r>
    <x v="130"/>
    <d v="2025-09-10T20:54:16"/>
    <d v="2025-09-12T16:37:10"/>
    <x v="6"/>
    <x v="6"/>
    <s v="Catch travel form bar pretty himself team. Light suffer evidence land ok may guy."/>
    <x v="2"/>
    <x v="130"/>
    <x v="3"/>
    <x v="1"/>
    <x v="5"/>
  </r>
  <r>
    <x v="131"/>
    <d v="2025-08-10T12:29:53"/>
    <d v="2025-08-14T09:20:30"/>
    <x v="6"/>
    <x v="2"/>
    <s v="Act believe heavy watch best game part. Too language mean. Cut age personal resource."/>
    <x v="2"/>
    <x v="131"/>
    <x v="6"/>
    <x v="3"/>
    <x v="14"/>
  </r>
  <r>
    <x v="132"/>
    <d v="2025-09-07T02:38:17"/>
    <d v="2025-09-10T14:05:49"/>
    <x v="0"/>
    <x v="7"/>
    <s v="Year name message voice data. Protect word up today. Break drop already life."/>
    <x v="2"/>
    <x v="132"/>
    <x v="6"/>
    <x v="1"/>
    <x v="21"/>
  </r>
  <r>
    <x v="133"/>
    <d v="2025-07-21T07:07:14"/>
    <d v="2025-07-21T17:05:13"/>
    <x v="3"/>
    <x v="3"/>
    <s v="I'm locked out of my account and can't reset my password. Maintain tree story research hair why."/>
    <x v="0"/>
    <x v="133"/>
    <x v="1"/>
    <x v="2"/>
    <x v="7"/>
  </r>
  <r>
    <x v="134"/>
    <d v="2025-08-15T01:02:50"/>
    <d v="2025-08-22T00:38:38"/>
    <x v="0"/>
    <x v="5"/>
    <s v="Memory process group arm attack indicate mother. View three prepare by."/>
    <x v="2"/>
    <x v="134"/>
    <x v="0"/>
    <x v="3"/>
    <x v="11"/>
  </r>
  <r>
    <x v="135"/>
    <d v="2025-06-24T05:57:14"/>
    <d v="2025-06-29T00:46:12"/>
    <x v="5"/>
    <x v="6"/>
    <s v="Foreign sign be money cup raise keep. Right scene market."/>
    <x v="2"/>
    <x v="135"/>
    <x v="5"/>
    <x v="0"/>
    <x v="16"/>
  </r>
  <r>
    <x v="136"/>
    <d v="2025-09-14T17:50:13"/>
    <d v="2025-09-17T23:47:19"/>
    <x v="2"/>
    <x v="6"/>
    <s v="My laptop's keyboard isn't working properly, some keys are stuck. Certain six among before."/>
    <x v="2"/>
    <x v="136"/>
    <x v="6"/>
    <x v="1"/>
    <x v="3"/>
  </r>
  <r>
    <x v="137"/>
    <d v="2025-06-29T09:14:35"/>
    <d v="2025-06-30T23:16:51"/>
    <x v="2"/>
    <x v="1"/>
    <s v="My laptop's keyboard isn't working properly, some keys are stuck. Ago his against point garden drug."/>
    <x v="2"/>
    <x v="137"/>
    <x v="6"/>
    <x v="0"/>
    <x v="2"/>
  </r>
  <r>
    <x v="138"/>
    <d v="2025-08-19T13:22:46"/>
    <d v="2025-08-20T12:41:10"/>
    <x v="1"/>
    <x v="0"/>
    <s v="Application X is crashing every time I open it. Any state food citizen."/>
    <x v="1"/>
    <x v="138"/>
    <x v="5"/>
    <x v="3"/>
    <x v="10"/>
  </r>
  <r>
    <x v="139"/>
    <d v="2025-08-21T14:38:53"/>
    <d v="2025-08-27T10:24:43"/>
    <x v="4"/>
    <x v="6"/>
    <s v="Can't connect to the Wi-Fi. It's showing 'No internet access'. He particularly begin save area finally word."/>
    <x v="2"/>
    <x v="139"/>
    <x v="2"/>
    <x v="3"/>
    <x v="9"/>
  </r>
  <r>
    <x v="140"/>
    <d v="2025-08-05T10:58:02"/>
    <d v="2025-08-06T01:50:41"/>
    <x v="2"/>
    <x v="8"/>
    <s v="My laptop's keyboard isn't working properly, some keys are stuck. Serious simply mind cost movie actually."/>
    <x v="1"/>
    <x v="140"/>
    <x v="5"/>
    <x v="3"/>
    <x v="6"/>
  </r>
  <r>
    <x v="141"/>
    <d v="2025-08-18T10:22:03"/>
    <d v="2025-08-18T23:14:10"/>
    <x v="2"/>
    <x v="0"/>
    <s v="My laptop's keyboard isn't working properly, some keys are stuck. Social approach mother white."/>
    <x v="1"/>
    <x v="141"/>
    <x v="1"/>
    <x v="3"/>
    <x v="6"/>
  </r>
  <r>
    <x v="142"/>
    <d v="2025-09-13T16:20:39"/>
    <d v="2025-09-14T21:34:39"/>
    <x v="4"/>
    <x v="4"/>
    <s v="Can't connect to the Wi-Fi. It's showing 'No internet access'. Enter room up sound nature."/>
    <x v="1"/>
    <x v="142"/>
    <x v="4"/>
    <x v="1"/>
    <x v="8"/>
  </r>
  <r>
    <x v="143"/>
    <d v="2025-08-03T06:49:31"/>
    <d v="2025-08-06T22:49:37"/>
    <x v="2"/>
    <x v="3"/>
    <s v="My laptop's keyboard isn't working properly, some keys are stuck. Effort to since question."/>
    <x v="2"/>
    <x v="143"/>
    <x v="6"/>
    <x v="3"/>
    <x v="22"/>
  </r>
  <r>
    <x v="144"/>
    <d v="2025-06-27T03:04:20"/>
    <d v="2025-06-27T15:18:06"/>
    <x v="1"/>
    <x v="8"/>
    <s v="Application X is crashing every time I open it. These drive president building."/>
    <x v="1"/>
    <x v="144"/>
    <x v="0"/>
    <x v="0"/>
    <x v="15"/>
  </r>
  <r>
    <x v="145"/>
    <d v="2025-08-31T15:49:39"/>
    <d v="2025-08-31T17:50:14"/>
    <x v="6"/>
    <x v="3"/>
    <s v="Suddenly effort she without without."/>
    <x v="3"/>
    <x v="145"/>
    <x v="6"/>
    <x v="3"/>
    <x v="20"/>
  </r>
  <r>
    <x v="146"/>
    <d v="2025-06-24T11:03:22"/>
    <d v="2025-06-24T18:54:19"/>
    <x v="4"/>
    <x v="6"/>
    <s v="Can't connect to the Wi-Fi. It's showing 'No internet access'. Should that nation can difficult nice."/>
    <x v="0"/>
    <x v="146"/>
    <x v="5"/>
    <x v="0"/>
    <x v="12"/>
  </r>
  <r>
    <x v="147"/>
    <d v="2025-09-02T16:56:42"/>
    <d v="2025-09-06T05:01:09"/>
    <x v="5"/>
    <x v="3"/>
    <s v="Look scene real owner agent whose specific. Along they yourself character year or behind."/>
    <x v="2"/>
    <x v="147"/>
    <x v="5"/>
    <x v="1"/>
    <x v="8"/>
  </r>
  <r>
    <x v="148"/>
    <d v="2025-07-16T14:22:14"/>
    <d v="2025-07-17T16:50:12"/>
    <x v="0"/>
    <x v="7"/>
    <s v="You reflect radio. Especially speech wish interesting wife."/>
    <x v="1"/>
    <x v="148"/>
    <x v="3"/>
    <x v="2"/>
    <x v="9"/>
  </r>
  <r>
    <x v="149"/>
    <d v="2025-07-31T04:12:39"/>
    <d v="2025-08-01T04:13:25"/>
    <x v="2"/>
    <x v="0"/>
    <s v="My laptop's keyboard isn't working properly, some keys are stuck. Event pattern factor deep manager work."/>
    <x v="1"/>
    <x v="149"/>
    <x v="2"/>
    <x v="2"/>
    <x v="2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1EF242-50DB-4350-B2A5-A6BA8C84B146}"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Assigned analyst">
  <location ref="A112:B123" firstHeaderRow="1" firstDataRow="1" firstDataCol="1"/>
  <pivotFields count="11">
    <pivotField showAll="0"/>
    <pivotField numFmtId="22" showAll="0"/>
    <pivotField numFmtId="22" showAll="0"/>
    <pivotField showAll="0">
      <items count="8">
        <item x="3"/>
        <item x="6"/>
        <item x="2"/>
        <item x="4"/>
        <item x="0"/>
        <item x="5"/>
        <item x="1"/>
        <item t="default"/>
      </items>
    </pivotField>
    <pivotField axis="axisRow" showAll="0" sortType="ascending">
      <items count="11">
        <item x="7"/>
        <item x="6"/>
        <item x="5"/>
        <item x="3"/>
        <item x="4"/>
        <item x="9"/>
        <item x="8"/>
        <item x="2"/>
        <item x="1"/>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2"/>
        <item x="1"/>
        <item t="default"/>
      </items>
    </pivotField>
    <pivotField dataField="1" numFmtId="2" showAll="0">
      <items count="151">
        <item x="43"/>
        <item x="145"/>
        <item x="100"/>
        <item x="113"/>
        <item x="14"/>
        <item x="15"/>
        <item x="98"/>
        <item x="70"/>
        <item x="76"/>
        <item x="11"/>
        <item x="44"/>
        <item x="104"/>
        <item x="108"/>
        <item x="0"/>
        <item x="110"/>
        <item x="77"/>
        <item x="31"/>
        <item x="3"/>
        <item x="146"/>
        <item x="75"/>
        <item x="63"/>
        <item x="64"/>
        <item x="73"/>
        <item x="128"/>
        <item x="85"/>
        <item x="99"/>
        <item x="4"/>
        <item x="133"/>
        <item x="54"/>
        <item x="38"/>
        <item x="45"/>
        <item x="103"/>
        <item x="26"/>
        <item x="144"/>
        <item x="39"/>
        <item x="48"/>
        <item x="124"/>
        <item x="141"/>
        <item x="53"/>
        <item x="121"/>
        <item x="114"/>
        <item x="65"/>
        <item x="140"/>
        <item x="52"/>
        <item x="22"/>
        <item x="12"/>
        <item x="8"/>
        <item x="125"/>
        <item x="90"/>
        <item x="120"/>
        <item x="122"/>
        <item x="119"/>
        <item x="87"/>
        <item x="71"/>
        <item x="138"/>
        <item x="62"/>
        <item x="149"/>
        <item x="69"/>
        <item x="60"/>
        <item x="41"/>
        <item x="35"/>
        <item x="148"/>
        <item x="102"/>
        <item x="49"/>
        <item x="6"/>
        <item x="95"/>
        <item x="9"/>
        <item x="142"/>
        <item x="106"/>
        <item x="56"/>
        <item x="88"/>
        <item x="59"/>
        <item x="116"/>
        <item x="29"/>
        <item x="67"/>
        <item x="86"/>
        <item x="1"/>
        <item x="20"/>
        <item x="61"/>
        <item x="72"/>
        <item x="25"/>
        <item x="137"/>
        <item x="2"/>
        <item x="23"/>
        <item x="19"/>
        <item x="55"/>
        <item x="40"/>
        <item x="58"/>
        <item x="101"/>
        <item x="123"/>
        <item x="28"/>
        <item x="117"/>
        <item x="130"/>
        <item x="96"/>
        <item x="82"/>
        <item x="27"/>
        <item x="21"/>
        <item x="46"/>
        <item x="92"/>
        <item x="129"/>
        <item x="17"/>
        <item x="105"/>
        <item x="83"/>
        <item x="78"/>
        <item x="107"/>
        <item x="136"/>
        <item x="68"/>
        <item x="93"/>
        <item x="132"/>
        <item x="147"/>
        <item x="18"/>
        <item x="143"/>
        <item x="131"/>
        <item x="36"/>
        <item x="126"/>
        <item x="79"/>
        <item x="24"/>
        <item x="13"/>
        <item x="81"/>
        <item x="94"/>
        <item x="127"/>
        <item x="7"/>
        <item x="84"/>
        <item x="50"/>
        <item x="115"/>
        <item x="135"/>
        <item x="16"/>
        <item x="112"/>
        <item x="47"/>
        <item x="33"/>
        <item x="32"/>
        <item x="5"/>
        <item x="66"/>
        <item x="139"/>
        <item x="74"/>
        <item x="89"/>
        <item x="34"/>
        <item x="10"/>
        <item x="37"/>
        <item x="51"/>
        <item x="80"/>
        <item x="30"/>
        <item x="91"/>
        <item x="42"/>
        <item x="118"/>
        <item x="97"/>
        <item x="109"/>
        <item x="57"/>
        <item x="111"/>
        <item x="134"/>
        <item t="default"/>
      </items>
    </pivotField>
    <pivotField showAll="0">
      <items count="8">
        <item x="6"/>
        <item x="1"/>
        <item x="5"/>
        <item x="3"/>
        <item x="2"/>
        <item x="0"/>
        <item x="4"/>
        <item t="default"/>
      </items>
    </pivotField>
    <pivotField showAll="0"/>
    <pivotField showAll="0"/>
  </pivotFields>
  <rowFields count="1">
    <field x="4"/>
  </rowFields>
  <rowItems count="11">
    <i>
      <x v="9"/>
    </i>
    <i>
      <x v="6"/>
    </i>
    <i>
      <x v="4"/>
    </i>
    <i>
      <x/>
    </i>
    <i>
      <x v="8"/>
    </i>
    <i>
      <x v="3"/>
    </i>
    <i>
      <x v="5"/>
    </i>
    <i>
      <x v="7"/>
    </i>
    <i>
      <x v="2"/>
    </i>
    <i>
      <x v="1"/>
    </i>
    <i t="grand">
      <x/>
    </i>
  </rowItems>
  <colItems count="1">
    <i/>
  </colItems>
  <dataFields count="1">
    <dataField name="Average of resolution time(hrs)" fld="7" subtotal="average" baseField="4" baseItem="0" numFmtId="2"/>
  </dataFields>
  <chartFormats count="2">
    <chartFormat chart="17"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5DFFF3-82D5-43E1-96D0-CCCFD195B6FA}"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location ref="A61:B69" firstHeaderRow="1" firstDataRow="1" firstDataCol="1"/>
  <pivotFields count="11">
    <pivotField showAll="0"/>
    <pivotField numFmtId="22" showAll="0"/>
    <pivotField numFmtId="22" showAll="0"/>
    <pivotField axis="axisRow"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dataField="1" numFmtId="2" showAll="0">
      <items count="151">
        <item x="43"/>
        <item x="145"/>
        <item x="100"/>
        <item x="113"/>
        <item x="14"/>
        <item x="15"/>
        <item x="98"/>
        <item x="70"/>
        <item x="76"/>
        <item x="11"/>
        <item x="44"/>
        <item x="104"/>
        <item x="108"/>
        <item x="0"/>
        <item x="110"/>
        <item x="77"/>
        <item x="31"/>
        <item x="3"/>
        <item x="146"/>
        <item x="75"/>
        <item x="63"/>
        <item x="64"/>
        <item x="73"/>
        <item x="128"/>
        <item x="85"/>
        <item x="99"/>
        <item x="4"/>
        <item x="133"/>
        <item x="54"/>
        <item x="38"/>
        <item x="45"/>
        <item x="103"/>
        <item x="26"/>
        <item x="144"/>
        <item x="39"/>
        <item x="48"/>
        <item x="124"/>
        <item x="141"/>
        <item x="53"/>
        <item x="121"/>
        <item x="114"/>
        <item x="65"/>
        <item x="140"/>
        <item x="52"/>
        <item x="22"/>
        <item x="12"/>
        <item x="8"/>
        <item x="125"/>
        <item x="90"/>
        <item x="120"/>
        <item x="122"/>
        <item x="119"/>
        <item x="87"/>
        <item x="71"/>
        <item x="138"/>
        <item x="62"/>
        <item x="149"/>
        <item x="69"/>
        <item x="60"/>
        <item x="41"/>
        <item x="35"/>
        <item x="148"/>
        <item x="102"/>
        <item x="49"/>
        <item x="6"/>
        <item x="95"/>
        <item x="9"/>
        <item x="142"/>
        <item x="106"/>
        <item x="56"/>
        <item x="88"/>
        <item x="59"/>
        <item x="116"/>
        <item x="29"/>
        <item x="67"/>
        <item x="86"/>
        <item x="1"/>
        <item x="20"/>
        <item x="61"/>
        <item x="72"/>
        <item x="25"/>
        <item x="137"/>
        <item x="2"/>
        <item x="23"/>
        <item x="19"/>
        <item x="55"/>
        <item x="40"/>
        <item x="58"/>
        <item x="101"/>
        <item x="123"/>
        <item x="28"/>
        <item x="117"/>
        <item x="130"/>
        <item x="96"/>
        <item x="82"/>
        <item x="27"/>
        <item x="21"/>
        <item x="46"/>
        <item x="92"/>
        <item x="129"/>
        <item x="17"/>
        <item x="105"/>
        <item x="83"/>
        <item x="78"/>
        <item x="107"/>
        <item x="136"/>
        <item x="68"/>
        <item x="93"/>
        <item x="132"/>
        <item x="147"/>
        <item x="18"/>
        <item x="143"/>
        <item x="131"/>
        <item x="36"/>
        <item x="126"/>
        <item x="79"/>
        <item x="24"/>
        <item x="13"/>
        <item x="81"/>
        <item x="94"/>
        <item x="127"/>
        <item x="7"/>
        <item x="84"/>
        <item x="50"/>
        <item x="115"/>
        <item x="135"/>
        <item x="16"/>
        <item x="112"/>
        <item x="47"/>
        <item x="33"/>
        <item x="32"/>
        <item x="5"/>
        <item x="66"/>
        <item x="139"/>
        <item x="74"/>
        <item x="89"/>
        <item x="34"/>
        <item x="10"/>
        <item x="37"/>
        <item x="51"/>
        <item x="80"/>
        <item x="30"/>
        <item x="91"/>
        <item x="42"/>
        <item x="118"/>
        <item x="97"/>
        <item x="109"/>
        <item x="57"/>
        <item x="111"/>
        <item x="134"/>
        <item t="default"/>
      </items>
    </pivotField>
    <pivotField showAll="0">
      <items count="8">
        <item x="6"/>
        <item x="1"/>
        <item x="5"/>
        <item x="3"/>
        <item x="2"/>
        <item x="0"/>
        <item x="4"/>
        <item t="default"/>
      </items>
    </pivotField>
    <pivotField showAll="0"/>
    <pivotField showAll="0"/>
  </pivotFields>
  <rowFields count="1">
    <field x="3"/>
  </rowFields>
  <rowItems count="8">
    <i>
      <x/>
    </i>
    <i>
      <x v="1"/>
    </i>
    <i>
      <x v="2"/>
    </i>
    <i>
      <x v="3"/>
    </i>
    <i>
      <x v="4"/>
    </i>
    <i>
      <x v="5"/>
    </i>
    <i>
      <x v="6"/>
    </i>
    <i t="grand">
      <x/>
    </i>
  </rowItems>
  <colItems count="1">
    <i/>
  </colItems>
  <dataFields count="1">
    <dataField name="Average of resolution time(hrs)" fld="7" subtotal="average" baseField="3" baseItem="0" numFmtId="2"/>
  </dataFields>
  <chartFormats count="2">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C5CD87-79D8-4776-98FF-CBFF4D8DCDEB}"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iority">
  <location ref="A44:B49" firstHeaderRow="1" firstDataRow="1" firstDataCol="1"/>
  <pivotFields count="11">
    <pivotField showAll="0"/>
    <pivotField numFmtId="22" showAll="0"/>
    <pivotField numFmtId="22"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axis="axisRow" showAll="0">
      <items count="5">
        <item x="3"/>
        <item x="0"/>
        <item x="2"/>
        <item x="1"/>
        <item t="default"/>
      </items>
    </pivotField>
    <pivotField dataField="1" numFmtId="2" showAll="0">
      <items count="151">
        <item x="43"/>
        <item x="145"/>
        <item x="100"/>
        <item x="113"/>
        <item x="14"/>
        <item x="15"/>
        <item x="98"/>
        <item x="70"/>
        <item x="76"/>
        <item x="11"/>
        <item x="44"/>
        <item x="104"/>
        <item x="108"/>
        <item x="0"/>
        <item x="110"/>
        <item x="77"/>
        <item x="31"/>
        <item x="3"/>
        <item x="146"/>
        <item x="75"/>
        <item x="63"/>
        <item x="64"/>
        <item x="73"/>
        <item x="128"/>
        <item x="85"/>
        <item x="99"/>
        <item x="4"/>
        <item x="133"/>
        <item x="54"/>
        <item x="38"/>
        <item x="45"/>
        <item x="103"/>
        <item x="26"/>
        <item x="144"/>
        <item x="39"/>
        <item x="48"/>
        <item x="124"/>
        <item x="141"/>
        <item x="53"/>
        <item x="121"/>
        <item x="114"/>
        <item x="65"/>
        <item x="140"/>
        <item x="52"/>
        <item x="22"/>
        <item x="12"/>
        <item x="8"/>
        <item x="125"/>
        <item x="90"/>
        <item x="120"/>
        <item x="122"/>
        <item x="119"/>
        <item x="87"/>
        <item x="71"/>
        <item x="138"/>
        <item x="62"/>
        <item x="149"/>
        <item x="69"/>
        <item x="60"/>
        <item x="41"/>
        <item x="35"/>
        <item x="148"/>
        <item x="102"/>
        <item x="49"/>
        <item x="6"/>
        <item x="95"/>
        <item x="9"/>
        <item x="142"/>
        <item x="106"/>
        <item x="56"/>
        <item x="88"/>
        <item x="59"/>
        <item x="116"/>
        <item x="29"/>
        <item x="67"/>
        <item x="86"/>
        <item x="1"/>
        <item x="20"/>
        <item x="61"/>
        <item x="72"/>
        <item x="25"/>
        <item x="137"/>
        <item x="2"/>
        <item x="23"/>
        <item x="19"/>
        <item x="55"/>
        <item x="40"/>
        <item x="58"/>
        <item x="101"/>
        <item x="123"/>
        <item x="28"/>
        <item x="117"/>
        <item x="130"/>
        <item x="96"/>
        <item x="82"/>
        <item x="27"/>
        <item x="21"/>
        <item x="46"/>
        <item x="92"/>
        <item x="129"/>
        <item x="17"/>
        <item x="105"/>
        <item x="83"/>
        <item x="78"/>
        <item x="107"/>
        <item x="136"/>
        <item x="68"/>
        <item x="93"/>
        <item x="132"/>
        <item x="147"/>
        <item x="18"/>
        <item x="143"/>
        <item x="131"/>
        <item x="36"/>
        <item x="126"/>
        <item x="79"/>
        <item x="24"/>
        <item x="13"/>
        <item x="81"/>
        <item x="94"/>
        <item x="127"/>
        <item x="7"/>
        <item x="84"/>
        <item x="50"/>
        <item x="115"/>
        <item x="135"/>
        <item x="16"/>
        <item x="112"/>
        <item x="47"/>
        <item x="33"/>
        <item x="32"/>
        <item x="5"/>
        <item x="66"/>
        <item x="139"/>
        <item x="74"/>
        <item x="89"/>
        <item x="34"/>
        <item x="10"/>
        <item x="37"/>
        <item x="51"/>
        <item x="80"/>
        <item x="30"/>
        <item x="91"/>
        <item x="42"/>
        <item x="118"/>
        <item x="97"/>
        <item x="109"/>
        <item x="57"/>
        <item x="111"/>
        <item x="134"/>
        <item t="default"/>
      </items>
    </pivotField>
    <pivotField showAll="0">
      <items count="8">
        <item x="6"/>
        <item x="1"/>
        <item x="5"/>
        <item x="3"/>
        <item x="2"/>
        <item x="0"/>
        <item x="4"/>
        <item t="default"/>
      </items>
    </pivotField>
    <pivotField showAll="0"/>
    <pivotField showAll="0"/>
  </pivotFields>
  <rowFields count="1">
    <field x="6"/>
  </rowFields>
  <rowItems count="5">
    <i>
      <x/>
    </i>
    <i>
      <x v="1"/>
    </i>
    <i>
      <x v="2"/>
    </i>
    <i>
      <x v="3"/>
    </i>
    <i t="grand">
      <x/>
    </i>
  </rowItems>
  <colItems count="1">
    <i/>
  </colItems>
  <dataFields count="1">
    <dataField name="Average of resolution time(hrs)" fld="7" subtotal="average" baseField="6" baseItem="0" numFmtId="2"/>
  </dataFields>
  <chartFormats count="2">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E20308-30C1-46FD-84E7-D7F6CB21AD29}" name="PivotTable2"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Month">
  <location ref="A20:B25" firstHeaderRow="1" firstDataRow="1" firstDataCol="1"/>
  <pivotFields count="11">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22" showAll="0"/>
    <pivotField numFmtId="22"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numFmtId="2" showAll="0">
      <items count="151">
        <item x="43"/>
        <item x="145"/>
        <item x="100"/>
        <item x="113"/>
        <item x="14"/>
        <item x="15"/>
        <item x="98"/>
        <item x="70"/>
        <item x="76"/>
        <item x="11"/>
        <item x="44"/>
        <item x="104"/>
        <item x="108"/>
        <item x="0"/>
        <item x="110"/>
        <item x="77"/>
        <item x="31"/>
        <item x="3"/>
        <item x="146"/>
        <item x="75"/>
        <item x="63"/>
        <item x="64"/>
        <item x="73"/>
        <item x="128"/>
        <item x="85"/>
        <item x="99"/>
        <item x="4"/>
        <item x="133"/>
        <item x="54"/>
        <item x="38"/>
        <item x="45"/>
        <item x="103"/>
        <item x="26"/>
        <item x="144"/>
        <item x="39"/>
        <item x="48"/>
        <item x="124"/>
        <item x="141"/>
        <item x="53"/>
        <item x="121"/>
        <item x="114"/>
        <item x="65"/>
        <item x="140"/>
        <item x="52"/>
        <item x="22"/>
        <item x="12"/>
        <item x="8"/>
        <item x="125"/>
        <item x="90"/>
        <item x="120"/>
        <item x="122"/>
        <item x="119"/>
        <item x="87"/>
        <item x="71"/>
        <item x="138"/>
        <item x="62"/>
        <item x="149"/>
        <item x="69"/>
        <item x="60"/>
        <item x="41"/>
        <item x="35"/>
        <item x="148"/>
        <item x="102"/>
        <item x="49"/>
        <item x="6"/>
        <item x="95"/>
        <item x="9"/>
        <item x="142"/>
        <item x="106"/>
        <item x="56"/>
        <item x="88"/>
        <item x="59"/>
        <item x="116"/>
        <item x="29"/>
        <item x="67"/>
        <item x="86"/>
        <item x="1"/>
        <item x="20"/>
        <item x="61"/>
        <item x="72"/>
        <item x="25"/>
        <item x="137"/>
        <item x="2"/>
        <item x="23"/>
        <item x="19"/>
        <item x="55"/>
        <item x="40"/>
        <item x="58"/>
        <item x="101"/>
        <item x="123"/>
        <item x="28"/>
        <item x="117"/>
        <item x="130"/>
        <item x="96"/>
        <item x="82"/>
        <item x="27"/>
        <item x="21"/>
        <item x="46"/>
        <item x="92"/>
        <item x="129"/>
        <item x="17"/>
        <item x="105"/>
        <item x="83"/>
        <item x="78"/>
        <item x="107"/>
        <item x="136"/>
        <item x="68"/>
        <item x="93"/>
        <item x="132"/>
        <item x="147"/>
        <item x="18"/>
        <item x="143"/>
        <item x="131"/>
        <item x="36"/>
        <item x="126"/>
        <item x="79"/>
        <item x="24"/>
        <item x="13"/>
        <item x="81"/>
        <item x="94"/>
        <item x="127"/>
        <item x="7"/>
        <item x="84"/>
        <item x="50"/>
        <item x="115"/>
        <item x="135"/>
        <item x="16"/>
        <item x="112"/>
        <item x="47"/>
        <item x="33"/>
        <item x="32"/>
        <item x="5"/>
        <item x="66"/>
        <item x="139"/>
        <item x="74"/>
        <item x="89"/>
        <item x="34"/>
        <item x="10"/>
        <item x="37"/>
        <item x="51"/>
        <item x="80"/>
        <item x="30"/>
        <item x="91"/>
        <item x="42"/>
        <item x="118"/>
        <item x="97"/>
        <item x="109"/>
        <item x="57"/>
        <item x="111"/>
        <item x="134"/>
        <item t="default"/>
      </items>
    </pivotField>
    <pivotField showAll="0">
      <items count="8">
        <item x="6"/>
        <item x="1"/>
        <item x="5"/>
        <item x="3"/>
        <item x="2"/>
        <item x="0"/>
        <item x="4"/>
        <item t="default"/>
      </items>
    </pivotField>
    <pivotField axis="axisRow" showAll="0">
      <items count="5">
        <item x="0"/>
        <item x="2"/>
        <item x="3"/>
        <item x="1"/>
        <item t="default"/>
      </items>
    </pivotField>
    <pivotField showAll="0"/>
  </pivotFields>
  <rowFields count="1">
    <field x="9"/>
  </rowFields>
  <rowItems count="5">
    <i>
      <x/>
    </i>
    <i>
      <x v="1"/>
    </i>
    <i>
      <x v="2"/>
    </i>
    <i>
      <x v="3"/>
    </i>
    <i t="grand">
      <x/>
    </i>
  </rowItems>
  <colItems count="1">
    <i/>
  </colItems>
  <dataFields count="1">
    <dataField name="Count of ticket_id" fld="0" subtotal="count" baseField="0" baseItem="0"/>
  </dataFields>
  <chartFormats count="2">
    <chartFormat chart="18"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4C21F0-6028-4EB5-9A2B-EDA2C4C20B06}"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ay of week">
  <location ref="A3:B11" firstHeaderRow="1" firstDataRow="1" firstDataCol="1"/>
  <pivotFields count="11">
    <pivotField dataField="1" showAll="0"/>
    <pivotField numFmtId="22" showAll="0"/>
    <pivotField numFmtId="22" showAll="0"/>
    <pivotField showAll="0">
      <items count="8">
        <item x="3"/>
        <item x="6"/>
        <item x="2"/>
        <item x="4"/>
        <item x="0"/>
        <item x="5"/>
        <item x="1"/>
        <item t="default"/>
      </items>
    </pivotField>
    <pivotField showAll="0">
      <items count="11">
        <item x="7"/>
        <item x="6"/>
        <item x="5"/>
        <item x="3"/>
        <item x="4"/>
        <item x="9"/>
        <item x="8"/>
        <item x="2"/>
        <item x="1"/>
        <item x="0"/>
        <item t="default"/>
      </items>
    </pivotField>
    <pivotField showAll="0"/>
    <pivotField showAll="0">
      <items count="5">
        <item x="3"/>
        <item x="0"/>
        <item x="2"/>
        <item x="1"/>
        <item t="default"/>
      </items>
    </pivotField>
    <pivotField numFmtId="2" showAll="0">
      <items count="151">
        <item x="43"/>
        <item x="145"/>
        <item x="100"/>
        <item x="113"/>
        <item x="14"/>
        <item x="15"/>
        <item x="98"/>
        <item x="70"/>
        <item x="76"/>
        <item x="11"/>
        <item x="44"/>
        <item x="104"/>
        <item x="108"/>
        <item x="0"/>
        <item x="110"/>
        <item x="77"/>
        <item x="31"/>
        <item x="3"/>
        <item x="146"/>
        <item x="75"/>
        <item x="63"/>
        <item x="64"/>
        <item x="73"/>
        <item x="128"/>
        <item x="85"/>
        <item x="99"/>
        <item x="4"/>
        <item x="133"/>
        <item x="54"/>
        <item x="38"/>
        <item x="45"/>
        <item x="103"/>
        <item x="26"/>
        <item x="144"/>
        <item x="39"/>
        <item x="48"/>
        <item x="124"/>
        <item x="141"/>
        <item x="53"/>
        <item x="121"/>
        <item x="114"/>
        <item x="65"/>
        <item x="140"/>
        <item x="52"/>
        <item x="22"/>
        <item x="12"/>
        <item x="8"/>
        <item x="125"/>
        <item x="90"/>
        <item x="120"/>
        <item x="122"/>
        <item x="119"/>
        <item x="87"/>
        <item x="71"/>
        <item x="138"/>
        <item x="62"/>
        <item x="149"/>
        <item x="69"/>
        <item x="60"/>
        <item x="41"/>
        <item x="35"/>
        <item x="148"/>
        <item x="102"/>
        <item x="49"/>
        <item x="6"/>
        <item x="95"/>
        <item x="9"/>
        <item x="142"/>
        <item x="106"/>
        <item x="56"/>
        <item x="88"/>
        <item x="59"/>
        <item x="116"/>
        <item x="29"/>
        <item x="67"/>
        <item x="86"/>
        <item x="1"/>
        <item x="20"/>
        <item x="61"/>
        <item x="72"/>
        <item x="25"/>
        <item x="137"/>
        <item x="2"/>
        <item x="23"/>
        <item x="19"/>
        <item x="55"/>
        <item x="40"/>
        <item x="58"/>
        <item x="101"/>
        <item x="123"/>
        <item x="28"/>
        <item x="117"/>
        <item x="130"/>
        <item x="96"/>
        <item x="82"/>
        <item x="27"/>
        <item x="21"/>
        <item x="46"/>
        <item x="92"/>
        <item x="129"/>
        <item x="17"/>
        <item x="105"/>
        <item x="83"/>
        <item x="78"/>
        <item x="107"/>
        <item x="136"/>
        <item x="68"/>
        <item x="93"/>
        <item x="132"/>
        <item x="147"/>
        <item x="18"/>
        <item x="143"/>
        <item x="131"/>
        <item x="36"/>
        <item x="126"/>
        <item x="79"/>
        <item x="24"/>
        <item x="13"/>
        <item x="81"/>
        <item x="94"/>
        <item x="127"/>
        <item x="7"/>
        <item x="84"/>
        <item x="50"/>
        <item x="115"/>
        <item x="135"/>
        <item x="16"/>
        <item x="112"/>
        <item x="47"/>
        <item x="33"/>
        <item x="32"/>
        <item x="5"/>
        <item x="66"/>
        <item x="139"/>
        <item x="74"/>
        <item x="89"/>
        <item x="34"/>
        <item x="10"/>
        <item x="37"/>
        <item x="51"/>
        <item x="80"/>
        <item x="30"/>
        <item x="91"/>
        <item x="42"/>
        <item x="118"/>
        <item x="97"/>
        <item x="109"/>
        <item x="57"/>
        <item x="111"/>
        <item x="134"/>
        <item t="default"/>
      </items>
    </pivotField>
    <pivotField axis="axisRow" showAll="0">
      <items count="8">
        <item x="6"/>
        <item x="1"/>
        <item x="5"/>
        <item x="3"/>
        <item x="2"/>
        <item x="0"/>
        <item x="4"/>
        <item t="default"/>
      </items>
    </pivotField>
    <pivotField showAll="0">
      <items count="5">
        <item sd="0" x="0"/>
        <item sd="0" x="2"/>
        <item sd="0" x="3"/>
        <item sd="0" x="1"/>
        <item t="default"/>
      </items>
    </pivotField>
    <pivotField showAll="0">
      <items count="25">
        <item x="17"/>
        <item x="11"/>
        <item x="21"/>
        <item x="15"/>
        <item x="23"/>
        <item x="16"/>
        <item x="22"/>
        <item x="7"/>
        <item x="19"/>
        <item x="2"/>
        <item x="6"/>
        <item x="12"/>
        <item x="14"/>
        <item x="10"/>
        <item x="9"/>
        <item x="20"/>
        <item x="8"/>
        <item x="3"/>
        <item x="18"/>
        <item x="1"/>
        <item x="5"/>
        <item x="4"/>
        <item x="0"/>
        <item x="13"/>
        <item t="default"/>
      </items>
    </pivotField>
  </pivotFields>
  <rowFields count="1">
    <field x="8"/>
  </rowFields>
  <rowItems count="8">
    <i>
      <x/>
    </i>
    <i>
      <x v="1"/>
    </i>
    <i>
      <x v="2"/>
    </i>
    <i>
      <x v="3"/>
    </i>
    <i>
      <x v="4"/>
    </i>
    <i>
      <x v="5"/>
    </i>
    <i>
      <x v="6"/>
    </i>
    <i t="grand">
      <x/>
    </i>
  </rowItems>
  <colItems count="1">
    <i/>
  </colItems>
  <dataFields count="1">
    <dataField name="Count of ticket_id" fld="0" subtotal="count"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98668C-622D-4448-A027-CB8DE7C97C92}" autoFormatId="16" applyNumberFormats="0" applyBorderFormats="0" applyFontFormats="0" applyPatternFormats="0" applyAlignmentFormats="0" applyWidthHeightFormats="0">
  <queryTableRefresh nextId="15" unboundColumnsRight="5">
    <queryTableFields count="12">
      <queryTableField id="1" name="ticket_id" tableColumnId="1"/>
      <queryTableField id="2" name="submission_date" tableColumnId="2"/>
      <queryTableField id="3" name="resolution_date" tableColumnId="3"/>
      <queryTableField id="4" name="category" tableColumnId="4"/>
      <queryTableField id="5" name="assigned_analyst" tableColumnId="5"/>
      <queryTableField id="6" name="description" tableColumnId="6"/>
      <queryTableField id="7" name="priority" tableColumnId="7"/>
      <queryTableField id="8" dataBound="0" tableColumnId="8"/>
      <queryTableField id="9" dataBound="0" tableColumnId="9"/>
      <queryTableField id="10" dataBound="0" tableColumnId="10"/>
      <queryTableField id="11" dataBound="0" tableColumnId="11"/>
      <queryTableField id="13" dataBound="0"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C85B098-15DA-4725-9E82-58BA78DF0864}" sourceName="category">
  <pivotTables>
    <pivotTable tabId="3" name="PivotTable1"/>
    <pivotTable tabId="3" name="PivotTable2"/>
    <pivotTable tabId="3" name="PivotTable3"/>
    <pivotTable tabId="3" name="PivotTable4"/>
    <pivotTable tabId="3" name="PivotTable7"/>
  </pivotTables>
  <data>
    <tabular pivotCacheId="1139638999">
      <items count="7">
        <i x="3" s="1"/>
        <i x="6" s="1"/>
        <i x="2" s="1"/>
        <i x="4" s="1"/>
        <i x="0"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_analyst" xr10:uid="{D8BD0836-CAEE-420F-B19A-6D568FECE8CF}" sourceName="assigned_analyst">
  <pivotTables>
    <pivotTable tabId="3" name="PivotTable1"/>
    <pivotTable tabId="3" name="PivotTable2"/>
    <pivotTable tabId="3" name="PivotTable3"/>
    <pivotTable tabId="3" name="PivotTable4"/>
    <pivotTable tabId="3" name="PivotTable7"/>
  </pivotTables>
  <data>
    <tabular pivotCacheId="1139638999">
      <items count="10">
        <i x="7" s="1"/>
        <i x="6" s="1"/>
        <i x="5" s="1"/>
        <i x="3" s="1"/>
        <i x="4" s="1"/>
        <i x="9" s="1"/>
        <i x="8"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6831FA28-8DC9-461C-A379-1ED6B63045DF}" sourceName="priority">
  <pivotTables>
    <pivotTable tabId="3" name="PivotTable1"/>
    <pivotTable tabId="3" name="PivotTable2"/>
    <pivotTable tabId="3" name="PivotTable3"/>
    <pivotTable tabId="3" name="PivotTable4"/>
    <pivotTable tabId="3" name="PivotTable7"/>
  </pivotTables>
  <data>
    <tabular pivotCacheId="1139638999">
      <items count="4">
        <i x="3" s="1"/>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olution_time_hrs" xr10:uid="{DC7538EF-94A6-4A89-8DC7-BE3442FD98E4}" sourceName="resolution time(hrs)">
  <pivotTables>
    <pivotTable tabId="3" name="PivotTable1"/>
    <pivotTable tabId="3" name="PivotTable2"/>
    <pivotTable tabId="3" name="PivotTable3"/>
    <pivotTable tabId="3" name="PivotTable4"/>
    <pivotTable tabId="3" name="PivotTable7"/>
  </pivotTables>
  <data>
    <tabular pivotCacheId="1139638999">
      <items count="150">
        <i x="43" s="1"/>
        <i x="145" s="1"/>
        <i x="100" s="1"/>
        <i x="113" s="1"/>
        <i x="14" s="1"/>
        <i x="15" s="1"/>
        <i x="98" s="1"/>
        <i x="70" s="1"/>
        <i x="76" s="1"/>
        <i x="11" s="1"/>
        <i x="44" s="1"/>
        <i x="104" s="1"/>
        <i x="108" s="1"/>
        <i x="0" s="1"/>
        <i x="110" s="1"/>
        <i x="77" s="1"/>
        <i x="31" s="1"/>
        <i x="3" s="1"/>
        <i x="146" s="1"/>
        <i x="75" s="1"/>
        <i x="63" s="1"/>
        <i x="64" s="1"/>
        <i x="73" s="1"/>
        <i x="128" s="1"/>
        <i x="85" s="1"/>
        <i x="99" s="1"/>
        <i x="4" s="1"/>
        <i x="133" s="1"/>
        <i x="54" s="1"/>
        <i x="38" s="1"/>
        <i x="45" s="1"/>
        <i x="103" s="1"/>
        <i x="26" s="1"/>
        <i x="144" s="1"/>
        <i x="39" s="1"/>
        <i x="48" s="1"/>
        <i x="124" s="1"/>
        <i x="141" s="1"/>
        <i x="53" s="1"/>
        <i x="121" s="1"/>
        <i x="114" s="1"/>
        <i x="65" s="1"/>
        <i x="140" s="1"/>
        <i x="52" s="1"/>
        <i x="22" s="1"/>
        <i x="12" s="1"/>
        <i x="8" s="1"/>
        <i x="125" s="1"/>
        <i x="90" s="1"/>
        <i x="120" s="1"/>
        <i x="122" s="1"/>
        <i x="119" s="1"/>
        <i x="87" s="1"/>
        <i x="71" s="1"/>
        <i x="138" s="1"/>
        <i x="62" s="1"/>
        <i x="149" s="1"/>
        <i x="69" s="1"/>
        <i x="60" s="1"/>
        <i x="41" s="1"/>
        <i x="35" s="1"/>
        <i x="148" s="1"/>
        <i x="102" s="1"/>
        <i x="49" s="1"/>
        <i x="6" s="1"/>
        <i x="95" s="1"/>
        <i x="9" s="1"/>
        <i x="142" s="1"/>
        <i x="106" s="1"/>
        <i x="56" s="1"/>
        <i x="88" s="1"/>
        <i x="59" s="1"/>
        <i x="116" s="1"/>
        <i x="29" s="1"/>
        <i x="67" s="1"/>
        <i x="86" s="1"/>
        <i x="1" s="1"/>
        <i x="20" s="1"/>
        <i x="61" s="1"/>
        <i x="72" s="1"/>
        <i x="25" s="1"/>
        <i x="137" s="1"/>
        <i x="2" s="1"/>
        <i x="23" s="1"/>
        <i x="19" s="1"/>
        <i x="55" s="1"/>
        <i x="40" s="1"/>
        <i x="58" s="1"/>
        <i x="101" s="1"/>
        <i x="123" s="1"/>
        <i x="28" s="1"/>
        <i x="117" s="1"/>
        <i x="130" s="1"/>
        <i x="96" s="1"/>
        <i x="82" s="1"/>
        <i x="27" s="1"/>
        <i x="21" s="1"/>
        <i x="46" s="1"/>
        <i x="92" s="1"/>
        <i x="129" s="1"/>
        <i x="17" s="1"/>
        <i x="105" s="1"/>
        <i x="83" s="1"/>
        <i x="78" s="1"/>
        <i x="107" s="1"/>
        <i x="136" s="1"/>
        <i x="68" s="1"/>
        <i x="93" s="1"/>
        <i x="132" s="1"/>
        <i x="147" s="1"/>
        <i x="18" s="1"/>
        <i x="143" s="1"/>
        <i x="131" s="1"/>
        <i x="36" s="1"/>
        <i x="126" s="1"/>
        <i x="79" s="1"/>
        <i x="24" s="1"/>
        <i x="13" s="1"/>
        <i x="81" s="1"/>
        <i x="94" s="1"/>
        <i x="127" s="1"/>
        <i x="7" s="1"/>
        <i x="84" s="1"/>
        <i x="50" s="1"/>
        <i x="115" s="1"/>
        <i x="135" s="1"/>
        <i x="16" s="1"/>
        <i x="112" s="1"/>
        <i x="47" s="1"/>
        <i x="33" s="1"/>
        <i x="32" s="1"/>
        <i x="5" s="1"/>
        <i x="66" s="1"/>
        <i x="139" s="1"/>
        <i x="74" s="1"/>
        <i x="89" s="1"/>
        <i x="34" s="1"/>
        <i x="10" s="1"/>
        <i x="37" s="1"/>
        <i x="51" s="1"/>
        <i x="80" s="1"/>
        <i x="30" s="1"/>
        <i x="91" s="1"/>
        <i x="42" s="1"/>
        <i x="118" s="1"/>
        <i x="97" s="1"/>
        <i x="109" s="1"/>
        <i x="57" s="1"/>
        <i x="111" s="1"/>
        <i x="13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6AE582DB-9C31-46FC-80EB-2FF96690BDBD}" sourceName="day of week">
  <pivotTables>
    <pivotTable tabId="3" name="PivotTable1"/>
    <pivotTable tabId="3" name="PivotTable2"/>
    <pivotTable tabId="3" name="PivotTable3"/>
    <pivotTable tabId="3" name="PivotTable4"/>
    <pivotTable tabId="3" name="PivotTable7"/>
  </pivotTables>
  <data>
    <tabular pivotCacheId="1139638999">
      <items count="7">
        <i x="6" s="1"/>
        <i x="1" s="1"/>
        <i x="5" s="1"/>
        <i x="3" s="1"/>
        <i x="2"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29105C1C-1852-40F0-ACAB-C7C6E078BBF2}" cache="Slicer_category" caption="category" rowHeight="234950"/>
  <slicer name="assigned_analyst 1" xr10:uid="{9329DC66-C989-4F3A-ABB5-39F7A5F51465}" cache="Slicer_assigned_analyst" caption="assigned_analyst" rowHeight="234950"/>
  <slicer name="priority 1" xr10:uid="{01DA750F-15C4-4C82-9D6B-0C62CD9A71A5}" cache="Slicer_priority" caption="prior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FA4A60C-8382-4CB2-BF8A-952309AD77B3}" cache="Slicer_category" caption="category" rowHeight="234950"/>
  <slicer name="assigned_analyst" xr10:uid="{417F2B0C-8B7D-48D3-9F76-0D6470DB70CE}" cache="Slicer_assigned_analyst" caption="assigned_analyst" rowHeight="234950"/>
  <slicer name="priority" xr10:uid="{5EE94098-08B4-45D5-B992-004AC35BE167}" cache="Slicer_priority" caption="priority" rowHeight="234950"/>
  <slicer name="resolution time(hrs)" xr10:uid="{AC291F8B-8E3D-4046-A73B-DCE8DDD9F807}" cache="Slicer_resolution_time_hrs" caption="resolution time(hrs)" rowHeight="234950"/>
  <slicer name="day of week" xr10:uid="{1AD4A302-A1BF-4BEB-B741-E39971BA7619}" cache="Slicer_day_of_week" caption="day of week"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8657AD-6C87-47EB-9DD2-082748E20781}" name="help_desk_tickets" displayName="help_desk_tickets" ref="A1:L151" tableType="queryTable" totalsRowShown="0">
  <autoFilter ref="A1:L151" xr:uid="{858657AD-6C87-47EB-9DD2-082748E20781}"/>
  <tableColumns count="12">
    <tableColumn id="1" xr3:uid="{D3498F9C-704B-449F-8688-F18AE0078010}" uniqueName="1" name="ticket_id" queryTableFieldId="1" dataDxfId="11"/>
    <tableColumn id="2" xr3:uid="{0D12B846-CF68-4E7B-AC60-4F7496517625}" uniqueName="2" name="submission_date" queryTableFieldId="2" dataDxfId="10"/>
    <tableColumn id="3" xr3:uid="{75133001-5E7B-43A6-8FFF-22298EBFCFE4}" uniqueName="3" name="resolution_date" queryTableFieldId="3" dataDxfId="9"/>
    <tableColumn id="4" xr3:uid="{38CFC6AF-26DD-49B4-9073-CC1DA7AAE392}" uniqueName="4" name="category" queryTableFieldId="4" dataDxfId="8"/>
    <tableColumn id="5" xr3:uid="{97D48A44-D471-49B9-898D-FFAAEFC34EF3}" uniqueName="5" name="assigned_analyst" queryTableFieldId="5" dataDxfId="7"/>
    <tableColumn id="6" xr3:uid="{518A5A46-C7E5-401B-A2A5-3DFFAFE51CDD}" uniqueName="6" name="description" queryTableFieldId="6" dataDxfId="6"/>
    <tableColumn id="7" xr3:uid="{7713EE61-0A66-403D-BB0C-FCB6A6F2F5F9}" uniqueName="7" name="priority" queryTableFieldId="7" dataDxfId="5"/>
    <tableColumn id="8" xr3:uid="{1290C061-53BF-43E9-8C76-6DD1E41C02AC}" uniqueName="8" name="resolution time(hrs)" queryTableFieldId="8" dataDxfId="4">
      <calculatedColumnFormula>(help_desk_tickets[[#This Row],[resolution_date]]-help_desk_tickets[[#This Row],[submission_date]])*24</calculatedColumnFormula>
    </tableColumn>
    <tableColumn id="9" xr3:uid="{4C5C5A0F-D3A5-4F9D-A5CB-730D5B6FE3F4}" uniqueName="9" name="day of week" queryTableFieldId="9" dataDxfId="2">
      <calculatedColumnFormula>TEXT(help_desk_tickets[[#This Row],[submission_date]],"ddd")</calculatedColumnFormula>
    </tableColumn>
    <tableColumn id="10" xr3:uid="{8E798EB3-AE49-4143-B9B3-96258A496824}" uniqueName="10" name="month name" queryTableFieldId="10" dataDxfId="3">
      <calculatedColumnFormula>TEXT(help_desk_tickets[[#This Row],[submission_date]],"mmm")</calculatedColumnFormula>
    </tableColumn>
    <tableColumn id="11" xr3:uid="{656F397C-4C44-4ED2-AFA1-4D655783E3CA}" uniqueName="11" name="hour of submission" queryTableFieldId="11" dataDxfId="1">
      <calculatedColumnFormula>HOUR(help_desk_tickets[[#This Row],[submission_date]])</calculatedColumnFormula>
    </tableColumn>
    <tableColumn id="13" xr3:uid="{7F3D7245-A98F-478E-8A98-4A6ECDEBA37F}" uniqueName="13" name="Keyword detection" queryTableFieldId="13" dataDxfId="0">
      <calculatedColumnFormula>IF(ISNUMBER(SEARCH("password",F2)),"Password Issue",IF(ISNUMBER(SEARCH("network",F2)),"Network issue",IF(ISNUMBER(SEARCH("internet",F2)),"Network issues",IF(ISNUMBER(SEARCH("crashing",F2)),"Login issue",IF(ISNUMBER(SEARCH("stuck",F2)),"Performance issue","Other")))))</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3EBEA-2D67-4039-BE93-9A1160115A50}">
  <dimension ref="B3"/>
  <sheetViews>
    <sheetView showGridLines="0" tabSelected="1" workbookViewId="0">
      <selection activeCell="U22" sqref="U22"/>
    </sheetView>
  </sheetViews>
  <sheetFormatPr defaultRowHeight="14.4" x14ac:dyDescent="0.3"/>
  <sheetData>
    <row r="3" spans="2:2" x14ac:dyDescent="0.3">
      <c r="B3"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9D7D-671C-417A-832F-34875BCAD30E}">
  <dimension ref="A1:M151"/>
  <sheetViews>
    <sheetView workbookViewId="0">
      <selection activeCell="A2" sqref="A2"/>
    </sheetView>
  </sheetViews>
  <sheetFormatPr defaultRowHeight="14.4" x14ac:dyDescent="0.3"/>
  <cols>
    <col min="1" max="1" width="11.33203125" bestFit="1" customWidth="1"/>
    <col min="2" max="2" width="17.44140625" bestFit="1" customWidth="1"/>
    <col min="3" max="3" width="16.5546875" bestFit="1" customWidth="1"/>
    <col min="4" max="4" width="10.5546875" bestFit="1" customWidth="1"/>
    <col min="5" max="5" width="17.5546875" bestFit="1" customWidth="1"/>
    <col min="6" max="6" width="80.88671875" bestFit="1" customWidth="1"/>
    <col min="7" max="7" width="9.33203125" bestFit="1" customWidth="1"/>
    <col min="8" max="8" width="8.88671875" style="3"/>
  </cols>
  <sheetData>
    <row r="1" spans="1:13" x14ac:dyDescent="0.3">
      <c r="A1" t="s">
        <v>0</v>
      </c>
      <c r="B1" t="s">
        <v>1</v>
      </c>
      <c r="C1" t="s">
        <v>2</v>
      </c>
      <c r="D1" t="s">
        <v>3</v>
      </c>
      <c r="E1" t="s">
        <v>4</v>
      </c>
      <c r="F1" t="s">
        <v>5</v>
      </c>
      <c r="G1" t="s">
        <v>6</v>
      </c>
      <c r="H1" s="3" t="s">
        <v>328</v>
      </c>
      <c r="I1" t="s">
        <v>329</v>
      </c>
      <c r="J1" t="s">
        <v>330</v>
      </c>
      <c r="K1" t="s">
        <v>331</v>
      </c>
      <c r="L1" t="s">
        <v>350</v>
      </c>
    </row>
    <row r="2" spans="1:13" x14ac:dyDescent="0.3">
      <c r="A2" s="1" t="s">
        <v>7</v>
      </c>
      <c r="B2" s="2">
        <v>45835.941851539355</v>
      </c>
      <c r="C2" s="2">
        <v>45836.157414849535</v>
      </c>
      <c r="D2" s="1" t="s">
        <v>8</v>
      </c>
      <c r="E2" s="1" t="s">
        <v>9</v>
      </c>
      <c r="F2" s="1" t="s">
        <v>10</v>
      </c>
      <c r="G2" s="1" t="s">
        <v>11</v>
      </c>
      <c r="H2" s="3">
        <f>(help_desk_tickets[[#This Row],[resolution_date]]-help_desk_tickets[[#This Row],[submission_date]])*24</f>
        <v>5.1735194443026558</v>
      </c>
      <c r="I2" s="1" t="str">
        <f>TEXT(help_desk_tickets[[#This Row],[submission_date]],"ddd")</f>
        <v>Fri</v>
      </c>
      <c r="J2" s="1" t="str">
        <f>TEXT(help_desk_tickets[[#This Row],[submission_date]],"mmm")</f>
        <v>Jun</v>
      </c>
      <c r="K2" s="1">
        <f>HOUR(help_desk_tickets[[#This Row],[submission_date]])</f>
        <v>22</v>
      </c>
      <c r="L2" s="1" t="str">
        <f t="shared" ref="L2:L33" si="0">IF(ISNUMBER(SEARCH("password",F2)),"Password Issue",IF(ISNUMBER(SEARCH("network",F2)),"Network issue",IF(ISNUMBER(SEARCH("internet",F2)),"Network issues",IF(ISNUMBER(SEARCH("crashing",F2)),"Login issue",IF(ISNUMBER(SEARCH("stuck",F2)),"Performance issue","Other")))))</f>
        <v>Other</v>
      </c>
      <c r="M2" s="1"/>
    </row>
    <row r="3" spans="1:13" x14ac:dyDescent="0.3">
      <c r="A3" s="1" t="s">
        <v>12</v>
      </c>
      <c r="B3" s="2">
        <v>45901.811099560182</v>
      </c>
      <c r="C3" s="2">
        <v>45903.304232997689</v>
      </c>
      <c r="D3" s="1" t="s">
        <v>13</v>
      </c>
      <c r="E3" s="1" t="s">
        <v>14</v>
      </c>
      <c r="F3" s="1" t="s">
        <v>15</v>
      </c>
      <c r="G3" s="1" t="s">
        <v>16</v>
      </c>
      <c r="H3" s="3">
        <f>(help_desk_tickets[[#This Row],[resolution_date]]-help_desk_tickets[[#This Row],[submission_date]])*24</f>
        <v>35.835202500165906</v>
      </c>
      <c r="I3" s="1" t="str">
        <f>TEXT(help_desk_tickets[[#This Row],[submission_date]],"ddd")</f>
        <v>Mon</v>
      </c>
      <c r="J3" s="1" t="str">
        <f>TEXT(help_desk_tickets[[#This Row],[submission_date]],"mmm")</f>
        <v>Sep</v>
      </c>
      <c r="K3" s="1">
        <f>HOUR(help_desk_tickets[[#This Row],[submission_date]])</f>
        <v>19</v>
      </c>
      <c r="L3" s="1" t="str">
        <f t="shared" si="0"/>
        <v>Login issue</v>
      </c>
      <c r="M3" s="1"/>
    </row>
    <row r="4" spans="1:13" x14ac:dyDescent="0.3">
      <c r="A4" s="1" t="s">
        <v>17</v>
      </c>
      <c r="B4" s="2">
        <v>45904.397251620372</v>
      </c>
      <c r="C4" s="2">
        <v>45905.993478171295</v>
      </c>
      <c r="D4" s="1" t="s">
        <v>8</v>
      </c>
      <c r="E4" s="1" t="s">
        <v>18</v>
      </c>
      <c r="F4" s="1" t="s">
        <v>19</v>
      </c>
      <c r="G4" s="1" t="s">
        <v>16</v>
      </c>
      <c r="H4" s="3">
        <f>(help_desk_tickets[[#This Row],[resolution_date]]-help_desk_tickets[[#This Row],[submission_date]])*24</f>
        <v>38.309437222138513</v>
      </c>
      <c r="I4" s="1" t="str">
        <f>TEXT(help_desk_tickets[[#This Row],[submission_date]],"ddd")</f>
        <v>Thu</v>
      </c>
      <c r="J4" s="1" t="str">
        <f>TEXT(help_desk_tickets[[#This Row],[submission_date]],"mmm")</f>
        <v>Sep</v>
      </c>
      <c r="K4" s="1">
        <f>HOUR(help_desk_tickets[[#This Row],[submission_date]])</f>
        <v>9</v>
      </c>
      <c r="L4" s="1" t="str">
        <f t="shared" si="0"/>
        <v>Other</v>
      </c>
      <c r="M4" s="1"/>
    </row>
    <row r="5" spans="1:13" x14ac:dyDescent="0.3">
      <c r="A5" s="1" t="s">
        <v>20</v>
      </c>
      <c r="B5" s="2">
        <v>45866.74136521991</v>
      </c>
      <c r="C5" s="2">
        <v>45867.068278449071</v>
      </c>
      <c r="D5" s="1" t="s">
        <v>21</v>
      </c>
      <c r="E5" s="1" t="s">
        <v>22</v>
      </c>
      <c r="F5" s="1" t="s">
        <v>23</v>
      </c>
      <c r="G5" s="1" t="s">
        <v>11</v>
      </c>
      <c r="H5" s="3">
        <f>(help_desk_tickets[[#This Row],[resolution_date]]-help_desk_tickets[[#This Row],[submission_date]])*24</f>
        <v>7.8459174998570234</v>
      </c>
      <c r="I5" s="1" t="str">
        <f>TEXT(help_desk_tickets[[#This Row],[submission_date]],"ddd")</f>
        <v>Mon</v>
      </c>
      <c r="J5" s="1" t="str">
        <f>TEXT(help_desk_tickets[[#This Row],[submission_date]],"mmm")</f>
        <v>Jul</v>
      </c>
      <c r="K5" s="1">
        <f>HOUR(help_desk_tickets[[#This Row],[submission_date]])</f>
        <v>17</v>
      </c>
      <c r="L5" s="1" t="str">
        <f t="shared" si="0"/>
        <v>Performance issue</v>
      </c>
      <c r="M5" s="1"/>
    </row>
    <row r="6" spans="1:13" x14ac:dyDescent="0.3">
      <c r="A6" s="1" t="s">
        <v>24</v>
      </c>
      <c r="B6" s="2">
        <v>45903.907044247688</v>
      </c>
      <c r="C6" s="2">
        <v>45904.286888356481</v>
      </c>
      <c r="D6" s="1" t="s">
        <v>13</v>
      </c>
      <c r="E6" s="1" t="s">
        <v>25</v>
      </c>
      <c r="F6" s="1" t="s">
        <v>26</v>
      </c>
      <c r="G6" s="1" t="s">
        <v>11</v>
      </c>
      <c r="H6" s="3">
        <f>(help_desk_tickets[[#This Row],[resolution_date]]-help_desk_tickets[[#This Row],[submission_date]])*24</f>
        <v>9.1162586110294797</v>
      </c>
      <c r="I6" s="1" t="str">
        <f>TEXT(help_desk_tickets[[#This Row],[submission_date]],"ddd")</f>
        <v>Wed</v>
      </c>
      <c r="J6" s="1" t="str">
        <f>TEXT(help_desk_tickets[[#This Row],[submission_date]],"mmm")</f>
        <v>Sep</v>
      </c>
      <c r="K6" s="1">
        <f>HOUR(help_desk_tickets[[#This Row],[submission_date]])</f>
        <v>21</v>
      </c>
      <c r="L6" s="1" t="str">
        <f t="shared" si="0"/>
        <v>Login issue</v>
      </c>
      <c r="M6" s="1"/>
    </row>
    <row r="7" spans="1:13" x14ac:dyDescent="0.3">
      <c r="A7" s="1" t="s">
        <v>27</v>
      </c>
      <c r="B7" s="2">
        <v>45873.856022048611</v>
      </c>
      <c r="C7" s="2">
        <v>45879.411592372686</v>
      </c>
      <c r="D7" s="1" t="s">
        <v>13</v>
      </c>
      <c r="E7" s="1" t="s">
        <v>18</v>
      </c>
      <c r="F7" s="1" t="s">
        <v>28</v>
      </c>
      <c r="G7" s="1" t="s">
        <v>29</v>
      </c>
      <c r="H7" s="3">
        <f>(help_desk_tickets[[#This Row],[resolution_date]]-help_desk_tickets[[#This Row],[submission_date]])*24</f>
        <v>133.33368777780561</v>
      </c>
      <c r="I7" s="1" t="str">
        <f>TEXT(help_desk_tickets[[#This Row],[submission_date]],"ddd")</f>
        <v>Mon</v>
      </c>
      <c r="J7" s="1" t="str">
        <f>TEXT(help_desk_tickets[[#This Row],[submission_date]],"mmm")</f>
        <v>Aug</v>
      </c>
      <c r="K7" s="1">
        <f>HOUR(help_desk_tickets[[#This Row],[submission_date]])</f>
        <v>20</v>
      </c>
      <c r="L7" s="1" t="str">
        <f t="shared" si="0"/>
        <v>Network issue</v>
      </c>
      <c r="M7" s="1"/>
    </row>
    <row r="8" spans="1:13" x14ac:dyDescent="0.3">
      <c r="A8" s="1" t="s">
        <v>30</v>
      </c>
      <c r="B8" s="2">
        <v>45891.443237013889</v>
      </c>
      <c r="C8" s="2">
        <v>45892.591544872688</v>
      </c>
      <c r="D8" s="1" t="s">
        <v>31</v>
      </c>
      <c r="E8" s="1" t="s">
        <v>32</v>
      </c>
      <c r="F8" s="1" t="s">
        <v>33</v>
      </c>
      <c r="G8" s="1" t="s">
        <v>29</v>
      </c>
      <c r="H8" s="3">
        <f>(help_desk_tickets[[#This Row],[resolution_date]]-help_desk_tickets[[#This Row],[submission_date]])*24</f>
        <v>27.559388611174654</v>
      </c>
      <c r="I8" s="1" t="str">
        <f>TEXT(help_desk_tickets[[#This Row],[submission_date]],"ddd")</f>
        <v>Fri</v>
      </c>
      <c r="J8" s="1" t="str">
        <f>TEXT(help_desk_tickets[[#This Row],[submission_date]],"mmm")</f>
        <v>Aug</v>
      </c>
      <c r="K8" s="1">
        <f>HOUR(help_desk_tickets[[#This Row],[submission_date]])</f>
        <v>10</v>
      </c>
      <c r="L8" s="1" t="str">
        <f t="shared" si="0"/>
        <v>Password Issue</v>
      </c>
      <c r="M8" s="1"/>
    </row>
    <row r="9" spans="1:13" x14ac:dyDescent="0.3">
      <c r="A9" s="1" t="s">
        <v>34</v>
      </c>
      <c r="B9" s="2">
        <v>45843.321851516201</v>
      </c>
      <c r="C9" s="2">
        <v>45847.851614560182</v>
      </c>
      <c r="D9" s="1" t="s">
        <v>13</v>
      </c>
      <c r="E9" s="1" t="s">
        <v>35</v>
      </c>
      <c r="F9" s="1" t="s">
        <v>36</v>
      </c>
      <c r="G9" s="1" t="s">
        <v>29</v>
      </c>
      <c r="H9" s="3">
        <f>(help_desk_tickets[[#This Row],[resolution_date]]-help_desk_tickets[[#This Row],[submission_date]])*24</f>
        <v>108.71431305556325</v>
      </c>
      <c r="I9" s="1" t="str">
        <f>TEXT(help_desk_tickets[[#This Row],[submission_date]],"ddd")</f>
        <v>Sat</v>
      </c>
      <c r="J9" s="1" t="str">
        <f>TEXT(help_desk_tickets[[#This Row],[submission_date]],"mmm")</f>
        <v>Jul</v>
      </c>
      <c r="K9" s="1">
        <f>HOUR(help_desk_tickets[[#This Row],[submission_date]])</f>
        <v>7</v>
      </c>
      <c r="L9" s="1" t="str">
        <f t="shared" si="0"/>
        <v>Login issue</v>
      </c>
      <c r="M9" s="1"/>
    </row>
    <row r="10" spans="1:13" x14ac:dyDescent="0.3">
      <c r="A10" s="1" t="s">
        <v>37</v>
      </c>
      <c r="B10" s="2">
        <v>45845.695295972226</v>
      </c>
      <c r="C10" s="2">
        <v>45846.419769224536</v>
      </c>
      <c r="D10" s="1" t="s">
        <v>21</v>
      </c>
      <c r="E10" s="1" t="s">
        <v>35</v>
      </c>
      <c r="F10" s="1" t="s">
        <v>38</v>
      </c>
      <c r="G10" s="1" t="s">
        <v>16</v>
      </c>
      <c r="H10" s="3">
        <f>(help_desk_tickets[[#This Row],[resolution_date]]-help_desk_tickets[[#This Row],[submission_date]])*24</f>
        <v>17.387358055450022</v>
      </c>
      <c r="I10" s="1" t="str">
        <f>TEXT(help_desk_tickets[[#This Row],[submission_date]],"ddd")</f>
        <v>Mon</v>
      </c>
      <c r="J10" s="1" t="str">
        <f>TEXT(help_desk_tickets[[#This Row],[submission_date]],"mmm")</f>
        <v>Jul</v>
      </c>
      <c r="K10" s="1">
        <f>HOUR(help_desk_tickets[[#This Row],[submission_date]])</f>
        <v>16</v>
      </c>
      <c r="L10" s="1" t="str">
        <f t="shared" si="0"/>
        <v>Performance issue</v>
      </c>
      <c r="M10" s="1"/>
    </row>
    <row r="11" spans="1:13" x14ac:dyDescent="0.3">
      <c r="A11" s="1" t="s">
        <v>39</v>
      </c>
      <c r="B11" s="2">
        <v>45910.617740416666</v>
      </c>
      <c r="C11" s="2">
        <v>45911.83237329861</v>
      </c>
      <c r="D11" s="1" t="s">
        <v>13</v>
      </c>
      <c r="E11" s="1" t="s">
        <v>18</v>
      </c>
      <c r="F11" s="1" t="s">
        <v>40</v>
      </c>
      <c r="G11" s="1" t="s">
        <v>16</v>
      </c>
      <c r="H11" s="3">
        <f>(help_desk_tickets[[#This Row],[resolution_date]]-help_desk_tickets[[#This Row],[submission_date]])*24</f>
        <v>29.151189166645054</v>
      </c>
      <c r="I11" s="1" t="str">
        <f>TEXT(help_desk_tickets[[#This Row],[submission_date]],"ddd")</f>
        <v>Wed</v>
      </c>
      <c r="J11" s="1" t="str">
        <f>TEXT(help_desk_tickets[[#This Row],[submission_date]],"mmm")</f>
        <v>Sep</v>
      </c>
      <c r="K11" s="1">
        <f>HOUR(help_desk_tickets[[#This Row],[submission_date]])</f>
        <v>14</v>
      </c>
      <c r="L11" s="1" t="str">
        <f t="shared" si="0"/>
        <v>Login issue</v>
      </c>
      <c r="M11" s="1"/>
    </row>
    <row r="12" spans="1:13" x14ac:dyDescent="0.3">
      <c r="A12" s="1" t="s">
        <v>41</v>
      </c>
      <c r="B12" s="2">
        <v>45896.555576678242</v>
      </c>
      <c r="C12" s="2">
        <v>45902.686473993053</v>
      </c>
      <c r="D12" s="1" t="s">
        <v>13</v>
      </c>
      <c r="E12" s="1" t="s">
        <v>42</v>
      </c>
      <c r="F12" s="1" t="s">
        <v>43</v>
      </c>
      <c r="G12" s="1" t="s">
        <v>29</v>
      </c>
      <c r="H12" s="3">
        <f>(help_desk_tickets[[#This Row],[resolution_date]]-help_desk_tickets[[#This Row],[submission_date]])*24</f>
        <v>147.14153555547819</v>
      </c>
      <c r="I12" s="1" t="str">
        <f>TEXT(help_desk_tickets[[#This Row],[submission_date]],"ddd")</f>
        <v>Wed</v>
      </c>
      <c r="J12" s="1" t="str">
        <f>TEXT(help_desk_tickets[[#This Row],[submission_date]],"mmm")</f>
        <v>Aug</v>
      </c>
      <c r="K12" s="1">
        <f>HOUR(help_desk_tickets[[#This Row],[submission_date]])</f>
        <v>13</v>
      </c>
      <c r="L12" s="1" t="str">
        <f t="shared" si="0"/>
        <v>Login issue</v>
      </c>
      <c r="M12" s="1"/>
    </row>
    <row r="13" spans="1:13" x14ac:dyDescent="0.3">
      <c r="A13" s="1" t="s">
        <v>44</v>
      </c>
      <c r="B13" s="2">
        <v>45832.080772222223</v>
      </c>
      <c r="C13" s="2">
        <v>45832.240656608796</v>
      </c>
      <c r="D13" s="1" t="s">
        <v>45</v>
      </c>
      <c r="E13" s="1" t="s">
        <v>46</v>
      </c>
      <c r="F13" s="1" t="s">
        <v>47</v>
      </c>
      <c r="G13" s="1" t="s">
        <v>11</v>
      </c>
      <c r="H13" s="3">
        <f>(help_desk_tickets[[#This Row],[resolution_date]]-help_desk_tickets[[#This Row],[submission_date]])*24</f>
        <v>3.8372252777335234</v>
      </c>
      <c r="I13" s="1" t="str">
        <f>TEXT(help_desk_tickets[[#This Row],[submission_date]],"ddd")</f>
        <v>Tue</v>
      </c>
      <c r="J13" s="1" t="str">
        <f>TEXT(help_desk_tickets[[#This Row],[submission_date]],"mmm")</f>
        <v>Jun</v>
      </c>
      <c r="K13" s="1">
        <f>HOUR(help_desk_tickets[[#This Row],[submission_date]])</f>
        <v>1</v>
      </c>
      <c r="L13" s="1" t="str">
        <f t="shared" si="0"/>
        <v>Network issues</v>
      </c>
      <c r="M13" s="1"/>
    </row>
    <row r="14" spans="1:13" x14ac:dyDescent="0.3">
      <c r="A14" s="1" t="s">
        <v>48</v>
      </c>
      <c r="B14" s="2">
        <v>45836.410961250003</v>
      </c>
      <c r="C14" s="2">
        <v>45837.124087824071</v>
      </c>
      <c r="D14" s="1" t="s">
        <v>45</v>
      </c>
      <c r="E14" s="1" t="s">
        <v>9</v>
      </c>
      <c r="F14" s="1" t="s">
        <v>49</v>
      </c>
      <c r="G14" s="1" t="s">
        <v>16</v>
      </c>
      <c r="H14" s="3">
        <f>(help_desk_tickets[[#This Row],[resolution_date]]-help_desk_tickets[[#This Row],[submission_date]])*24</f>
        <v>17.115037777635735</v>
      </c>
      <c r="I14" s="1" t="str">
        <f>TEXT(help_desk_tickets[[#This Row],[submission_date]],"ddd")</f>
        <v>Sat</v>
      </c>
      <c r="J14" s="1" t="str">
        <f>TEXT(help_desk_tickets[[#This Row],[submission_date]],"mmm")</f>
        <v>Jun</v>
      </c>
      <c r="K14" s="1">
        <f>HOUR(help_desk_tickets[[#This Row],[submission_date]])</f>
        <v>9</v>
      </c>
      <c r="L14" s="1" t="str">
        <f t="shared" si="0"/>
        <v>Network issues</v>
      </c>
      <c r="M14" s="1"/>
    </row>
    <row r="15" spans="1:13" x14ac:dyDescent="0.3">
      <c r="A15" s="1" t="s">
        <v>50</v>
      </c>
      <c r="B15" s="2">
        <v>45860.381175960647</v>
      </c>
      <c r="C15" s="2">
        <v>45864.663007303243</v>
      </c>
      <c r="D15" s="1" t="s">
        <v>13</v>
      </c>
      <c r="E15" s="1" t="s">
        <v>35</v>
      </c>
      <c r="F15" s="1" t="s">
        <v>51</v>
      </c>
      <c r="G15" s="1" t="s">
        <v>29</v>
      </c>
      <c r="H15" s="3">
        <f>(help_desk_tickets[[#This Row],[resolution_date]]-help_desk_tickets[[#This Row],[submission_date]])*24</f>
        <v>102.76395222230349</v>
      </c>
      <c r="I15" s="1" t="str">
        <f>TEXT(help_desk_tickets[[#This Row],[submission_date]],"ddd")</f>
        <v>Tue</v>
      </c>
      <c r="J15" s="1" t="str">
        <f>TEXT(help_desk_tickets[[#This Row],[submission_date]],"mmm")</f>
        <v>Jul</v>
      </c>
      <c r="K15" s="1">
        <f>HOUR(help_desk_tickets[[#This Row],[submission_date]])</f>
        <v>9</v>
      </c>
      <c r="L15" s="1" t="str">
        <f t="shared" si="0"/>
        <v>Login issue</v>
      </c>
      <c r="M15" s="1"/>
    </row>
    <row r="16" spans="1:13" x14ac:dyDescent="0.3">
      <c r="A16" s="1" t="s">
        <v>52</v>
      </c>
      <c r="B16" s="2">
        <v>45847.939561192128</v>
      </c>
      <c r="C16" s="2">
        <v>45848.049673622685</v>
      </c>
      <c r="D16" s="1" t="s">
        <v>13</v>
      </c>
      <c r="E16" s="1" t="s">
        <v>14</v>
      </c>
      <c r="F16" s="1" t="s">
        <v>53</v>
      </c>
      <c r="G16" s="1" t="s">
        <v>11</v>
      </c>
      <c r="H16" s="3">
        <f>(help_desk_tickets[[#This Row],[resolution_date]]-help_desk_tickets[[#This Row],[submission_date]])*24</f>
        <v>2.6426983333658427</v>
      </c>
      <c r="I16" s="1" t="str">
        <f>TEXT(help_desk_tickets[[#This Row],[submission_date]],"ddd")</f>
        <v>Wed</v>
      </c>
      <c r="J16" s="1" t="str">
        <f>TEXT(help_desk_tickets[[#This Row],[submission_date]],"mmm")</f>
        <v>Jul</v>
      </c>
      <c r="K16" s="1">
        <f>HOUR(help_desk_tickets[[#This Row],[submission_date]])</f>
        <v>22</v>
      </c>
      <c r="L16" s="1" t="str">
        <f t="shared" si="0"/>
        <v>Login issue</v>
      </c>
      <c r="M16" s="1"/>
    </row>
    <row r="17" spans="1:13" x14ac:dyDescent="0.3">
      <c r="A17" s="1" t="s">
        <v>54</v>
      </c>
      <c r="B17" s="2">
        <v>45861.940402638887</v>
      </c>
      <c r="C17" s="2">
        <v>45862.055572893521</v>
      </c>
      <c r="D17" s="1" t="s">
        <v>13</v>
      </c>
      <c r="E17" s="1" t="s">
        <v>55</v>
      </c>
      <c r="F17" s="1" t="s">
        <v>56</v>
      </c>
      <c r="G17" s="1" t="s">
        <v>11</v>
      </c>
      <c r="H17" s="3">
        <f>(help_desk_tickets[[#This Row],[resolution_date]]-help_desk_tickets[[#This Row],[submission_date]])*24</f>
        <v>2.7640861112158746</v>
      </c>
      <c r="I17" s="1" t="str">
        <f>TEXT(help_desk_tickets[[#This Row],[submission_date]],"ddd")</f>
        <v>Wed</v>
      </c>
      <c r="J17" s="1" t="str">
        <f>TEXT(help_desk_tickets[[#This Row],[submission_date]],"mmm")</f>
        <v>Jul</v>
      </c>
      <c r="K17" s="1">
        <f>HOUR(help_desk_tickets[[#This Row],[submission_date]])</f>
        <v>22</v>
      </c>
      <c r="L17" s="1" t="str">
        <f t="shared" si="0"/>
        <v>Login issue</v>
      </c>
      <c r="M17" s="1"/>
    </row>
    <row r="18" spans="1:13" x14ac:dyDescent="0.3">
      <c r="A18" s="1" t="s">
        <v>57</v>
      </c>
      <c r="B18" s="2">
        <v>45875.494504571761</v>
      </c>
      <c r="C18" s="2">
        <v>45880.346445104165</v>
      </c>
      <c r="D18" s="1" t="s">
        <v>13</v>
      </c>
      <c r="E18" s="1" t="s">
        <v>35</v>
      </c>
      <c r="F18" s="1" t="s">
        <v>58</v>
      </c>
      <c r="G18" s="1" t="s">
        <v>29</v>
      </c>
      <c r="H18" s="3">
        <f>(help_desk_tickets[[#This Row],[resolution_date]]-help_desk_tickets[[#This Row],[submission_date]])*24</f>
        <v>116.44657277769875</v>
      </c>
      <c r="I18" s="1" t="str">
        <f>TEXT(help_desk_tickets[[#This Row],[submission_date]],"ddd")</f>
        <v>Wed</v>
      </c>
      <c r="J18" s="1" t="str">
        <f>TEXT(help_desk_tickets[[#This Row],[submission_date]],"mmm")</f>
        <v>Aug</v>
      </c>
      <c r="K18" s="1">
        <f>HOUR(help_desk_tickets[[#This Row],[submission_date]])</f>
        <v>11</v>
      </c>
      <c r="L18" s="1" t="str">
        <f t="shared" si="0"/>
        <v>Login issue</v>
      </c>
      <c r="M18" s="1"/>
    </row>
    <row r="19" spans="1:13" x14ac:dyDescent="0.3">
      <c r="A19" s="1" t="s">
        <v>59</v>
      </c>
      <c r="B19" s="2">
        <v>45838.695992060188</v>
      </c>
      <c r="C19" s="2">
        <v>45840.859242060185</v>
      </c>
      <c r="D19" s="1" t="s">
        <v>60</v>
      </c>
      <c r="E19" s="1" t="s">
        <v>9</v>
      </c>
      <c r="F19" s="1" t="s">
        <v>61</v>
      </c>
      <c r="G19" s="1" t="s">
        <v>29</v>
      </c>
      <c r="H19" s="3">
        <f>(help_desk_tickets[[#This Row],[resolution_date]]-help_desk_tickets[[#This Row],[submission_date]])*24</f>
        <v>51.917999999946915</v>
      </c>
      <c r="I19" s="1" t="str">
        <f>TEXT(help_desk_tickets[[#This Row],[submission_date]],"ddd")</f>
        <v>Mon</v>
      </c>
      <c r="J19" s="1" t="str">
        <f>TEXT(help_desk_tickets[[#This Row],[submission_date]],"mmm")</f>
        <v>Jun</v>
      </c>
      <c r="K19" s="1">
        <f>HOUR(help_desk_tickets[[#This Row],[submission_date]])</f>
        <v>16</v>
      </c>
      <c r="L19" s="1" t="str">
        <f t="shared" si="0"/>
        <v>Other</v>
      </c>
      <c r="M19" s="1"/>
    </row>
    <row r="20" spans="1:13" x14ac:dyDescent="0.3">
      <c r="A20" s="1" t="s">
        <v>62</v>
      </c>
      <c r="B20" s="2">
        <v>45838.960468067133</v>
      </c>
      <c r="C20" s="2">
        <v>45842.491957118058</v>
      </c>
      <c r="D20" s="1" t="s">
        <v>45</v>
      </c>
      <c r="E20" s="1" t="s">
        <v>22</v>
      </c>
      <c r="F20" s="1" t="s">
        <v>63</v>
      </c>
      <c r="G20" s="1" t="s">
        <v>29</v>
      </c>
      <c r="H20" s="3">
        <f>(help_desk_tickets[[#This Row],[resolution_date]]-help_desk_tickets[[#This Row],[submission_date]])*24</f>
        <v>84.755737222207244</v>
      </c>
      <c r="I20" s="1" t="str">
        <f>TEXT(help_desk_tickets[[#This Row],[submission_date]],"ddd")</f>
        <v>Mon</v>
      </c>
      <c r="J20" s="1" t="str">
        <f>TEXT(help_desk_tickets[[#This Row],[submission_date]],"mmm")</f>
        <v>Jun</v>
      </c>
      <c r="K20" s="1">
        <f>HOUR(help_desk_tickets[[#This Row],[submission_date]])</f>
        <v>23</v>
      </c>
      <c r="L20" s="1" t="str">
        <f t="shared" si="0"/>
        <v>Network issues</v>
      </c>
      <c r="M20" s="1"/>
    </row>
    <row r="21" spans="1:13" x14ac:dyDescent="0.3">
      <c r="A21" s="1" t="s">
        <v>64</v>
      </c>
      <c r="B21" s="2">
        <v>45841.310591296293</v>
      </c>
      <c r="C21" s="2">
        <v>45842.999058043984</v>
      </c>
      <c r="D21" s="1" t="s">
        <v>21</v>
      </c>
      <c r="E21" s="1" t="s">
        <v>22</v>
      </c>
      <c r="F21" s="1" t="s">
        <v>65</v>
      </c>
      <c r="G21" s="1" t="s">
        <v>16</v>
      </c>
      <c r="H21" s="3">
        <f>(help_desk_tickets[[#This Row],[resolution_date]]-help_desk_tickets[[#This Row],[submission_date]])*24</f>
        <v>40.523201944597531</v>
      </c>
      <c r="I21" s="1" t="str">
        <f>TEXT(help_desk_tickets[[#This Row],[submission_date]],"ddd")</f>
        <v>Thu</v>
      </c>
      <c r="J21" s="1" t="str">
        <f>TEXT(help_desk_tickets[[#This Row],[submission_date]],"mmm")</f>
        <v>Jul</v>
      </c>
      <c r="K21" s="1">
        <f>HOUR(help_desk_tickets[[#This Row],[submission_date]])</f>
        <v>7</v>
      </c>
      <c r="L21" s="1" t="str">
        <f t="shared" si="0"/>
        <v>Performance issue</v>
      </c>
      <c r="M21" s="1"/>
    </row>
    <row r="22" spans="1:13" x14ac:dyDescent="0.3">
      <c r="A22" s="1" t="s">
        <v>66</v>
      </c>
      <c r="B22" s="2">
        <v>45831.951130150461</v>
      </c>
      <c r="C22" s="2">
        <v>45833.462965312501</v>
      </c>
      <c r="D22" s="1" t="s">
        <v>13</v>
      </c>
      <c r="E22" s="1" t="s">
        <v>14</v>
      </c>
      <c r="F22" s="1" t="s">
        <v>67</v>
      </c>
      <c r="G22" s="1" t="s">
        <v>16</v>
      </c>
      <c r="H22" s="3">
        <f>(help_desk_tickets[[#This Row],[resolution_date]]-help_desk_tickets[[#This Row],[submission_date]])*24</f>
        <v>36.284043888968881</v>
      </c>
      <c r="I22" s="1" t="str">
        <f>TEXT(help_desk_tickets[[#This Row],[submission_date]],"ddd")</f>
        <v>Mon</v>
      </c>
      <c r="J22" s="1" t="str">
        <f>TEXT(help_desk_tickets[[#This Row],[submission_date]],"mmm")</f>
        <v>Jun</v>
      </c>
      <c r="K22" s="1">
        <f>HOUR(help_desk_tickets[[#This Row],[submission_date]])</f>
        <v>22</v>
      </c>
      <c r="L22" s="1" t="str">
        <f t="shared" si="0"/>
        <v>Login issue</v>
      </c>
      <c r="M22" s="1"/>
    </row>
    <row r="23" spans="1:13" x14ac:dyDescent="0.3">
      <c r="A23" s="1" t="s">
        <v>68</v>
      </c>
      <c r="B23" s="2">
        <v>45846.482601516203</v>
      </c>
      <c r="C23" s="2">
        <v>45848.392504687501</v>
      </c>
      <c r="D23" s="1" t="s">
        <v>13</v>
      </c>
      <c r="E23" s="1" t="s">
        <v>9</v>
      </c>
      <c r="F23" s="1" t="s">
        <v>69</v>
      </c>
      <c r="G23" s="1" t="s">
        <v>16</v>
      </c>
      <c r="H23" s="3">
        <f>(help_desk_tickets[[#This Row],[resolution_date]]-help_desk_tickets[[#This Row],[submission_date]])*24</f>
        <v>45.837676111143082</v>
      </c>
      <c r="I23" s="1" t="str">
        <f>TEXT(help_desk_tickets[[#This Row],[submission_date]],"ddd")</f>
        <v>Tue</v>
      </c>
      <c r="J23" s="1" t="str">
        <f>TEXT(help_desk_tickets[[#This Row],[submission_date]],"mmm")</f>
        <v>Jul</v>
      </c>
      <c r="K23" s="1">
        <f>HOUR(help_desk_tickets[[#This Row],[submission_date]])</f>
        <v>11</v>
      </c>
      <c r="L23" s="1" t="str">
        <f t="shared" si="0"/>
        <v>Login issue</v>
      </c>
      <c r="M23" s="1"/>
    </row>
    <row r="24" spans="1:13" x14ac:dyDescent="0.3">
      <c r="A24" s="1" t="s">
        <v>70</v>
      </c>
      <c r="B24" s="2">
        <v>45830.978999976855</v>
      </c>
      <c r="C24" s="2">
        <v>45831.69044273148</v>
      </c>
      <c r="D24" s="1" t="s">
        <v>13</v>
      </c>
      <c r="E24" s="1" t="s">
        <v>42</v>
      </c>
      <c r="F24" s="1" t="s">
        <v>71</v>
      </c>
      <c r="G24" s="1" t="s">
        <v>16</v>
      </c>
      <c r="H24" s="3">
        <f>(help_desk_tickets[[#This Row],[resolution_date]]-help_desk_tickets[[#This Row],[submission_date]])*24</f>
        <v>17.074626111018006</v>
      </c>
      <c r="I24" s="1" t="str">
        <f>TEXT(help_desk_tickets[[#This Row],[submission_date]],"ddd")</f>
        <v>Sun</v>
      </c>
      <c r="J24" s="1" t="str">
        <f>TEXT(help_desk_tickets[[#This Row],[submission_date]],"mmm")</f>
        <v>Jun</v>
      </c>
      <c r="K24" s="1">
        <f>HOUR(help_desk_tickets[[#This Row],[submission_date]])</f>
        <v>23</v>
      </c>
      <c r="L24" s="1" t="str">
        <f t="shared" si="0"/>
        <v>Login issue</v>
      </c>
      <c r="M24" s="1"/>
    </row>
    <row r="25" spans="1:13" x14ac:dyDescent="0.3">
      <c r="A25" s="1" t="s">
        <v>72</v>
      </c>
      <c r="B25" s="2">
        <v>45898.519360115744</v>
      </c>
      <c r="C25" s="2">
        <v>45900.18315665509</v>
      </c>
      <c r="D25" s="1" t="s">
        <v>13</v>
      </c>
      <c r="E25" s="1" t="s">
        <v>25</v>
      </c>
      <c r="F25" s="1" t="s">
        <v>73</v>
      </c>
      <c r="G25" s="1" t="s">
        <v>16</v>
      </c>
      <c r="H25" s="3">
        <f>(help_desk_tickets[[#This Row],[resolution_date]]-help_desk_tickets[[#This Row],[submission_date]])*24</f>
        <v>39.931116944295354</v>
      </c>
      <c r="I25" s="1" t="str">
        <f>TEXT(help_desk_tickets[[#This Row],[submission_date]],"ddd")</f>
        <v>Fri</v>
      </c>
      <c r="J25" s="1" t="str">
        <f>TEXT(help_desk_tickets[[#This Row],[submission_date]],"mmm")</f>
        <v>Aug</v>
      </c>
      <c r="K25" s="1">
        <f>HOUR(help_desk_tickets[[#This Row],[submission_date]])</f>
        <v>12</v>
      </c>
      <c r="L25" s="1" t="str">
        <f t="shared" si="0"/>
        <v>Login issue</v>
      </c>
      <c r="M25" s="1"/>
    </row>
    <row r="26" spans="1:13" x14ac:dyDescent="0.3">
      <c r="A26" s="1" t="s">
        <v>74</v>
      </c>
      <c r="B26" s="2">
        <v>45850.151124641205</v>
      </c>
      <c r="C26" s="2">
        <v>45854.404572476851</v>
      </c>
      <c r="D26" s="1" t="s">
        <v>45</v>
      </c>
      <c r="E26" s="1" t="s">
        <v>22</v>
      </c>
      <c r="F26" s="1" t="s">
        <v>75</v>
      </c>
      <c r="G26" s="1" t="s">
        <v>29</v>
      </c>
      <c r="H26" s="3">
        <f>(help_desk_tickets[[#This Row],[resolution_date]]-help_desk_tickets[[#This Row],[submission_date]])*24</f>
        <v>102.08274805551628</v>
      </c>
      <c r="I26" s="1" t="str">
        <f>TEXT(help_desk_tickets[[#This Row],[submission_date]],"ddd")</f>
        <v>Sat</v>
      </c>
      <c r="J26" s="1" t="str">
        <f>TEXT(help_desk_tickets[[#This Row],[submission_date]],"mmm")</f>
        <v>Jul</v>
      </c>
      <c r="K26" s="1">
        <f>HOUR(help_desk_tickets[[#This Row],[submission_date]])</f>
        <v>3</v>
      </c>
      <c r="L26" s="1" t="str">
        <f t="shared" si="0"/>
        <v>Network issues</v>
      </c>
      <c r="M26" s="1"/>
    </row>
    <row r="27" spans="1:13" x14ac:dyDescent="0.3">
      <c r="A27" s="1" t="s">
        <v>76</v>
      </c>
      <c r="B27" s="2">
        <v>45851.238076631947</v>
      </c>
      <c r="C27" s="2">
        <v>45852.816654155089</v>
      </c>
      <c r="D27" s="1" t="s">
        <v>13</v>
      </c>
      <c r="E27" s="1" t="s">
        <v>14</v>
      </c>
      <c r="F27" s="1" t="s">
        <v>77</v>
      </c>
      <c r="G27" s="1" t="s">
        <v>16</v>
      </c>
      <c r="H27" s="3">
        <f>(help_desk_tickets[[#This Row],[resolution_date]]-help_desk_tickets[[#This Row],[submission_date]])*24</f>
        <v>37.885860555397812</v>
      </c>
      <c r="I27" s="1" t="str">
        <f>TEXT(help_desk_tickets[[#This Row],[submission_date]],"ddd")</f>
        <v>Sun</v>
      </c>
      <c r="J27" s="1" t="str">
        <f>TEXT(help_desk_tickets[[#This Row],[submission_date]],"mmm")</f>
        <v>Jul</v>
      </c>
      <c r="K27" s="1">
        <f>HOUR(help_desk_tickets[[#This Row],[submission_date]])</f>
        <v>5</v>
      </c>
      <c r="L27" s="1" t="str">
        <f t="shared" si="0"/>
        <v>Login issue</v>
      </c>
      <c r="M27" s="1"/>
    </row>
    <row r="28" spans="1:13" x14ac:dyDescent="0.3">
      <c r="A28" s="1" t="s">
        <v>78</v>
      </c>
      <c r="B28" s="2">
        <v>45832.01864923611</v>
      </c>
      <c r="C28" s="2">
        <v>45832.510323969909</v>
      </c>
      <c r="D28" s="1" t="s">
        <v>45</v>
      </c>
      <c r="E28" s="1" t="s">
        <v>25</v>
      </c>
      <c r="F28" s="1" t="s">
        <v>79</v>
      </c>
      <c r="G28" s="1" t="s">
        <v>11</v>
      </c>
      <c r="H28" s="3">
        <f>(help_desk_tickets[[#This Row],[resolution_date]]-help_desk_tickets[[#This Row],[submission_date]])*24</f>
        <v>11.800193611183204</v>
      </c>
      <c r="I28" s="1" t="str">
        <f>TEXT(help_desk_tickets[[#This Row],[submission_date]],"ddd")</f>
        <v>Tue</v>
      </c>
      <c r="J28" s="1" t="str">
        <f>TEXT(help_desk_tickets[[#This Row],[submission_date]],"mmm")</f>
        <v>Jun</v>
      </c>
      <c r="K28" s="1">
        <f>HOUR(help_desk_tickets[[#This Row],[submission_date]])</f>
        <v>0</v>
      </c>
      <c r="L28" s="1" t="str">
        <f t="shared" si="0"/>
        <v>Network issues</v>
      </c>
      <c r="M28" s="1"/>
    </row>
    <row r="29" spans="1:13" x14ac:dyDescent="0.3">
      <c r="A29" s="1" t="s">
        <v>80</v>
      </c>
      <c r="B29" s="2">
        <v>45841.81186765046</v>
      </c>
      <c r="C29" s="2">
        <v>45843.718911377313</v>
      </c>
      <c r="D29" s="1" t="s">
        <v>81</v>
      </c>
      <c r="E29" s="1" t="s">
        <v>14</v>
      </c>
      <c r="F29" s="1" t="s">
        <v>82</v>
      </c>
      <c r="G29" s="1" t="s">
        <v>16</v>
      </c>
      <c r="H29" s="3">
        <f>(help_desk_tickets[[#This Row],[resolution_date]]-help_desk_tickets[[#This Row],[submission_date]])*24</f>
        <v>45.769049444468692</v>
      </c>
      <c r="I29" s="1" t="str">
        <f>TEXT(help_desk_tickets[[#This Row],[submission_date]],"ddd")</f>
        <v>Thu</v>
      </c>
      <c r="J29" s="1" t="str">
        <f>TEXT(help_desk_tickets[[#This Row],[submission_date]],"mmm")</f>
        <v>Jul</v>
      </c>
      <c r="K29" s="1">
        <f>HOUR(help_desk_tickets[[#This Row],[submission_date]])</f>
        <v>19</v>
      </c>
      <c r="L29" s="1" t="str">
        <f t="shared" si="0"/>
        <v>Other</v>
      </c>
      <c r="M29" s="1"/>
    </row>
    <row r="30" spans="1:13" x14ac:dyDescent="0.3">
      <c r="A30" s="1" t="s">
        <v>83</v>
      </c>
      <c r="B30" s="2">
        <v>45915.543717083332</v>
      </c>
      <c r="C30" s="2">
        <v>45917.331455451385</v>
      </c>
      <c r="D30" s="1" t="s">
        <v>8</v>
      </c>
      <c r="E30" s="1" t="s">
        <v>9</v>
      </c>
      <c r="F30" s="1" t="s">
        <v>84</v>
      </c>
      <c r="G30" s="1" t="s">
        <v>29</v>
      </c>
      <c r="H30" s="3">
        <f>(help_desk_tickets[[#This Row],[resolution_date]]-help_desk_tickets[[#This Row],[submission_date]])*24</f>
        <v>42.905720833281521</v>
      </c>
      <c r="I30" s="1" t="str">
        <f>TEXT(help_desk_tickets[[#This Row],[submission_date]],"ddd")</f>
        <v>Mon</v>
      </c>
      <c r="J30" s="1" t="str">
        <f>TEXT(help_desk_tickets[[#This Row],[submission_date]],"mmm")</f>
        <v>Sep</v>
      </c>
      <c r="K30" s="1">
        <f>HOUR(help_desk_tickets[[#This Row],[submission_date]])</f>
        <v>13</v>
      </c>
      <c r="L30" s="1" t="str">
        <f t="shared" si="0"/>
        <v>Network issue</v>
      </c>
      <c r="M30" s="1"/>
    </row>
    <row r="31" spans="1:13" x14ac:dyDescent="0.3">
      <c r="A31" s="1" t="s">
        <v>85</v>
      </c>
      <c r="B31" s="2">
        <v>45896.914734537037</v>
      </c>
      <c r="C31" s="2">
        <v>45898.277047476855</v>
      </c>
      <c r="D31" s="1" t="s">
        <v>13</v>
      </c>
      <c r="E31" s="1" t="s">
        <v>18</v>
      </c>
      <c r="F31" s="1" t="s">
        <v>86</v>
      </c>
      <c r="G31" s="1" t="s">
        <v>16</v>
      </c>
      <c r="H31" s="3">
        <f>(help_desk_tickets[[#This Row],[resolution_date]]-help_desk_tickets[[#This Row],[submission_date]])*24</f>
        <v>32.695510555640794</v>
      </c>
      <c r="I31" s="1" t="str">
        <f>TEXT(help_desk_tickets[[#This Row],[submission_date]],"ddd")</f>
        <v>Wed</v>
      </c>
      <c r="J31" s="1" t="str">
        <f>TEXT(help_desk_tickets[[#This Row],[submission_date]],"mmm")</f>
        <v>Aug</v>
      </c>
      <c r="K31" s="1">
        <f>HOUR(help_desk_tickets[[#This Row],[submission_date]])</f>
        <v>21</v>
      </c>
      <c r="L31" s="1" t="str">
        <f t="shared" si="0"/>
        <v>Login issue</v>
      </c>
      <c r="M31" s="1"/>
    </row>
    <row r="32" spans="1:13" x14ac:dyDescent="0.3">
      <c r="A32" s="1" t="s">
        <v>87</v>
      </c>
      <c r="B32" s="2">
        <v>45899.845190624997</v>
      </c>
      <c r="C32" s="2">
        <v>45906.109850624998</v>
      </c>
      <c r="D32" s="1" t="s">
        <v>45</v>
      </c>
      <c r="E32" s="1" t="s">
        <v>18</v>
      </c>
      <c r="F32" s="1" t="s">
        <v>88</v>
      </c>
      <c r="G32" s="1" t="s">
        <v>29</v>
      </c>
      <c r="H32" s="3">
        <f>(help_desk_tickets[[#This Row],[resolution_date]]-help_desk_tickets[[#This Row],[submission_date]])*24</f>
        <v>150.35184000001755</v>
      </c>
      <c r="I32" s="1" t="str">
        <f>TEXT(help_desk_tickets[[#This Row],[submission_date]],"ddd")</f>
        <v>Sat</v>
      </c>
      <c r="J32" s="1" t="str">
        <f>TEXT(help_desk_tickets[[#This Row],[submission_date]],"mmm")</f>
        <v>Aug</v>
      </c>
      <c r="K32" s="1">
        <f>HOUR(help_desk_tickets[[#This Row],[submission_date]])</f>
        <v>20</v>
      </c>
      <c r="L32" s="1" t="str">
        <f t="shared" si="0"/>
        <v>Network issues</v>
      </c>
      <c r="M32" s="1"/>
    </row>
    <row r="33" spans="1:13" x14ac:dyDescent="0.3">
      <c r="A33" s="1" t="s">
        <v>89</v>
      </c>
      <c r="B33" s="2">
        <v>45893.999277326388</v>
      </c>
      <c r="C33" s="2">
        <v>45894.316192916667</v>
      </c>
      <c r="D33" s="1" t="s">
        <v>13</v>
      </c>
      <c r="E33" s="1" t="s">
        <v>14</v>
      </c>
      <c r="F33" s="1" t="s">
        <v>90</v>
      </c>
      <c r="G33" s="1" t="s">
        <v>11</v>
      </c>
      <c r="H33" s="3">
        <f>(help_desk_tickets[[#This Row],[resolution_date]]-help_desk_tickets[[#This Row],[submission_date]])*24</f>
        <v>7.605974166712258</v>
      </c>
      <c r="I33" s="1" t="str">
        <f>TEXT(help_desk_tickets[[#This Row],[submission_date]],"ddd")</f>
        <v>Sun</v>
      </c>
      <c r="J33" s="1" t="str">
        <f>TEXT(help_desk_tickets[[#This Row],[submission_date]],"mmm")</f>
        <v>Aug</v>
      </c>
      <c r="K33" s="1">
        <f>HOUR(help_desk_tickets[[#This Row],[submission_date]])</f>
        <v>23</v>
      </c>
      <c r="L33" s="1" t="str">
        <f t="shared" si="0"/>
        <v>Login issue</v>
      </c>
      <c r="M33" s="1"/>
    </row>
    <row r="34" spans="1:13" x14ac:dyDescent="0.3">
      <c r="A34" s="1" t="s">
        <v>91</v>
      </c>
      <c r="B34" s="2">
        <v>45849.757392430554</v>
      </c>
      <c r="C34" s="2">
        <v>45855.278215266204</v>
      </c>
      <c r="D34" s="1" t="s">
        <v>45</v>
      </c>
      <c r="E34" s="1" t="s">
        <v>35</v>
      </c>
      <c r="F34" s="1" t="s">
        <v>92</v>
      </c>
      <c r="G34" s="1" t="s">
        <v>29</v>
      </c>
      <c r="H34" s="3">
        <f>(help_desk_tickets[[#This Row],[resolution_date]]-help_desk_tickets[[#This Row],[submission_date]])*24</f>
        <v>132.49974805559032</v>
      </c>
      <c r="I34" s="1" t="str">
        <f>TEXT(help_desk_tickets[[#This Row],[submission_date]],"ddd")</f>
        <v>Fri</v>
      </c>
      <c r="J34" s="1" t="str">
        <f>TEXT(help_desk_tickets[[#This Row],[submission_date]],"mmm")</f>
        <v>Jul</v>
      </c>
      <c r="K34" s="1">
        <f>HOUR(help_desk_tickets[[#This Row],[submission_date]])</f>
        <v>18</v>
      </c>
      <c r="L34" s="1" t="str">
        <f t="shared" ref="L34:L65" si="1">IF(ISNUMBER(SEARCH("password",F34)),"Password Issue",IF(ISNUMBER(SEARCH("network",F34)),"Network issue",IF(ISNUMBER(SEARCH("internet",F34)),"Network issues",IF(ISNUMBER(SEARCH("crashing",F34)),"Login issue",IF(ISNUMBER(SEARCH("stuck",F34)),"Performance issue","Other")))))</f>
        <v>Network issues</v>
      </c>
      <c r="M34" s="1"/>
    </row>
    <row r="35" spans="1:13" x14ac:dyDescent="0.3">
      <c r="A35" s="1" t="s">
        <v>93</v>
      </c>
      <c r="B35" s="2">
        <v>45904.814613437498</v>
      </c>
      <c r="C35" s="2">
        <v>45910.228323379626</v>
      </c>
      <c r="D35" s="1" t="s">
        <v>81</v>
      </c>
      <c r="E35" s="1" t="s">
        <v>32</v>
      </c>
      <c r="F35" s="1" t="s">
        <v>94</v>
      </c>
      <c r="G35" s="1" t="s">
        <v>29</v>
      </c>
      <c r="H35" s="3">
        <f>(help_desk_tickets[[#This Row],[resolution_date]]-help_desk_tickets[[#This Row],[submission_date]])*24</f>
        <v>129.92903861106606</v>
      </c>
      <c r="I35" s="1" t="str">
        <f>TEXT(help_desk_tickets[[#This Row],[submission_date]],"ddd")</f>
        <v>Thu</v>
      </c>
      <c r="J35" s="1" t="str">
        <f>TEXT(help_desk_tickets[[#This Row],[submission_date]],"mmm")</f>
        <v>Sep</v>
      </c>
      <c r="K35" s="1">
        <f>HOUR(help_desk_tickets[[#This Row],[submission_date]])</f>
        <v>19</v>
      </c>
      <c r="L35" s="1" t="str">
        <f t="shared" si="1"/>
        <v>Other</v>
      </c>
      <c r="M35" s="1"/>
    </row>
    <row r="36" spans="1:13" x14ac:dyDescent="0.3">
      <c r="A36" s="1" t="s">
        <v>95</v>
      </c>
      <c r="B36" s="2">
        <v>45893.712596354169</v>
      </c>
      <c r="C36" s="2">
        <v>45899.821769236114</v>
      </c>
      <c r="D36" s="1" t="s">
        <v>13</v>
      </c>
      <c r="E36" s="1" t="s">
        <v>25</v>
      </c>
      <c r="F36" s="1" t="s">
        <v>96</v>
      </c>
      <c r="G36" s="1" t="s">
        <v>29</v>
      </c>
      <c r="H36" s="3">
        <f>(help_desk_tickets[[#This Row],[resolution_date]]-help_desk_tickets[[#This Row],[submission_date]])*24</f>
        <v>146.62014916667249</v>
      </c>
      <c r="I36" s="1" t="str">
        <f>TEXT(help_desk_tickets[[#This Row],[submission_date]],"ddd")</f>
        <v>Sun</v>
      </c>
      <c r="J36" s="1" t="str">
        <f>TEXT(help_desk_tickets[[#This Row],[submission_date]],"mmm")</f>
        <v>Aug</v>
      </c>
      <c r="K36" s="1">
        <f>HOUR(help_desk_tickets[[#This Row],[submission_date]])</f>
        <v>17</v>
      </c>
      <c r="L36" s="1" t="str">
        <f t="shared" si="1"/>
        <v>Login issue</v>
      </c>
      <c r="M36" s="1"/>
    </row>
    <row r="37" spans="1:13" x14ac:dyDescent="0.3">
      <c r="A37" s="1" t="s">
        <v>97</v>
      </c>
      <c r="B37" s="2">
        <v>45838.741699270831</v>
      </c>
      <c r="C37" s="2">
        <v>45839.817210740737</v>
      </c>
      <c r="D37" s="1" t="s">
        <v>21</v>
      </c>
      <c r="E37" s="1" t="s">
        <v>14</v>
      </c>
      <c r="F37" s="1" t="s">
        <v>98</v>
      </c>
      <c r="G37" s="1" t="s">
        <v>29</v>
      </c>
      <c r="H37" s="3">
        <f>(help_desk_tickets[[#This Row],[resolution_date]]-help_desk_tickets[[#This Row],[submission_date]])*24</f>
        <v>25.812275277741719</v>
      </c>
      <c r="I37" s="1" t="str">
        <f>TEXT(help_desk_tickets[[#This Row],[submission_date]],"ddd")</f>
        <v>Mon</v>
      </c>
      <c r="J37" s="1" t="str">
        <f>TEXT(help_desk_tickets[[#This Row],[submission_date]],"mmm")</f>
        <v>Jun</v>
      </c>
      <c r="K37" s="1">
        <f>HOUR(help_desk_tickets[[#This Row],[submission_date]])</f>
        <v>17</v>
      </c>
      <c r="L37" s="1" t="str">
        <f t="shared" si="1"/>
        <v>Performance issue</v>
      </c>
      <c r="M37" s="1"/>
    </row>
    <row r="38" spans="1:13" x14ac:dyDescent="0.3">
      <c r="A38" s="1" t="s">
        <v>99</v>
      </c>
      <c r="B38" s="2">
        <v>45909.365578680554</v>
      </c>
      <c r="C38" s="2">
        <v>45913.26306931713</v>
      </c>
      <c r="D38" s="1" t="s">
        <v>13</v>
      </c>
      <c r="E38" s="1" t="s">
        <v>46</v>
      </c>
      <c r="F38" s="1" t="s">
        <v>100</v>
      </c>
      <c r="G38" s="1" t="s">
        <v>29</v>
      </c>
      <c r="H38" s="3">
        <f>(help_desk_tickets[[#This Row],[resolution_date]]-help_desk_tickets[[#This Row],[submission_date]])*24</f>
        <v>93.53977527783718</v>
      </c>
      <c r="I38" s="1" t="str">
        <f>TEXT(help_desk_tickets[[#This Row],[submission_date]],"ddd")</f>
        <v>Tue</v>
      </c>
      <c r="J38" s="1" t="str">
        <f>TEXT(help_desk_tickets[[#This Row],[submission_date]],"mmm")</f>
        <v>Sep</v>
      </c>
      <c r="K38" s="1">
        <f>HOUR(help_desk_tickets[[#This Row],[submission_date]])</f>
        <v>8</v>
      </c>
      <c r="L38" s="1" t="str">
        <f t="shared" si="1"/>
        <v>Login issue</v>
      </c>
      <c r="M38" s="1"/>
    </row>
    <row r="39" spans="1:13" x14ac:dyDescent="0.3">
      <c r="A39" s="1" t="s">
        <v>101</v>
      </c>
      <c r="B39" s="2">
        <v>45880.455971180556</v>
      </c>
      <c r="C39" s="2">
        <v>45886.671748981484</v>
      </c>
      <c r="D39" s="1" t="s">
        <v>8</v>
      </c>
      <c r="E39" s="1" t="s">
        <v>42</v>
      </c>
      <c r="F39" s="1" t="s">
        <v>102</v>
      </c>
      <c r="G39" s="1" t="s">
        <v>29</v>
      </c>
      <c r="H39" s="3">
        <f>(help_desk_tickets[[#This Row],[resolution_date]]-help_desk_tickets[[#This Row],[submission_date]])*24</f>
        <v>149.17866722226609</v>
      </c>
      <c r="I39" s="1" t="str">
        <f>TEXT(help_desk_tickets[[#This Row],[submission_date]],"ddd")</f>
        <v>Mon</v>
      </c>
      <c r="J39" s="1" t="str">
        <f>TEXT(help_desk_tickets[[#This Row],[submission_date]],"mmm")</f>
        <v>Aug</v>
      </c>
      <c r="K39" s="1">
        <f>HOUR(help_desk_tickets[[#This Row],[submission_date]])</f>
        <v>10</v>
      </c>
      <c r="L39" s="1" t="str">
        <f t="shared" si="1"/>
        <v>Other</v>
      </c>
      <c r="M39" s="1"/>
    </row>
    <row r="40" spans="1:13" x14ac:dyDescent="0.3">
      <c r="A40" s="1" t="s">
        <v>103</v>
      </c>
      <c r="B40" s="2">
        <v>45901.680695057868</v>
      </c>
      <c r="C40" s="2">
        <v>45902.113242870371</v>
      </c>
      <c r="D40" s="1" t="s">
        <v>13</v>
      </c>
      <c r="E40" s="1" t="s">
        <v>32</v>
      </c>
      <c r="F40" s="1" t="s">
        <v>104</v>
      </c>
      <c r="G40" s="1" t="s">
        <v>16</v>
      </c>
      <c r="H40" s="3">
        <f>(help_desk_tickets[[#This Row],[resolution_date]]-help_desk_tickets[[#This Row],[submission_date]])*24</f>
        <v>10.381147500069346</v>
      </c>
      <c r="I40" s="1" t="str">
        <f>TEXT(help_desk_tickets[[#This Row],[submission_date]],"ddd")</f>
        <v>Mon</v>
      </c>
      <c r="J40" s="1" t="str">
        <f>TEXT(help_desk_tickets[[#This Row],[submission_date]],"mmm")</f>
        <v>Sep</v>
      </c>
      <c r="K40" s="1">
        <f>HOUR(help_desk_tickets[[#This Row],[submission_date]])</f>
        <v>16</v>
      </c>
      <c r="L40" s="1" t="str">
        <f t="shared" si="1"/>
        <v>Login issue</v>
      </c>
      <c r="M40" s="1"/>
    </row>
    <row r="41" spans="1:13" x14ac:dyDescent="0.3">
      <c r="A41" s="1" t="s">
        <v>105</v>
      </c>
      <c r="B41" s="2">
        <v>45883.854248391202</v>
      </c>
      <c r="C41" s="2">
        <v>45884.364103043983</v>
      </c>
      <c r="D41" s="1" t="s">
        <v>31</v>
      </c>
      <c r="E41" s="1" t="s">
        <v>35</v>
      </c>
      <c r="F41" s="1" t="s">
        <v>106</v>
      </c>
      <c r="G41" s="1" t="s">
        <v>16</v>
      </c>
      <c r="H41" s="3">
        <f>(help_desk_tickets[[#This Row],[resolution_date]]-help_desk_tickets[[#This Row],[submission_date]])*24</f>
        <v>12.236511666735169</v>
      </c>
      <c r="I41" s="1" t="str">
        <f>TEXT(help_desk_tickets[[#This Row],[submission_date]],"ddd")</f>
        <v>Thu</v>
      </c>
      <c r="J41" s="1" t="str">
        <f>TEXT(help_desk_tickets[[#This Row],[submission_date]],"mmm")</f>
        <v>Aug</v>
      </c>
      <c r="K41" s="1">
        <f>HOUR(help_desk_tickets[[#This Row],[submission_date]])</f>
        <v>20</v>
      </c>
      <c r="L41" s="1" t="str">
        <f t="shared" si="1"/>
        <v>Password Issue</v>
      </c>
      <c r="M41" s="1"/>
    </row>
    <row r="42" spans="1:13" x14ac:dyDescent="0.3">
      <c r="A42" s="1" t="s">
        <v>107</v>
      </c>
      <c r="B42" s="2">
        <v>45905.242808854164</v>
      </c>
      <c r="C42" s="2">
        <v>45906.957953680554</v>
      </c>
      <c r="D42" s="1" t="s">
        <v>45</v>
      </c>
      <c r="E42" s="1" t="s">
        <v>9</v>
      </c>
      <c r="F42" s="1" t="s">
        <v>108</v>
      </c>
      <c r="G42" s="1" t="s">
        <v>16</v>
      </c>
      <c r="H42" s="3">
        <f>(help_desk_tickets[[#This Row],[resolution_date]]-help_desk_tickets[[#This Row],[submission_date]])*24</f>
        <v>41.163475833367556</v>
      </c>
      <c r="I42" s="1" t="str">
        <f>TEXT(help_desk_tickets[[#This Row],[submission_date]],"ddd")</f>
        <v>Fri</v>
      </c>
      <c r="J42" s="1" t="str">
        <f>TEXT(help_desk_tickets[[#This Row],[submission_date]],"mmm")</f>
        <v>Sep</v>
      </c>
      <c r="K42" s="1">
        <f>HOUR(help_desk_tickets[[#This Row],[submission_date]])</f>
        <v>5</v>
      </c>
      <c r="L42" s="1" t="str">
        <f t="shared" si="1"/>
        <v>Network issues</v>
      </c>
      <c r="M42" s="1"/>
    </row>
    <row r="43" spans="1:13" x14ac:dyDescent="0.3">
      <c r="A43" s="1" t="s">
        <v>109</v>
      </c>
      <c r="B43" s="2">
        <v>45913.768400347224</v>
      </c>
      <c r="C43" s="2">
        <v>45914.807395497686</v>
      </c>
      <c r="D43" s="1" t="s">
        <v>21</v>
      </c>
      <c r="E43" s="1" t="s">
        <v>14</v>
      </c>
      <c r="F43" s="1" t="s">
        <v>110</v>
      </c>
      <c r="G43" s="1" t="s">
        <v>29</v>
      </c>
      <c r="H43" s="3">
        <f>(help_desk_tickets[[#This Row],[resolution_date]]-help_desk_tickets[[#This Row],[submission_date]])*24</f>
        <v>24.935883611091413</v>
      </c>
      <c r="I43" s="1" t="str">
        <f>TEXT(help_desk_tickets[[#This Row],[submission_date]],"ddd")</f>
        <v>Sat</v>
      </c>
      <c r="J43" s="1" t="str">
        <f>TEXT(help_desk_tickets[[#This Row],[submission_date]],"mmm")</f>
        <v>Sep</v>
      </c>
      <c r="K43" s="1">
        <f>HOUR(help_desk_tickets[[#This Row],[submission_date]])</f>
        <v>18</v>
      </c>
      <c r="L43" s="1" t="str">
        <f t="shared" si="1"/>
        <v>Performance issue</v>
      </c>
      <c r="M43" s="1"/>
    </row>
    <row r="44" spans="1:13" x14ac:dyDescent="0.3">
      <c r="A44" s="1" t="s">
        <v>111</v>
      </c>
      <c r="B44" s="2">
        <v>45866.029443495368</v>
      </c>
      <c r="C44" s="2">
        <v>45872.45864300926</v>
      </c>
      <c r="D44" s="1" t="s">
        <v>81</v>
      </c>
      <c r="E44" s="1" t="s">
        <v>55</v>
      </c>
      <c r="F44" s="1" t="s">
        <v>112</v>
      </c>
      <c r="G44" s="1" t="s">
        <v>29</v>
      </c>
      <c r="H44" s="3">
        <f>(help_desk_tickets[[#This Row],[resolution_date]]-help_desk_tickets[[#This Row],[submission_date]])*24</f>
        <v>154.30078833340667</v>
      </c>
      <c r="I44" s="1" t="str">
        <f>TEXT(help_desk_tickets[[#This Row],[submission_date]],"ddd")</f>
        <v>Mon</v>
      </c>
      <c r="J44" s="1" t="str">
        <f>TEXT(help_desk_tickets[[#This Row],[submission_date]],"mmm")</f>
        <v>Jul</v>
      </c>
      <c r="K44" s="1">
        <f>HOUR(help_desk_tickets[[#This Row],[submission_date]])</f>
        <v>0</v>
      </c>
      <c r="L44" s="1" t="str">
        <f t="shared" si="1"/>
        <v>Other</v>
      </c>
      <c r="M44" s="1"/>
    </row>
    <row r="45" spans="1:13" x14ac:dyDescent="0.3">
      <c r="A45" s="1" t="s">
        <v>113</v>
      </c>
      <c r="B45" s="2">
        <v>45868.90107226852</v>
      </c>
      <c r="C45" s="2">
        <v>45868.965096064814</v>
      </c>
      <c r="D45" s="1" t="s">
        <v>13</v>
      </c>
      <c r="E45" s="1" t="s">
        <v>35</v>
      </c>
      <c r="F45" s="1" t="s">
        <v>114</v>
      </c>
      <c r="G45" s="1" t="s">
        <v>115</v>
      </c>
      <c r="H45" s="3">
        <f>(help_desk_tickets[[#This Row],[resolution_date]]-help_desk_tickets[[#This Row],[submission_date]])*24</f>
        <v>1.5365711110644042</v>
      </c>
      <c r="I45" s="1" t="str">
        <f>TEXT(help_desk_tickets[[#This Row],[submission_date]],"ddd")</f>
        <v>Wed</v>
      </c>
      <c r="J45" s="1" t="str">
        <f>TEXT(help_desk_tickets[[#This Row],[submission_date]],"mmm")</f>
        <v>Jul</v>
      </c>
      <c r="K45" s="1">
        <f>HOUR(help_desk_tickets[[#This Row],[submission_date]])</f>
        <v>21</v>
      </c>
      <c r="L45" s="1" t="str">
        <f t="shared" si="1"/>
        <v>Login issue</v>
      </c>
      <c r="M45" s="1"/>
    </row>
    <row r="46" spans="1:13" x14ac:dyDescent="0.3">
      <c r="A46" s="1" t="s">
        <v>116</v>
      </c>
      <c r="B46" s="2">
        <v>45872.126770416668</v>
      </c>
      <c r="C46" s="2">
        <v>45872.29889071759</v>
      </c>
      <c r="D46" s="1" t="s">
        <v>21</v>
      </c>
      <c r="E46" s="1" t="s">
        <v>32</v>
      </c>
      <c r="F46" s="1" t="s">
        <v>117</v>
      </c>
      <c r="G46" s="1" t="s">
        <v>11</v>
      </c>
      <c r="H46" s="3">
        <f>(help_desk_tickets[[#This Row],[resolution_date]]-help_desk_tickets[[#This Row],[submission_date]])*24</f>
        <v>4.1308872221270576</v>
      </c>
      <c r="I46" s="1" t="str">
        <f>TEXT(help_desk_tickets[[#This Row],[submission_date]],"ddd")</f>
        <v>Sun</v>
      </c>
      <c r="J46" s="1" t="str">
        <f>TEXT(help_desk_tickets[[#This Row],[submission_date]],"mmm")</f>
        <v>Aug</v>
      </c>
      <c r="K46" s="1">
        <f>HOUR(help_desk_tickets[[#This Row],[submission_date]])</f>
        <v>3</v>
      </c>
      <c r="L46" s="1" t="str">
        <f t="shared" si="1"/>
        <v>Performance issue</v>
      </c>
      <c r="M46" s="1"/>
    </row>
    <row r="47" spans="1:13" x14ac:dyDescent="0.3">
      <c r="A47" s="1" t="s">
        <v>118</v>
      </c>
      <c r="B47" s="2">
        <v>45843.404094456018</v>
      </c>
      <c r="C47" s="2">
        <v>45843.878437812498</v>
      </c>
      <c r="D47" s="1" t="s">
        <v>13</v>
      </c>
      <c r="E47" s="1" t="s">
        <v>14</v>
      </c>
      <c r="F47" s="1" t="s">
        <v>119</v>
      </c>
      <c r="G47" s="1" t="s">
        <v>11</v>
      </c>
      <c r="H47" s="3">
        <f>(help_desk_tickets[[#This Row],[resolution_date]]-help_desk_tickets[[#This Row],[submission_date]])*24</f>
        <v>11.384240555518772</v>
      </c>
      <c r="I47" s="1" t="str">
        <f>TEXT(help_desk_tickets[[#This Row],[submission_date]],"ddd")</f>
        <v>Sat</v>
      </c>
      <c r="J47" s="1" t="str">
        <f>TEXT(help_desk_tickets[[#This Row],[submission_date]],"mmm")</f>
        <v>Jul</v>
      </c>
      <c r="K47" s="1">
        <f>HOUR(help_desk_tickets[[#This Row],[submission_date]])</f>
        <v>9</v>
      </c>
      <c r="L47" s="1" t="str">
        <f t="shared" si="1"/>
        <v>Login issue</v>
      </c>
      <c r="M47" s="1"/>
    </row>
    <row r="48" spans="1:13" x14ac:dyDescent="0.3">
      <c r="A48" s="1" t="s">
        <v>120</v>
      </c>
      <c r="B48" s="2">
        <v>45899.571593842593</v>
      </c>
      <c r="C48" s="2">
        <v>45901.487486134261</v>
      </c>
      <c r="D48" s="1" t="s">
        <v>45</v>
      </c>
      <c r="E48" s="1" t="s">
        <v>25</v>
      </c>
      <c r="F48" s="1" t="s">
        <v>121</v>
      </c>
      <c r="G48" s="1" t="s">
        <v>16</v>
      </c>
      <c r="H48" s="3">
        <f>(help_desk_tickets[[#This Row],[resolution_date]]-help_desk_tickets[[#This Row],[submission_date]])*24</f>
        <v>45.981415000045672</v>
      </c>
      <c r="I48" s="1" t="str">
        <f>TEXT(help_desk_tickets[[#This Row],[submission_date]],"ddd")</f>
        <v>Sat</v>
      </c>
      <c r="J48" s="1" t="str">
        <f>TEXT(help_desk_tickets[[#This Row],[submission_date]],"mmm")</f>
        <v>Aug</v>
      </c>
      <c r="K48" s="1">
        <f>HOUR(help_desk_tickets[[#This Row],[submission_date]])</f>
        <v>13</v>
      </c>
      <c r="L48" s="1" t="str">
        <f t="shared" si="1"/>
        <v>Network issues</v>
      </c>
      <c r="M48" s="1"/>
    </row>
    <row r="49" spans="1:13" x14ac:dyDescent="0.3">
      <c r="A49" s="1" t="s">
        <v>122</v>
      </c>
      <c r="B49" s="2">
        <v>45830.641442060187</v>
      </c>
      <c r="C49" s="2">
        <v>45835.53980752315</v>
      </c>
      <c r="D49" s="1" t="s">
        <v>31</v>
      </c>
      <c r="E49" s="1" t="s">
        <v>14</v>
      </c>
      <c r="F49" s="1" t="s">
        <v>123</v>
      </c>
      <c r="G49" s="1" t="s">
        <v>29</v>
      </c>
      <c r="H49" s="3">
        <f>(help_desk_tickets[[#This Row],[resolution_date]]-help_desk_tickets[[#This Row],[submission_date]])*24</f>
        <v>117.5607711111079</v>
      </c>
      <c r="I49" s="1" t="str">
        <f>TEXT(help_desk_tickets[[#This Row],[submission_date]],"ddd")</f>
        <v>Sun</v>
      </c>
      <c r="J49" s="1" t="str">
        <f>TEXT(help_desk_tickets[[#This Row],[submission_date]],"mmm")</f>
        <v>Jun</v>
      </c>
      <c r="K49" s="1">
        <f>HOUR(help_desk_tickets[[#This Row],[submission_date]])</f>
        <v>15</v>
      </c>
      <c r="L49" s="1" t="str">
        <f t="shared" si="1"/>
        <v>Password Issue</v>
      </c>
      <c r="M49" s="1"/>
    </row>
    <row r="50" spans="1:13" x14ac:dyDescent="0.3">
      <c r="A50" s="1" t="s">
        <v>124</v>
      </c>
      <c r="B50" s="2">
        <v>45841.133833182874</v>
      </c>
      <c r="C50" s="2">
        <v>45841.652713541669</v>
      </c>
      <c r="D50" s="1" t="s">
        <v>45</v>
      </c>
      <c r="E50" s="1" t="s">
        <v>14</v>
      </c>
      <c r="F50" s="1" t="s">
        <v>125</v>
      </c>
      <c r="G50" s="1" t="s">
        <v>16</v>
      </c>
      <c r="H50" s="3">
        <f>(help_desk_tickets[[#This Row],[resolution_date]]-help_desk_tickets[[#This Row],[submission_date]])*24</f>
        <v>12.453128611086868</v>
      </c>
      <c r="I50" s="1" t="str">
        <f>TEXT(help_desk_tickets[[#This Row],[submission_date]],"ddd")</f>
        <v>Thu</v>
      </c>
      <c r="J50" s="1" t="str">
        <f>TEXT(help_desk_tickets[[#This Row],[submission_date]],"mmm")</f>
        <v>Jul</v>
      </c>
      <c r="K50" s="1">
        <f>HOUR(help_desk_tickets[[#This Row],[submission_date]])</f>
        <v>3</v>
      </c>
      <c r="L50" s="1" t="str">
        <f t="shared" si="1"/>
        <v>Network issues</v>
      </c>
      <c r="M50" s="1"/>
    </row>
    <row r="51" spans="1:13" x14ac:dyDescent="0.3">
      <c r="A51" s="1" t="s">
        <v>126</v>
      </c>
      <c r="B51" s="2">
        <v>45878.743972025462</v>
      </c>
      <c r="C51" s="2">
        <v>45879.856085624997</v>
      </c>
      <c r="D51" s="1" t="s">
        <v>45</v>
      </c>
      <c r="E51" s="1" t="s">
        <v>14</v>
      </c>
      <c r="F51" s="1" t="s">
        <v>127</v>
      </c>
      <c r="G51" s="1" t="s">
        <v>16</v>
      </c>
      <c r="H51" s="3">
        <f>(help_desk_tickets[[#This Row],[resolution_date]]-help_desk_tickets[[#This Row],[submission_date]])*24</f>
        <v>26.690726388827898</v>
      </c>
      <c r="I51" s="1" t="str">
        <f>TEXT(help_desk_tickets[[#This Row],[submission_date]],"ddd")</f>
        <v>Sat</v>
      </c>
      <c r="J51" s="1" t="str">
        <f>TEXT(help_desk_tickets[[#This Row],[submission_date]],"mmm")</f>
        <v>Aug</v>
      </c>
      <c r="K51" s="1">
        <f>HOUR(help_desk_tickets[[#This Row],[submission_date]])</f>
        <v>17</v>
      </c>
      <c r="L51" s="1" t="str">
        <f t="shared" si="1"/>
        <v>Network issues</v>
      </c>
      <c r="M51" s="1"/>
    </row>
    <row r="52" spans="1:13" x14ac:dyDescent="0.3">
      <c r="A52" s="1" t="s">
        <v>128</v>
      </c>
      <c r="B52" s="2">
        <v>45861.349098321756</v>
      </c>
      <c r="C52" s="2">
        <v>45865.965208310183</v>
      </c>
      <c r="D52" s="1" t="s">
        <v>8</v>
      </c>
      <c r="E52" s="1" t="s">
        <v>22</v>
      </c>
      <c r="F52" s="1" t="s">
        <v>129</v>
      </c>
      <c r="G52" s="1" t="s">
        <v>29</v>
      </c>
      <c r="H52" s="3">
        <f>(help_desk_tickets[[#This Row],[resolution_date]]-help_desk_tickets[[#This Row],[submission_date]])*24</f>
        <v>110.78663972223876</v>
      </c>
      <c r="I52" s="1" t="str">
        <f>TEXT(help_desk_tickets[[#This Row],[submission_date]],"ddd")</f>
        <v>Wed</v>
      </c>
      <c r="J52" s="1" t="str">
        <f>TEXT(help_desk_tickets[[#This Row],[submission_date]],"mmm")</f>
        <v>Jul</v>
      </c>
      <c r="K52" s="1">
        <f>HOUR(help_desk_tickets[[#This Row],[submission_date]])</f>
        <v>8</v>
      </c>
      <c r="L52" s="1" t="str">
        <f t="shared" si="1"/>
        <v>Other</v>
      </c>
      <c r="M52" s="1"/>
    </row>
    <row r="53" spans="1:13" x14ac:dyDescent="0.3">
      <c r="A53" s="1" t="s">
        <v>130</v>
      </c>
      <c r="B53" s="2">
        <v>45869.827586620369</v>
      </c>
      <c r="C53" s="2">
        <v>45876.059095208337</v>
      </c>
      <c r="D53" s="1" t="s">
        <v>13</v>
      </c>
      <c r="E53" s="1" t="s">
        <v>14</v>
      </c>
      <c r="F53" s="1" t="s">
        <v>131</v>
      </c>
      <c r="G53" s="1" t="s">
        <v>29</v>
      </c>
      <c r="H53" s="3">
        <f>(help_desk_tickets[[#This Row],[resolution_date]]-help_desk_tickets[[#This Row],[submission_date]])*24</f>
        <v>149.55620611121412</v>
      </c>
      <c r="I53" s="1" t="str">
        <f>TEXT(help_desk_tickets[[#This Row],[submission_date]],"ddd")</f>
        <v>Thu</v>
      </c>
      <c r="J53" s="1" t="str">
        <f>TEXT(help_desk_tickets[[#This Row],[submission_date]],"mmm")</f>
        <v>Jul</v>
      </c>
      <c r="K53" s="1">
        <f>HOUR(help_desk_tickets[[#This Row],[submission_date]])</f>
        <v>19</v>
      </c>
      <c r="L53" s="1" t="str">
        <f t="shared" si="1"/>
        <v>Login issue</v>
      </c>
      <c r="M53" s="1"/>
    </row>
    <row r="54" spans="1:13" x14ac:dyDescent="0.3">
      <c r="A54" s="1" t="s">
        <v>132</v>
      </c>
      <c r="B54" s="2">
        <v>45837.098491817131</v>
      </c>
      <c r="C54" s="2">
        <v>45837.72761415509</v>
      </c>
      <c r="D54" s="1" t="s">
        <v>13</v>
      </c>
      <c r="E54" s="1" t="s">
        <v>22</v>
      </c>
      <c r="F54" s="1" t="s">
        <v>133</v>
      </c>
      <c r="G54" s="1" t="s">
        <v>16</v>
      </c>
      <c r="H54" s="3">
        <f>(help_desk_tickets[[#This Row],[resolution_date]]-help_desk_tickets[[#This Row],[submission_date]])*24</f>
        <v>15.098936111025978</v>
      </c>
      <c r="I54" s="1" t="str">
        <f>TEXT(help_desk_tickets[[#This Row],[submission_date]],"ddd")</f>
        <v>Sun</v>
      </c>
      <c r="J54" s="1" t="str">
        <f>TEXT(help_desk_tickets[[#This Row],[submission_date]],"mmm")</f>
        <v>Jun</v>
      </c>
      <c r="K54" s="1">
        <f>HOUR(help_desk_tickets[[#This Row],[submission_date]])</f>
        <v>2</v>
      </c>
      <c r="L54" s="1" t="str">
        <f t="shared" si="1"/>
        <v>Login issue</v>
      </c>
      <c r="M54" s="1"/>
    </row>
    <row r="55" spans="1:13" x14ac:dyDescent="0.3">
      <c r="A55" s="1" t="s">
        <v>134</v>
      </c>
      <c r="B55" s="2">
        <v>45884.862366678244</v>
      </c>
      <c r="C55" s="2">
        <v>45885.412255208335</v>
      </c>
      <c r="D55" s="1" t="s">
        <v>13</v>
      </c>
      <c r="E55" s="1" t="s">
        <v>14</v>
      </c>
      <c r="F55" s="1" t="s">
        <v>135</v>
      </c>
      <c r="G55" s="1" t="s">
        <v>16</v>
      </c>
      <c r="H55" s="3">
        <f>(help_desk_tickets[[#This Row],[resolution_date]]-help_desk_tickets[[#This Row],[submission_date]])*24</f>
        <v>13.197324722190388</v>
      </c>
      <c r="I55" s="1" t="str">
        <f>TEXT(help_desk_tickets[[#This Row],[submission_date]],"ddd")</f>
        <v>Fri</v>
      </c>
      <c r="J55" s="1" t="str">
        <f>TEXT(help_desk_tickets[[#This Row],[submission_date]],"mmm")</f>
        <v>Aug</v>
      </c>
      <c r="K55" s="1">
        <f>HOUR(help_desk_tickets[[#This Row],[submission_date]])</f>
        <v>20</v>
      </c>
      <c r="L55" s="1" t="str">
        <f t="shared" si="1"/>
        <v>Login issue</v>
      </c>
      <c r="M55" s="1"/>
    </row>
    <row r="56" spans="1:13" x14ac:dyDescent="0.3">
      <c r="A56" s="1" t="s">
        <v>136</v>
      </c>
      <c r="B56" s="2">
        <v>45853.375071759256</v>
      </c>
      <c r="C56" s="2">
        <v>45853.79386150463</v>
      </c>
      <c r="D56" s="1" t="s">
        <v>45</v>
      </c>
      <c r="E56" s="1" t="s">
        <v>18</v>
      </c>
      <c r="F56" s="1" t="s">
        <v>137</v>
      </c>
      <c r="G56" s="1" t="s">
        <v>11</v>
      </c>
      <c r="H56" s="3">
        <f>(help_desk_tickets[[#This Row],[resolution_date]]-help_desk_tickets[[#This Row],[submission_date]])*24</f>
        <v>10.050953888974618</v>
      </c>
      <c r="I56" s="1" t="str">
        <f>TEXT(help_desk_tickets[[#This Row],[submission_date]],"ddd")</f>
        <v>Tue</v>
      </c>
      <c r="J56" s="1" t="str">
        <f>TEXT(help_desk_tickets[[#This Row],[submission_date]],"mmm")</f>
        <v>Jul</v>
      </c>
      <c r="K56" s="1">
        <f>HOUR(help_desk_tickets[[#This Row],[submission_date]])</f>
        <v>9</v>
      </c>
      <c r="L56" s="1" t="str">
        <f t="shared" si="1"/>
        <v>Network issues</v>
      </c>
      <c r="M56" s="1"/>
    </row>
    <row r="57" spans="1:13" x14ac:dyDescent="0.3">
      <c r="A57" s="1" t="s">
        <v>138</v>
      </c>
      <c r="B57" s="2">
        <v>45829.046392870368</v>
      </c>
      <c r="C57" s="2">
        <v>45830.741530185187</v>
      </c>
      <c r="D57" s="1" t="s">
        <v>31</v>
      </c>
      <c r="E57" s="1" t="s">
        <v>14</v>
      </c>
      <c r="F57" s="1" t="s">
        <v>139</v>
      </c>
      <c r="G57" s="1" t="s">
        <v>16</v>
      </c>
      <c r="H57" s="3">
        <f>(help_desk_tickets[[#This Row],[resolution_date]]-help_desk_tickets[[#This Row],[submission_date]])*24</f>
        <v>40.6832955556456</v>
      </c>
      <c r="I57" s="1" t="str">
        <f>TEXT(help_desk_tickets[[#This Row],[submission_date]],"ddd")</f>
        <v>Sat</v>
      </c>
      <c r="J57" s="1" t="str">
        <f>TEXT(help_desk_tickets[[#This Row],[submission_date]],"mmm")</f>
        <v>Jun</v>
      </c>
      <c r="K57" s="1">
        <f>HOUR(help_desk_tickets[[#This Row],[submission_date]])</f>
        <v>1</v>
      </c>
      <c r="L57" s="1" t="str">
        <f t="shared" si="1"/>
        <v>Password Issue</v>
      </c>
      <c r="M57" s="1"/>
    </row>
    <row r="58" spans="1:13" x14ac:dyDescent="0.3">
      <c r="A58" s="1" t="s">
        <v>140</v>
      </c>
      <c r="B58" s="2">
        <v>45871.327925046295</v>
      </c>
      <c r="C58" s="2">
        <v>45872.603165891203</v>
      </c>
      <c r="D58" s="1" t="s">
        <v>8</v>
      </c>
      <c r="E58" s="1" t="s">
        <v>22</v>
      </c>
      <c r="F58" s="1" t="s">
        <v>141</v>
      </c>
      <c r="G58" s="1" t="s">
        <v>16</v>
      </c>
      <c r="H58" s="3">
        <f>(help_desk_tickets[[#This Row],[resolution_date]]-help_desk_tickets[[#This Row],[submission_date]])*24</f>
        <v>30.605780277808663</v>
      </c>
      <c r="I58" s="1" t="str">
        <f>TEXT(help_desk_tickets[[#This Row],[submission_date]],"ddd")</f>
        <v>Sat</v>
      </c>
      <c r="J58" s="1" t="str">
        <f>TEXT(help_desk_tickets[[#This Row],[submission_date]],"mmm")</f>
        <v>Aug</v>
      </c>
      <c r="K58" s="1">
        <f>HOUR(help_desk_tickets[[#This Row],[submission_date]])</f>
        <v>7</v>
      </c>
      <c r="L58" s="1" t="str">
        <f t="shared" si="1"/>
        <v>Other</v>
      </c>
      <c r="M58" s="1"/>
    </row>
    <row r="59" spans="1:13" x14ac:dyDescent="0.3">
      <c r="A59" s="1" t="s">
        <v>142</v>
      </c>
      <c r="B59" s="2">
        <v>45860.353873182874</v>
      </c>
      <c r="C59" s="2">
        <v>45867.28399974537</v>
      </c>
      <c r="D59" s="1" t="s">
        <v>60</v>
      </c>
      <c r="E59" s="1" t="s">
        <v>35</v>
      </c>
      <c r="F59" s="1" t="s">
        <v>143</v>
      </c>
      <c r="G59" s="1" t="s">
        <v>29</v>
      </c>
      <c r="H59" s="3">
        <f>(help_desk_tickets[[#This Row],[resolution_date]]-help_desk_tickets[[#This Row],[submission_date]])*24</f>
        <v>166.32303749991115</v>
      </c>
      <c r="I59" s="1" t="str">
        <f>TEXT(help_desk_tickets[[#This Row],[submission_date]],"ddd")</f>
        <v>Tue</v>
      </c>
      <c r="J59" s="1" t="str">
        <f>TEXT(help_desk_tickets[[#This Row],[submission_date]],"mmm")</f>
        <v>Jul</v>
      </c>
      <c r="K59" s="1">
        <f>HOUR(help_desk_tickets[[#This Row],[submission_date]])</f>
        <v>8</v>
      </c>
      <c r="L59" s="1" t="str">
        <f t="shared" si="1"/>
        <v>Other</v>
      </c>
      <c r="M59" s="1"/>
    </row>
    <row r="60" spans="1:13" x14ac:dyDescent="0.3">
      <c r="A60" s="1" t="s">
        <v>144</v>
      </c>
      <c r="B60" s="2">
        <v>45875.571420300927</v>
      </c>
      <c r="C60" s="2">
        <v>45877.303206296296</v>
      </c>
      <c r="D60" s="1" t="s">
        <v>8</v>
      </c>
      <c r="E60" s="1" t="s">
        <v>35</v>
      </c>
      <c r="F60" s="1" t="s">
        <v>145</v>
      </c>
      <c r="G60" s="1" t="s">
        <v>16</v>
      </c>
      <c r="H60" s="3">
        <f>(help_desk_tickets[[#This Row],[resolution_date]]-help_desk_tickets[[#This Row],[submission_date]])*24</f>
        <v>41.562863888859283</v>
      </c>
      <c r="I60" s="1" t="str">
        <f>TEXT(help_desk_tickets[[#This Row],[submission_date]],"ddd")</f>
        <v>Wed</v>
      </c>
      <c r="J60" s="1" t="str">
        <f>TEXT(help_desk_tickets[[#This Row],[submission_date]],"mmm")</f>
        <v>Aug</v>
      </c>
      <c r="K60" s="1">
        <f>HOUR(help_desk_tickets[[#This Row],[submission_date]])</f>
        <v>13</v>
      </c>
      <c r="L60" s="1" t="str">
        <f t="shared" si="1"/>
        <v>Other</v>
      </c>
      <c r="M60" s="1"/>
    </row>
    <row r="61" spans="1:13" x14ac:dyDescent="0.3">
      <c r="A61" s="1" t="s">
        <v>146</v>
      </c>
      <c r="B61" s="2">
        <v>45827.276196747684</v>
      </c>
      <c r="C61" s="2">
        <v>45828.595821400464</v>
      </c>
      <c r="D61" s="1" t="s">
        <v>13</v>
      </c>
      <c r="E61" s="1" t="s">
        <v>32</v>
      </c>
      <c r="F61" s="1" t="s">
        <v>147</v>
      </c>
      <c r="G61" s="1" t="s">
        <v>16</v>
      </c>
      <c r="H61" s="3">
        <f>(help_desk_tickets[[#This Row],[resolution_date]]-help_desk_tickets[[#This Row],[submission_date]])*24</f>
        <v>31.670991666731425</v>
      </c>
      <c r="I61" s="1" t="str">
        <f>TEXT(help_desk_tickets[[#This Row],[submission_date]],"ddd")</f>
        <v>Thu</v>
      </c>
      <c r="J61" s="1" t="str">
        <f>TEXT(help_desk_tickets[[#This Row],[submission_date]],"mmm")</f>
        <v>Jun</v>
      </c>
      <c r="K61" s="1">
        <f>HOUR(help_desk_tickets[[#This Row],[submission_date]])</f>
        <v>6</v>
      </c>
      <c r="L61" s="1" t="str">
        <f t="shared" si="1"/>
        <v>Login issue</v>
      </c>
      <c r="M61" s="1"/>
    </row>
    <row r="62" spans="1:13" x14ac:dyDescent="0.3">
      <c r="A62" s="1" t="s">
        <v>148</v>
      </c>
      <c r="B62" s="2">
        <v>45896.462244918985</v>
      </c>
      <c r="C62" s="2">
        <v>45897.49294236111</v>
      </c>
      <c r="D62" s="1" t="s">
        <v>21</v>
      </c>
      <c r="E62" s="1" t="s">
        <v>22</v>
      </c>
      <c r="F62" s="1" t="s">
        <v>149</v>
      </c>
      <c r="G62" s="1" t="s">
        <v>16</v>
      </c>
      <c r="H62" s="3">
        <f>(help_desk_tickets[[#This Row],[resolution_date]]-help_desk_tickets[[#This Row],[submission_date]])*24</f>
        <v>24.736738611012697</v>
      </c>
      <c r="I62" s="1" t="str">
        <f>TEXT(help_desk_tickets[[#This Row],[submission_date]],"ddd")</f>
        <v>Wed</v>
      </c>
      <c r="J62" s="1" t="str">
        <f>TEXT(help_desk_tickets[[#This Row],[submission_date]],"mmm")</f>
        <v>Aug</v>
      </c>
      <c r="K62" s="1">
        <f>HOUR(help_desk_tickets[[#This Row],[submission_date]])</f>
        <v>11</v>
      </c>
      <c r="L62" s="1" t="str">
        <f t="shared" si="1"/>
        <v>Performance issue</v>
      </c>
      <c r="M62" s="1"/>
    </row>
    <row r="63" spans="1:13" x14ac:dyDescent="0.3">
      <c r="A63" s="1" t="s">
        <v>150</v>
      </c>
      <c r="B63" s="2">
        <v>45910.846970925923</v>
      </c>
      <c r="C63" s="2">
        <v>45912.419087835646</v>
      </c>
      <c r="D63" s="1" t="s">
        <v>13</v>
      </c>
      <c r="E63" s="1" t="s">
        <v>9</v>
      </c>
      <c r="F63" s="1" t="s">
        <v>151</v>
      </c>
      <c r="G63" s="1" t="s">
        <v>16</v>
      </c>
      <c r="H63" s="3">
        <f>(help_desk_tickets[[#This Row],[resolution_date]]-help_desk_tickets[[#This Row],[submission_date]])*24</f>
        <v>37.730805833358318</v>
      </c>
      <c r="I63" s="1" t="str">
        <f>TEXT(help_desk_tickets[[#This Row],[submission_date]],"ddd")</f>
        <v>Wed</v>
      </c>
      <c r="J63" s="1" t="str">
        <f>TEXT(help_desk_tickets[[#This Row],[submission_date]],"mmm")</f>
        <v>Sep</v>
      </c>
      <c r="K63" s="1">
        <f>HOUR(help_desk_tickets[[#This Row],[submission_date]])</f>
        <v>20</v>
      </c>
      <c r="L63" s="1" t="str">
        <f t="shared" si="1"/>
        <v>Login issue</v>
      </c>
      <c r="M63" s="1"/>
    </row>
    <row r="64" spans="1:13" x14ac:dyDescent="0.3">
      <c r="A64" s="1" t="s">
        <v>152</v>
      </c>
      <c r="B64" s="2">
        <v>45839.694215011572</v>
      </c>
      <c r="C64" s="2">
        <v>45840.68174284722</v>
      </c>
      <c r="D64" s="1" t="s">
        <v>13</v>
      </c>
      <c r="E64" s="1" t="s">
        <v>42</v>
      </c>
      <c r="F64" s="1" t="s">
        <v>153</v>
      </c>
      <c r="G64" s="1" t="s">
        <v>16</v>
      </c>
      <c r="H64" s="3">
        <f>(help_desk_tickets[[#This Row],[resolution_date]]-help_desk_tickets[[#This Row],[submission_date]])*24</f>
        <v>23.700668055564165</v>
      </c>
      <c r="I64" s="1" t="str">
        <f>TEXT(help_desk_tickets[[#This Row],[submission_date]],"ddd")</f>
        <v>Tue</v>
      </c>
      <c r="J64" s="1" t="str">
        <f>TEXT(help_desk_tickets[[#This Row],[submission_date]],"mmm")</f>
        <v>Jul</v>
      </c>
      <c r="K64" s="1">
        <f>HOUR(help_desk_tickets[[#This Row],[submission_date]])</f>
        <v>16</v>
      </c>
      <c r="L64" s="1" t="str">
        <f t="shared" si="1"/>
        <v>Login issue</v>
      </c>
      <c r="M64" s="1"/>
    </row>
    <row r="65" spans="1:13" x14ac:dyDescent="0.3">
      <c r="A65" s="1" t="s">
        <v>154</v>
      </c>
      <c r="B65" s="2">
        <v>45871.33135270833</v>
      </c>
      <c r="C65" s="2">
        <v>45871.66361797454</v>
      </c>
      <c r="D65" s="1" t="s">
        <v>31</v>
      </c>
      <c r="E65" s="1" t="s">
        <v>42</v>
      </c>
      <c r="F65" s="1" t="s">
        <v>155</v>
      </c>
      <c r="G65" s="1" t="s">
        <v>11</v>
      </c>
      <c r="H65" s="3">
        <f>(help_desk_tickets[[#This Row],[resolution_date]]-help_desk_tickets[[#This Row],[submission_date]])*24</f>
        <v>7.9743663890403695</v>
      </c>
      <c r="I65" s="1" t="str">
        <f>TEXT(help_desk_tickets[[#This Row],[submission_date]],"ddd")</f>
        <v>Sat</v>
      </c>
      <c r="J65" s="1" t="str">
        <f>TEXT(help_desk_tickets[[#This Row],[submission_date]],"mmm")</f>
        <v>Aug</v>
      </c>
      <c r="K65" s="1">
        <f>HOUR(help_desk_tickets[[#This Row],[submission_date]])</f>
        <v>7</v>
      </c>
      <c r="L65" s="1" t="str">
        <f t="shared" si="1"/>
        <v>Password Issue</v>
      </c>
      <c r="M65" s="1"/>
    </row>
    <row r="66" spans="1:13" x14ac:dyDescent="0.3">
      <c r="A66" s="1" t="s">
        <v>156</v>
      </c>
      <c r="B66" s="2">
        <v>45910.24875373843</v>
      </c>
      <c r="C66" s="2">
        <v>45910.584669606484</v>
      </c>
      <c r="D66" s="1" t="s">
        <v>31</v>
      </c>
      <c r="E66" s="1" t="s">
        <v>25</v>
      </c>
      <c r="F66" s="1" t="s">
        <v>157</v>
      </c>
      <c r="G66" s="1" t="s">
        <v>16</v>
      </c>
      <c r="H66" s="3">
        <f>(help_desk_tickets[[#This Row],[resolution_date]]-help_desk_tickets[[#This Row],[submission_date]])*24</f>
        <v>8.061980833299458</v>
      </c>
      <c r="I66" s="1" t="str">
        <f>TEXT(help_desk_tickets[[#This Row],[submission_date]],"ddd")</f>
        <v>Wed</v>
      </c>
      <c r="J66" s="1" t="str">
        <f>TEXT(help_desk_tickets[[#This Row],[submission_date]],"mmm")</f>
        <v>Sep</v>
      </c>
      <c r="K66" s="1">
        <f>HOUR(help_desk_tickets[[#This Row],[submission_date]])</f>
        <v>5</v>
      </c>
      <c r="L66" s="1" t="str">
        <f t="shared" ref="L66:L97" si="2">IF(ISNUMBER(SEARCH("password",F66)),"Password Issue",IF(ISNUMBER(SEARCH("network",F66)),"Network issue",IF(ISNUMBER(SEARCH("internet",F66)),"Network issues",IF(ISNUMBER(SEARCH("crashing",F66)),"Login issue",IF(ISNUMBER(SEARCH("stuck",F66)),"Performance issue","Other")))))</f>
        <v>Password Issue</v>
      </c>
      <c r="M66" s="1"/>
    </row>
    <row r="67" spans="1:13" x14ac:dyDescent="0.3">
      <c r="A67" s="1" t="s">
        <v>158</v>
      </c>
      <c r="B67" s="2">
        <v>45886.799485462965</v>
      </c>
      <c r="C67" s="2">
        <v>45887.413612962962</v>
      </c>
      <c r="D67" s="1" t="s">
        <v>45</v>
      </c>
      <c r="E67" s="1" t="s">
        <v>9</v>
      </c>
      <c r="F67" s="1" t="s">
        <v>159</v>
      </c>
      <c r="G67" s="1" t="s">
        <v>16</v>
      </c>
      <c r="H67" s="3">
        <f>(help_desk_tickets[[#This Row],[resolution_date]]-help_desk_tickets[[#This Row],[submission_date]])*24</f>
        <v>14.739059999934398</v>
      </c>
      <c r="I67" s="1" t="str">
        <f>TEXT(help_desk_tickets[[#This Row],[submission_date]],"ddd")</f>
        <v>Sun</v>
      </c>
      <c r="J67" s="1" t="str">
        <f>TEXT(help_desk_tickets[[#This Row],[submission_date]],"mmm")</f>
        <v>Aug</v>
      </c>
      <c r="K67" s="1">
        <f>HOUR(help_desk_tickets[[#This Row],[submission_date]])</f>
        <v>19</v>
      </c>
      <c r="L67" s="1" t="str">
        <f t="shared" si="2"/>
        <v>Network issues</v>
      </c>
      <c r="M67" s="1"/>
    </row>
    <row r="68" spans="1:13" x14ac:dyDescent="0.3">
      <c r="A68" s="1" t="s">
        <v>160</v>
      </c>
      <c r="B68" s="2">
        <v>45856.265250358796</v>
      </c>
      <c r="C68" s="2">
        <v>45861.837133449073</v>
      </c>
      <c r="D68" s="1" t="s">
        <v>21</v>
      </c>
      <c r="E68" s="1" t="s">
        <v>18</v>
      </c>
      <c r="F68" s="1" t="s">
        <v>161</v>
      </c>
      <c r="G68" s="1" t="s">
        <v>29</v>
      </c>
      <c r="H68" s="3">
        <f>(help_desk_tickets[[#This Row],[resolution_date]]-help_desk_tickets[[#This Row],[submission_date]])*24</f>
        <v>133.72519416664727</v>
      </c>
      <c r="I68" s="1" t="str">
        <f>TEXT(help_desk_tickets[[#This Row],[submission_date]],"ddd")</f>
        <v>Fri</v>
      </c>
      <c r="J68" s="1" t="str">
        <f>TEXT(help_desk_tickets[[#This Row],[submission_date]],"mmm")</f>
        <v>Jul</v>
      </c>
      <c r="K68" s="1">
        <f>HOUR(help_desk_tickets[[#This Row],[submission_date]])</f>
        <v>6</v>
      </c>
      <c r="L68" s="1" t="str">
        <f t="shared" si="2"/>
        <v>Performance issue</v>
      </c>
      <c r="M68" s="1"/>
    </row>
    <row r="69" spans="1:13" x14ac:dyDescent="0.3">
      <c r="A69" s="1" t="s">
        <v>162</v>
      </c>
      <c r="B69" s="2">
        <v>45844.096052187502</v>
      </c>
      <c r="C69" s="2">
        <v>45845.543753981481</v>
      </c>
      <c r="D69" s="1" t="s">
        <v>45</v>
      </c>
      <c r="E69" s="1" t="s">
        <v>42</v>
      </c>
      <c r="F69" s="1" t="s">
        <v>163</v>
      </c>
      <c r="G69" s="1" t="s">
        <v>16</v>
      </c>
      <c r="H69" s="3">
        <f>(help_desk_tickets[[#This Row],[resolution_date]]-help_desk_tickets[[#This Row],[submission_date]])*24</f>
        <v>34.74484305549413</v>
      </c>
      <c r="I69" s="1" t="str">
        <f>TEXT(help_desk_tickets[[#This Row],[submission_date]],"ddd")</f>
        <v>Sun</v>
      </c>
      <c r="J69" s="1" t="str">
        <f>TEXT(help_desk_tickets[[#This Row],[submission_date]],"mmm")</f>
        <v>Jul</v>
      </c>
      <c r="K69" s="1">
        <f>HOUR(help_desk_tickets[[#This Row],[submission_date]])</f>
        <v>2</v>
      </c>
      <c r="L69" s="1" t="str">
        <f t="shared" si="2"/>
        <v>Network issues</v>
      </c>
      <c r="M69" s="1"/>
    </row>
    <row r="70" spans="1:13" x14ac:dyDescent="0.3">
      <c r="A70" s="1" t="s">
        <v>164</v>
      </c>
      <c r="B70" s="2">
        <v>45894.949184375</v>
      </c>
      <c r="C70" s="2">
        <v>45898.220131793983</v>
      </c>
      <c r="D70" s="1" t="s">
        <v>13</v>
      </c>
      <c r="E70" s="1" t="s">
        <v>32</v>
      </c>
      <c r="F70" s="1" t="s">
        <v>165</v>
      </c>
      <c r="G70" s="1" t="s">
        <v>29</v>
      </c>
      <c r="H70" s="3">
        <f>(help_desk_tickets[[#This Row],[resolution_date]]-help_desk_tickets[[#This Row],[submission_date]])*24</f>
        <v>78.502738055598456</v>
      </c>
      <c r="I70" s="1" t="str">
        <f>TEXT(help_desk_tickets[[#This Row],[submission_date]],"ddd")</f>
        <v>Mon</v>
      </c>
      <c r="J70" s="1" t="str">
        <f>TEXT(help_desk_tickets[[#This Row],[submission_date]],"mmm")</f>
        <v>Aug</v>
      </c>
      <c r="K70" s="1">
        <f>HOUR(help_desk_tickets[[#This Row],[submission_date]])</f>
        <v>22</v>
      </c>
      <c r="L70" s="1" t="str">
        <f t="shared" si="2"/>
        <v>Login issue</v>
      </c>
      <c r="M70" s="1"/>
    </row>
    <row r="71" spans="1:13" x14ac:dyDescent="0.3">
      <c r="A71" s="1" t="s">
        <v>166</v>
      </c>
      <c r="B71" s="2">
        <v>45907.021170486114</v>
      </c>
      <c r="C71" s="2">
        <v>45908.025708958332</v>
      </c>
      <c r="D71" s="1" t="s">
        <v>13</v>
      </c>
      <c r="E71" s="1" t="s">
        <v>25</v>
      </c>
      <c r="F71" s="1" t="s">
        <v>167</v>
      </c>
      <c r="G71" s="1" t="s">
        <v>16</v>
      </c>
      <c r="H71" s="3">
        <f>(help_desk_tickets[[#This Row],[resolution_date]]-help_desk_tickets[[#This Row],[submission_date]])*24</f>
        <v>24.10892333323136</v>
      </c>
      <c r="I71" s="1" t="str">
        <f>TEXT(help_desk_tickets[[#This Row],[submission_date]],"ddd")</f>
        <v>Sun</v>
      </c>
      <c r="J71" s="1" t="str">
        <f>TEXT(help_desk_tickets[[#This Row],[submission_date]],"mmm")</f>
        <v>Sep</v>
      </c>
      <c r="K71" s="1">
        <f>HOUR(help_desk_tickets[[#This Row],[submission_date]])</f>
        <v>0</v>
      </c>
      <c r="L71" s="1" t="str">
        <f t="shared" si="2"/>
        <v>Login issue</v>
      </c>
      <c r="M71" s="1"/>
    </row>
    <row r="72" spans="1:13" x14ac:dyDescent="0.3">
      <c r="A72" s="1" t="s">
        <v>168</v>
      </c>
      <c r="B72" s="2">
        <v>45859.915516793983</v>
      </c>
      <c r="C72" s="2">
        <v>45860.049579155093</v>
      </c>
      <c r="D72" s="1" t="s">
        <v>21</v>
      </c>
      <c r="E72" s="1" t="s">
        <v>42</v>
      </c>
      <c r="F72" s="1" t="s">
        <v>169</v>
      </c>
      <c r="G72" s="1" t="s">
        <v>115</v>
      </c>
      <c r="H72" s="3">
        <f>(help_desk_tickets[[#This Row],[resolution_date]]-help_desk_tickets[[#This Row],[submission_date]])*24</f>
        <v>3.2174966666498221</v>
      </c>
      <c r="I72" s="1" t="str">
        <f>TEXT(help_desk_tickets[[#This Row],[submission_date]],"ddd")</f>
        <v>Mon</v>
      </c>
      <c r="J72" s="1" t="str">
        <f>TEXT(help_desk_tickets[[#This Row],[submission_date]],"mmm")</f>
        <v>Jul</v>
      </c>
      <c r="K72" s="1">
        <f>HOUR(help_desk_tickets[[#This Row],[submission_date]])</f>
        <v>21</v>
      </c>
      <c r="L72" s="1" t="str">
        <f t="shared" si="2"/>
        <v>Performance issue</v>
      </c>
      <c r="M72" s="1"/>
    </row>
    <row r="73" spans="1:13" x14ac:dyDescent="0.3">
      <c r="A73" s="1" t="s">
        <v>170</v>
      </c>
      <c r="B73" s="2">
        <v>45862.538502314812</v>
      </c>
      <c r="C73" s="2">
        <v>45863.373908425929</v>
      </c>
      <c r="D73" s="1" t="s">
        <v>13</v>
      </c>
      <c r="E73" s="1" t="s">
        <v>18</v>
      </c>
      <c r="F73" s="1" t="s">
        <v>171</v>
      </c>
      <c r="G73" s="1" t="s">
        <v>16</v>
      </c>
      <c r="H73" s="3">
        <f>(help_desk_tickets[[#This Row],[resolution_date]]-help_desk_tickets[[#This Row],[submission_date]])*24</f>
        <v>20.049746666802093</v>
      </c>
      <c r="I73" s="1" t="str">
        <f>TEXT(help_desk_tickets[[#This Row],[submission_date]],"ddd")</f>
        <v>Thu</v>
      </c>
      <c r="J73" s="1" t="str">
        <f>TEXT(help_desk_tickets[[#This Row],[submission_date]],"mmm")</f>
        <v>Jul</v>
      </c>
      <c r="K73" s="1">
        <f>HOUR(help_desk_tickets[[#This Row],[submission_date]])</f>
        <v>12</v>
      </c>
      <c r="L73" s="1" t="str">
        <f t="shared" si="2"/>
        <v>Login issue</v>
      </c>
      <c r="M73" s="1"/>
    </row>
    <row r="74" spans="1:13" x14ac:dyDescent="0.3">
      <c r="A74" s="1" t="s">
        <v>172</v>
      </c>
      <c r="B74" s="2">
        <v>45826.321113124999</v>
      </c>
      <c r="C74" s="2">
        <v>45827.897584212966</v>
      </c>
      <c r="D74" s="1" t="s">
        <v>45</v>
      </c>
      <c r="E74" s="1" t="s">
        <v>42</v>
      </c>
      <c r="F74" s="1" t="s">
        <v>173</v>
      </c>
      <c r="G74" s="1" t="s">
        <v>16</v>
      </c>
      <c r="H74" s="3">
        <f>(help_desk_tickets[[#This Row],[resolution_date]]-help_desk_tickets[[#This Row],[submission_date]])*24</f>
        <v>37.835306111199316</v>
      </c>
      <c r="I74" s="1" t="str">
        <f>TEXT(help_desk_tickets[[#This Row],[submission_date]],"ddd")</f>
        <v>Wed</v>
      </c>
      <c r="J74" s="1" t="str">
        <f>TEXT(help_desk_tickets[[#This Row],[submission_date]],"mmm")</f>
        <v>Jun</v>
      </c>
      <c r="K74" s="1">
        <f>HOUR(help_desk_tickets[[#This Row],[submission_date]])</f>
        <v>7</v>
      </c>
      <c r="L74" s="1" t="str">
        <f t="shared" si="2"/>
        <v>Network issues</v>
      </c>
      <c r="M74" s="1"/>
    </row>
    <row r="75" spans="1:13" x14ac:dyDescent="0.3">
      <c r="A75" s="1" t="s">
        <v>174</v>
      </c>
      <c r="B75" s="2">
        <v>45903.107100034722</v>
      </c>
      <c r="C75" s="2">
        <v>45903.445007858798</v>
      </c>
      <c r="D75" s="1" t="s">
        <v>8</v>
      </c>
      <c r="E75" s="1" t="s">
        <v>46</v>
      </c>
      <c r="F75" s="1" t="s">
        <v>175</v>
      </c>
      <c r="G75" s="1" t="s">
        <v>11</v>
      </c>
      <c r="H75" s="3">
        <f>(help_desk_tickets[[#This Row],[resolution_date]]-help_desk_tickets[[#This Row],[submission_date]])*24</f>
        <v>8.1097877778229304</v>
      </c>
      <c r="I75" s="1" t="str">
        <f>TEXT(help_desk_tickets[[#This Row],[submission_date]],"ddd")</f>
        <v>Wed</v>
      </c>
      <c r="J75" s="1" t="str">
        <f>TEXT(help_desk_tickets[[#This Row],[submission_date]],"mmm")</f>
        <v>Sep</v>
      </c>
      <c r="K75" s="1">
        <f>HOUR(help_desk_tickets[[#This Row],[submission_date]])</f>
        <v>2</v>
      </c>
      <c r="L75" s="1" t="str">
        <f t="shared" si="2"/>
        <v>Other</v>
      </c>
      <c r="M75" s="1"/>
    </row>
    <row r="76" spans="1:13" x14ac:dyDescent="0.3">
      <c r="A76" s="1" t="s">
        <v>176</v>
      </c>
      <c r="B76" s="2">
        <v>45877.970792106484</v>
      </c>
      <c r="C76" s="2">
        <v>45883.972063807872</v>
      </c>
      <c r="D76" s="1" t="s">
        <v>60</v>
      </c>
      <c r="E76" s="1" t="s">
        <v>14</v>
      </c>
      <c r="F76" s="1" t="s">
        <v>177</v>
      </c>
      <c r="G76" s="1" t="s">
        <v>29</v>
      </c>
      <c r="H76" s="3">
        <f>(help_desk_tickets[[#This Row],[resolution_date]]-help_desk_tickets[[#This Row],[submission_date]])*24</f>
        <v>144.03052083333023</v>
      </c>
      <c r="I76" s="1" t="str">
        <f>TEXT(help_desk_tickets[[#This Row],[submission_date]],"ddd")</f>
        <v>Fri</v>
      </c>
      <c r="J76" s="1" t="str">
        <f>TEXT(help_desk_tickets[[#This Row],[submission_date]],"mmm")</f>
        <v>Aug</v>
      </c>
      <c r="K76" s="1">
        <f>HOUR(help_desk_tickets[[#This Row],[submission_date]])</f>
        <v>23</v>
      </c>
      <c r="L76" s="1" t="str">
        <f t="shared" si="2"/>
        <v>Other</v>
      </c>
      <c r="M76" s="1"/>
    </row>
    <row r="77" spans="1:13" x14ac:dyDescent="0.3">
      <c r="A77" s="1" t="s">
        <v>178</v>
      </c>
      <c r="B77" s="2">
        <v>45897.075165671296</v>
      </c>
      <c r="C77" s="2">
        <v>45897.403448726851</v>
      </c>
      <c r="D77" s="1" t="s">
        <v>8</v>
      </c>
      <c r="E77" s="1" t="s">
        <v>42</v>
      </c>
      <c r="F77" s="1" t="s">
        <v>179</v>
      </c>
      <c r="G77" s="1" t="s">
        <v>11</v>
      </c>
      <c r="H77" s="3">
        <f>(help_desk_tickets[[#This Row],[resolution_date]]-help_desk_tickets[[#This Row],[submission_date]])*24</f>
        <v>7.8787933333078399</v>
      </c>
      <c r="I77" s="1" t="str">
        <f>TEXT(help_desk_tickets[[#This Row],[submission_date]],"ddd")</f>
        <v>Thu</v>
      </c>
      <c r="J77" s="1" t="str">
        <f>TEXT(help_desk_tickets[[#This Row],[submission_date]],"mmm")</f>
        <v>Aug</v>
      </c>
      <c r="K77" s="1">
        <f>HOUR(help_desk_tickets[[#This Row],[submission_date]])</f>
        <v>1</v>
      </c>
      <c r="L77" s="1" t="str">
        <f t="shared" si="2"/>
        <v>Other</v>
      </c>
      <c r="M77" s="1"/>
    </row>
    <row r="78" spans="1:13" x14ac:dyDescent="0.3">
      <c r="A78" s="1" t="s">
        <v>180</v>
      </c>
      <c r="B78" s="2">
        <v>45858.43846503472</v>
      </c>
      <c r="C78" s="2">
        <v>45858.591115127318</v>
      </c>
      <c r="D78" s="1" t="s">
        <v>13</v>
      </c>
      <c r="E78" s="1" t="s">
        <v>14</v>
      </c>
      <c r="F78" s="1" t="s">
        <v>181</v>
      </c>
      <c r="G78" s="1" t="s">
        <v>11</v>
      </c>
      <c r="H78" s="3">
        <f>(help_desk_tickets[[#This Row],[resolution_date]]-help_desk_tickets[[#This Row],[submission_date]])*24</f>
        <v>3.6636022223392501</v>
      </c>
      <c r="I78" s="1" t="str">
        <f>TEXT(help_desk_tickets[[#This Row],[submission_date]],"ddd")</f>
        <v>Sun</v>
      </c>
      <c r="J78" s="1" t="str">
        <f>TEXT(help_desk_tickets[[#This Row],[submission_date]],"mmm")</f>
        <v>Jul</v>
      </c>
      <c r="K78" s="1">
        <f>HOUR(help_desk_tickets[[#This Row],[submission_date]])</f>
        <v>10</v>
      </c>
      <c r="L78" s="1" t="str">
        <f t="shared" si="2"/>
        <v>Login issue</v>
      </c>
      <c r="M78" s="1"/>
    </row>
    <row r="79" spans="1:13" x14ac:dyDescent="0.3">
      <c r="A79" s="1" t="s">
        <v>182</v>
      </c>
      <c r="B79" s="2">
        <v>45855.654603726849</v>
      </c>
      <c r="C79" s="2">
        <v>45855.944653101855</v>
      </c>
      <c r="D79" s="1" t="s">
        <v>60</v>
      </c>
      <c r="E79" s="1" t="s">
        <v>32</v>
      </c>
      <c r="F79" s="1" t="s">
        <v>183</v>
      </c>
      <c r="G79" s="1" t="s">
        <v>11</v>
      </c>
      <c r="H79" s="3">
        <f>(help_desk_tickets[[#This Row],[resolution_date]]-help_desk_tickets[[#This Row],[submission_date]])*24</f>
        <v>6.9611850001383573</v>
      </c>
      <c r="I79" s="1" t="str">
        <f>TEXT(help_desk_tickets[[#This Row],[submission_date]],"ddd")</f>
        <v>Thu</v>
      </c>
      <c r="J79" s="1" t="str">
        <f>TEXT(help_desk_tickets[[#This Row],[submission_date]],"mmm")</f>
        <v>Jul</v>
      </c>
      <c r="K79" s="1">
        <f>HOUR(help_desk_tickets[[#This Row],[submission_date]])</f>
        <v>15</v>
      </c>
      <c r="L79" s="1" t="str">
        <f t="shared" si="2"/>
        <v>Other</v>
      </c>
      <c r="M79" s="1"/>
    </row>
    <row r="80" spans="1:13" x14ac:dyDescent="0.3">
      <c r="A80" s="1" t="s">
        <v>184</v>
      </c>
      <c r="B80" s="2">
        <v>45861.832680300926</v>
      </c>
      <c r="C80" s="2">
        <v>45864.478965682873</v>
      </c>
      <c r="D80" s="1" t="s">
        <v>13</v>
      </c>
      <c r="E80" s="1" t="s">
        <v>14</v>
      </c>
      <c r="F80" s="1" t="s">
        <v>185</v>
      </c>
      <c r="G80" s="1" t="s">
        <v>29</v>
      </c>
      <c r="H80" s="3">
        <f>(help_desk_tickets[[#This Row],[resolution_date]]-help_desk_tickets[[#This Row],[submission_date]])*24</f>
        <v>63.510849166719709</v>
      </c>
      <c r="I80" s="1" t="str">
        <f>TEXT(help_desk_tickets[[#This Row],[submission_date]],"ddd")</f>
        <v>Wed</v>
      </c>
      <c r="J80" s="1" t="str">
        <f>TEXT(help_desk_tickets[[#This Row],[submission_date]],"mmm")</f>
        <v>Jul</v>
      </c>
      <c r="K80" s="1">
        <f>HOUR(help_desk_tickets[[#This Row],[submission_date]])</f>
        <v>19</v>
      </c>
      <c r="L80" s="1" t="str">
        <f t="shared" si="2"/>
        <v>Login issue</v>
      </c>
      <c r="M80" s="1"/>
    </row>
    <row r="81" spans="1:13" x14ac:dyDescent="0.3">
      <c r="A81" s="1" t="s">
        <v>186</v>
      </c>
      <c r="B81" s="2">
        <v>45835.874010046296</v>
      </c>
      <c r="C81" s="2">
        <v>45839.839174641202</v>
      </c>
      <c r="D81" s="1" t="s">
        <v>45</v>
      </c>
      <c r="E81" s="1" t="s">
        <v>14</v>
      </c>
      <c r="F81" s="1" t="s">
        <v>187</v>
      </c>
      <c r="G81" s="1" t="s">
        <v>29</v>
      </c>
      <c r="H81" s="3">
        <f>(help_desk_tickets[[#This Row],[resolution_date]]-help_desk_tickets[[#This Row],[submission_date]])*24</f>
        <v>95.163950277725235</v>
      </c>
      <c r="I81" s="1" t="str">
        <f>TEXT(help_desk_tickets[[#This Row],[submission_date]],"ddd")</f>
        <v>Fri</v>
      </c>
      <c r="J81" s="1" t="str">
        <f>TEXT(help_desk_tickets[[#This Row],[submission_date]],"mmm")</f>
        <v>Jun</v>
      </c>
      <c r="K81" s="1">
        <f>HOUR(help_desk_tickets[[#This Row],[submission_date]])</f>
        <v>20</v>
      </c>
      <c r="L81" s="1" t="str">
        <f t="shared" si="2"/>
        <v>Network issues</v>
      </c>
      <c r="M81" s="1"/>
    </row>
    <row r="82" spans="1:13" x14ac:dyDescent="0.3">
      <c r="A82" s="1" t="s">
        <v>188</v>
      </c>
      <c r="B82" s="2">
        <v>45827.696929745369</v>
      </c>
      <c r="C82" s="2">
        <v>45833.939332152775</v>
      </c>
      <c r="D82" s="1" t="s">
        <v>13</v>
      </c>
      <c r="E82" s="1" t="s">
        <v>35</v>
      </c>
      <c r="F82" s="1" t="s">
        <v>189</v>
      </c>
      <c r="G82" s="1" t="s">
        <v>29</v>
      </c>
      <c r="H82" s="3">
        <f>(help_desk_tickets[[#This Row],[resolution_date]]-help_desk_tickets[[#This Row],[submission_date]])*24</f>
        <v>149.81765777774854</v>
      </c>
      <c r="I82" s="1" t="str">
        <f>TEXT(help_desk_tickets[[#This Row],[submission_date]],"ddd")</f>
        <v>Thu</v>
      </c>
      <c r="J82" s="1" t="str">
        <f>TEXT(help_desk_tickets[[#This Row],[submission_date]],"mmm")</f>
        <v>Jun</v>
      </c>
      <c r="K82" s="1">
        <f>HOUR(help_desk_tickets[[#This Row],[submission_date]])</f>
        <v>16</v>
      </c>
      <c r="L82" s="1" t="str">
        <f t="shared" si="2"/>
        <v>Login issue</v>
      </c>
      <c r="M82" s="1"/>
    </row>
    <row r="83" spans="1:13" x14ac:dyDescent="0.3">
      <c r="A83" s="1" t="s">
        <v>190</v>
      </c>
      <c r="B83" s="2">
        <v>45835.035242268517</v>
      </c>
      <c r="C83" s="2">
        <v>45839.417101805557</v>
      </c>
      <c r="D83" s="1" t="s">
        <v>31</v>
      </c>
      <c r="E83" s="1" t="s">
        <v>22</v>
      </c>
      <c r="F83" s="1" t="s">
        <v>191</v>
      </c>
      <c r="G83" s="1" t="s">
        <v>29</v>
      </c>
      <c r="H83" s="3">
        <f>(help_desk_tickets[[#This Row],[resolution_date]]-help_desk_tickets[[#This Row],[submission_date]])*24</f>
        <v>105.16462888894603</v>
      </c>
      <c r="I83" s="1" t="str">
        <f>TEXT(help_desk_tickets[[#This Row],[submission_date]],"ddd")</f>
        <v>Fri</v>
      </c>
      <c r="J83" s="1" t="str">
        <f>TEXT(help_desk_tickets[[#This Row],[submission_date]],"mmm")</f>
        <v>Jun</v>
      </c>
      <c r="K83" s="1">
        <f>HOUR(help_desk_tickets[[#This Row],[submission_date]])</f>
        <v>0</v>
      </c>
      <c r="L83" s="1" t="str">
        <f t="shared" si="2"/>
        <v>Password Issue</v>
      </c>
      <c r="M83" s="1"/>
    </row>
    <row r="84" spans="1:13" x14ac:dyDescent="0.3">
      <c r="A84" s="1" t="s">
        <v>192</v>
      </c>
      <c r="B84" s="2">
        <v>45879.470454178241</v>
      </c>
      <c r="C84" s="2">
        <v>45881.348121886571</v>
      </c>
      <c r="D84" s="1" t="s">
        <v>13</v>
      </c>
      <c r="E84" s="1" t="s">
        <v>14</v>
      </c>
      <c r="F84" s="1" t="s">
        <v>193</v>
      </c>
      <c r="G84" s="1" t="s">
        <v>16</v>
      </c>
      <c r="H84" s="3">
        <f>(help_desk_tickets[[#This Row],[resolution_date]]-help_desk_tickets[[#This Row],[submission_date]])*24</f>
        <v>45.064024999912363</v>
      </c>
      <c r="I84" s="1" t="str">
        <f>TEXT(help_desk_tickets[[#This Row],[submission_date]],"ddd")</f>
        <v>Sun</v>
      </c>
      <c r="J84" s="1" t="str">
        <f>TEXT(help_desk_tickets[[#This Row],[submission_date]],"mmm")</f>
        <v>Aug</v>
      </c>
      <c r="K84" s="1">
        <f>HOUR(help_desk_tickets[[#This Row],[submission_date]])</f>
        <v>11</v>
      </c>
      <c r="L84" s="1" t="str">
        <f t="shared" si="2"/>
        <v>Login issue</v>
      </c>
      <c r="M84" s="1"/>
    </row>
    <row r="85" spans="1:13" x14ac:dyDescent="0.3">
      <c r="A85" s="1" t="s">
        <v>194</v>
      </c>
      <c r="B85" s="2">
        <v>45867.075831828704</v>
      </c>
      <c r="C85" s="2">
        <v>45869.559900416665</v>
      </c>
      <c r="D85" s="1" t="s">
        <v>81</v>
      </c>
      <c r="E85" s="1" t="s">
        <v>25</v>
      </c>
      <c r="F85" s="1" t="s">
        <v>195</v>
      </c>
      <c r="G85" s="1" t="s">
        <v>29</v>
      </c>
      <c r="H85" s="3">
        <f>(help_desk_tickets[[#This Row],[resolution_date]]-help_desk_tickets[[#This Row],[submission_date]])*24</f>
        <v>59.617646111059003</v>
      </c>
      <c r="I85" s="1" t="str">
        <f>TEXT(help_desk_tickets[[#This Row],[submission_date]],"ddd")</f>
        <v>Tue</v>
      </c>
      <c r="J85" s="1" t="str">
        <f>TEXT(help_desk_tickets[[#This Row],[submission_date]],"mmm")</f>
        <v>Jul</v>
      </c>
      <c r="K85" s="1">
        <f>HOUR(help_desk_tickets[[#This Row],[submission_date]])</f>
        <v>1</v>
      </c>
      <c r="L85" s="1" t="str">
        <f t="shared" si="2"/>
        <v>Other</v>
      </c>
      <c r="M85" s="1"/>
    </row>
    <row r="86" spans="1:13" x14ac:dyDescent="0.3">
      <c r="A86" s="1" t="s">
        <v>196</v>
      </c>
      <c r="B86" s="2">
        <v>45844.422962777775</v>
      </c>
      <c r="C86" s="2">
        <v>45849.014388831019</v>
      </c>
      <c r="D86" s="1" t="s">
        <v>21</v>
      </c>
      <c r="E86" s="1" t="s">
        <v>55</v>
      </c>
      <c r="F86" s="1" t="s">
        <v>197</v>
      </c>
      <c r="G86" s="1" t="s">
        <v>29</v>
      </c>
      <c r="H86" s="3">
        <f>(help_desk_tickets[[#This Row],[resolution_date]]-help_desk_tickets[[#This Row],[submission_date]])*24</f>
        <v>110.1942252778681</v>
      </c>
      <c r="I86" s="1" t="str">
        <f>TEXT(help_desk_tickets[[#This Row],[submission_date]],"ddd")</f>
        <v>Sun</v>
      </c>
      <c r="J86" s="1" t="str">
        <f>TEXT(help_desk_tickets[[#This Row],[submission_date]],"mmm")</f>
        <v>Jul</v>
      </c>
      <c r="K86" s="1">
        <f>HOUR(help_desk_tickets[[#This Row],[submission_date]])</f>
        <v>10</v>
      </c>
      <c r="L86" s="1" t="str">
        <f t="shared" si="2"/>
        <v>Performance issue</v>
      </c>
      <c r="M86" s="1"/>
    </row>
    <row r="87" spans="1:13" x14ac:dyDescent="0.3">
      <c r="A87" s="1" t="s">
        <v>198</v>
      </c>
      <c r="B87" s="2">
        <v>45868.183028969906</v>
      </c>
      <c r="C87" s="2">
        <v>45868.547340925928</v>
      </c>
      <c r="D87" s="1" t="s">
        <v>31</v>
      </c>
      <c r="E87" s="1" t="s">
        <v>32</v>
      </c>
      <c r="F87" s="1" t="s">
        <v>199</v>
      </c>
      <c r="G87" s="1" t="s">
        <v>11</v>
      </c>
      <c r="H87" s="3">
        <f>(help_desk_tickets[[#This Row],[resolution_date]]-help_desk_tickets[[#This Row],[submission_date]])*24</f>
        <v>8.7434869445278309</v>
      </c>
      <c r="I87" s="1" t="str">
        <f>TEXT(help_desk_tickets[[#This Row],[submission_date]],"ddd")</f>
        <v>Wed</v>
      </c>
      <c r="J87" s="1" t="str">
        <f>TEXT(help_desk_tickets[[#This Row],[submission_date]],"mmm")</f>
        <v>Jul</v>
      </c>
      <c r="K87" s="1">
        <f>HOUR(help_desk_tickets[[#This Row],[submission_date]])</f>
        <v>4</v>
      </c>
      <c r="L87" s="1" t="str">
        <f t="shared" si="2"/>
        <v>Password Issue</v>
      </c>
      <c r="M87" s="1"/>
    </row>
    <row r="88" spans="1:13" x14ac:dyDescent="0.3">
      <c r="A88" s="1" t="s">
        <v>200</v>
      </c>
      <c r="B88" s="2">
        <v>45892.221289976849</v>
      </c>
      <c r="C88" s="2">
        <v>45893.692486550928</v>
      </c>
      <c r="D88" s="1" t="s">
        <v>13</v>
      </c>
      <c r="E88" s="1" t="s">
        <v>42</v>
      </c>
      <c r="F88" s="1" t="s">
        <v>201</v>
      </c>
      <c r="G88" s="1" t="s">
        <v>16</v>
      </c>
      <c r="H88" s="3">
        <f>(help_desk_tickets[[#This Row],[resolution_date]]-help_desk_tickets[[#This Row],[submission_date]])*24</f>
        <v>35.308717777894344</v>
      </c>
      <c r="I88" s="1" t="str">
        <f>TEXT(help_desk_tickets[[#This Row],[submission_date]],"ddd")</f>
        <v>Sat</v>
      </c>
      <c r="J88" s="1" t="str">
        <f>TEXT(help_desk_tickets[[#This Row],[submission_date]],"mmm")</f>
        <v>Aug</v>
      </c>
      <c r="K88" s="1">
        <f>HOUR(help_desk_tickets[[#This Row],[submission_date]])</f>
        <v>5</v>
      </c>
      <c r="L88" s="1" t="str">
        <f t="shared" si="2"/>
        <v>Login issue</v>
      </c>
      <c r="M88" s="1"/>
    </row>
    <row r="89" spans="1:13" x14ac:dyDescent="0.3">
      <c r="A89" s="1" t="s">
        <v>202</v>
      </c>
      <c r="B89" s="2">
        <v>45848.132901874997</v>
      </c>
      <c r="C89" s="2">
        <v>45848.96668986111</v>
      </c>
      <c r="D89" s="1" t="s">
        <v>21</v>
      </c>
      <c r="E89" s="1" t="s">
        <v>18</v>
      </c>
      <c r="F89" s="1" t="s">
        <v>203</v>
      </c>
      <c r="G89" s="1" t="s">
        <v>16</v>
      </c>
      <c r="H89" s="3">
        <f>(help_desk_tickets[[#This Row],[resolution_date]]-help_desk_tickets[[#This Row],[submission_date]])*24</f>
        <v>20.010911666729953</v>
      </c>
      <c r="I89" s="1" t="str">
        <f>TEXT(help_desk_tickets[[#This Row],[submission_date]],"ddd")</f>
        <v>Thu</v>
      </c>
      <c r="J89" s="1" t="str">
        <f>TEXT(help_desk_tickets[[#This Row],[submission_date]],"mmm")</f>
        <v>Jul</v>
      </c>
      <c r="K89" s="1">
        <f>HOUR(help_desk_tickets[[#This Row],[submission_date]])</f>
        <v>3</v>
      </c>
      <c r="L89" s="1" t="str">
        <f t="shared" si="2"/>
        <v>Performance issue</v>
      </c>
      <c r="M89" s="1"/>
    </row>
    <row r="90" spans="1:13" x14ac:dyDescent="0.3">
      <c r="A90" s="1" t="s">
        <v>204</v>
      </c>
      <c r="B90" s="2">
        <v>45912.790745324077</v>
      </c>
      <c r="C90" s="2">
        <v>45914.105542245372</v>
      </c>
      <c r="D90" s="1" t="s">
        <v>13</v>
      </c>
      <c r="E90" s="1" t="s">
        <v>32</v>
      </c>
      <c r="F90" s="1" t="s">
        <v>205</v>
      </c>
      <c r="G90" s="1" t="s">
        <v>16</v>
      </c>
      <c r="H90" s="3">
        <f>(help_desk_tickets[[#This Row],[resolution_date]]-help_desk_tickets[[#This Row],[submission_date]])*24</f>
        <v>31.555126111081336</v>
      </c>
      <c r="I90" s="1" t="str">
        <f>TEXT(help_desk_tickets[[#This Row],[submission_date]],"ddd")</f>
        <v>Fri</v>
      </c>
      <c r="J90" s="1" t="str">
        <f>TEXT(help_desk_tickets[[#This Row],[submission_date]],"mmm")</f>
        <v>Sep</v>
      </c>
      <c r="K90" s="1">
        <f>HOUR(help_desk_tickets[[#This Row],[submission_date]])</f>
        <v>18</v>
      </c>
      <c r="L90" s="1" t="str">
        <f t="shared" si="2"/>
        <v>Login issue</v>
      </c>
      <c r="M90" s="1"/>
    </row>
    <row r="91" spans="1:13" x14ac:dyDescent="0.3">
      <c r="A91" s="1" t="s">
        <v>206</v>
      </c>
      <c r="B91" s="2">
        <v>45902.639425532405</v>
      </c>
      <c r="C91" s="2">
        <v>45908.681624143515</v>
      </c>
      <c r="D91" s="1" t="s">
        <v>13</v>
      </c>
      <c r="E91" s="1" t="s">
        <v>32</v>
      </c>
      <c r="F91" s="1" t="s">
        <v>207</v>
      </c>
      <c r="G91" s="1" t="s">
        <v>29</v>
      </c>
      <c r="H91" s="3">
        <f>(help_desk_tickets[[#This Row],[resolution_date]]-help_desk_tickets[[#This Row],[submission_date]])*24</f>
        <v>145.01276666665217</v>
      </c>
      <c r="I91" s="1" t="str">
        <f>TEXT(help_desk_tickets[[#This Row],[submission_date]],"ddd")</f>
        <v>Tue</v>
      </c>
      <c r="J91" s="1" t="str">
        <f>TEXT(help_desk_tickets[[#This Row],[submission_date]],"mmm")</f>
        <v>Sep</v>
      </c>
      <c r="K91" s="1">
        <f>HOUR(help_desk_tickets[[#This Row],[submission_date]])</f>
        <v>15</v>
      </c>
      <c r="L91" s="1" t="str">
        <f t="shared" si="2"/>
        <v>Login issue</v>
      </c>
      <c r="M91" s="1"/>
    </row>
    <row r="92" spans="1:13" x14ac:dyDescent="0.3">
      <c r="A92" s="1" t="s">
        <v>208</v>
      </c>
      <c r="B92" s="2">
        <v>45850.503205729168</v>
      </c>
      <c r="C92" s="2">
        <v>45851.26551005787</v>
      </c>
      <c r="D92" s="1" t="s">
        <v>13</v>
      </c>
      <c r="E92" s="1" t="s">
        <v>9</v>
      </c>
      <c r="F92" s="1" t="s">
        <v>209</v>
      </c>
      <c r="G92" s="1" t="s">
        <v>16</v>
      </c>
      <c r="H92" s="3">
        <f>(help_desk_tickets[[#This Row],[resolution_date]]-help_desk_tickets[[#This Row],[submission_date]])*24</f>
        <v>18.295303888851777</v>
      </c>
      <c r="I92" s="1" t="str">
        <f>TEXT(help_desk_tickets[[#This Row],[submission_date]],"ddd")</f>
        <v>Sat</v>
      </c>
      <c r="J92" s="1" t="str">
        <f>TEXT(help_desk_tickets[[#This Row],[submission_date]],"mmm")</f>
        <v>Jul</v>
      </c>
      <c r="K92" s="1">
        <f>HOUR(help_desk_tickets[[#This Row],[submission_date]])</f>
        <v>12</v>
      </c>
      <c r="L92" s="1" t="str">
        <f t="shared" si="2"/>
        <v>Login issue</v>
      </c>
      <c r="M92" s="1"/>
    </row>
    <row r="93" spans="1:13" x14ac:dyDescent="0.3">
      <c r="A93" s="1" t="s">
        <v>210</v>
      </c>
      <c r="B93" s="2">
        <v>45875.192167974536</v>
      </c>
      <c r="C93" s="2">
        <v>45881.464590856478</v>
      </c>
      <c r="D93" s="1" t="s">
        <v>13</v>
      </c>
      <c r="E93" s="1" t="s">
        <v>32</v>
      </c>
      <c r="F93" s="1" t="s">
        <v>211</v>
      </c>
      <c r="G93" s="1" t="s">
        <v>29</v>
      </c>
      <c r="H93" s="3">
        <f>(help_desk_tickets[[#This Row],[resolution_date]]-help_desk_tickets[[#This Row],[submission_date]])*24</f>
        <v>150.53814916661941</v>
      </c>
      <c r="I93" s="1" t="str">
        <f>TEXT(help_desk_tickets[[#This Row],[submission_date]],"ddd")</f>
        <v>Wed</v>
      </c>
      <c r="J93" s="1" t="str">
        <f>TEXT(help_desk_tickets[[#This Row],[submission_date]],"mmm")</f>
        <v>Aug</v>
      </c>
      <c r="K93" s="1">
        <f>HOUR(help_desk_tickets[[#This Row],[submission_date]])</f>
        <v>4</v>
      </c>
      <c r="L93" s="1" t="str">
        <f t="shared" si="2"/>
        <v>Login issue</v>
      </c>
      <c r="M93" s="1"/>
    </row>
    <row r="94" spans="1:13" x14ac:dyDescent="0.3">
      <c r="A94" s="1" t="s">
        <v>212</v>
      </c>
      <c r="B94" s="2">
        <v>45832.518167638889</v>
      </c>
      <c r="C94" s="2">
        <v>45834.451125613428</v>
      </c>
      <c r="D94" s="1" t="s">
        <v>45</v>
      </c>
      <c r="E94" s="1" t="s">
        <v>22</v>
      </c>
      <c r="F94" s="1" t="s">
        <v>213</v>
      </c>
      <c r="G94" s="1" t="s">
        <v>16</v>
      </c>
      <c r="H94" s="3">
        <f>(help_desk_tickets[[#This Row],[resolution_date]]-help_desk_tickets[[#This Row],[submission_date]])*24</f>
        <v>46.390991388936527</v>
      </c>
      <c r="I94" s="1" t="str">
        <f>TEXT(help_desk_tickets[[#This Row],[submission_date]],"ddd")</f>
        <v>Tue</v>
      </c>
      <c r="J94" s="1" t="str">
        <f>TEXT(help_desk_tickets[[#This Row],[submission_date]],"mmm")</f>
        <v>Jun</v>
      </c>
      <c r="K94" s="1">
        <f>HOUR(help_desk_tickets[[#This Row],[submission_date]])</f>
        <v>12</v>
      </c>
      <c r="L94" s="1" t="str">
        <f t="shared" si="2"/>
        <v>Network issues</v>
      </c>
      <c r="M94" s="1"/>
    </row>
    <row r="95" spans="1:13" x14ac:dyDescent="0.3">
      <c r="A95" s="1" t="s">
        <v>214</v>
      </c>
      <c r="B95" s="2">
        <v>45833.894249444442</v>
      </c>
      <c r="C95" s="2">
        <v>45837.297820671294</v>
      </c>
      <c r="D95" s="1" t="s">
        <v>8</v>
      </c>
      <c r="E95" s="1" t="s">
        <v>22</v>
      </c>
      <c r="F95" s="1" t="s">
        <v>215</v>
      </c>
      <c r="G95" s="1" t="s">
        <v>29</v>
      </c>
      <c r="H95" s="3">
        <f>(help_desk_tickets[[#This Row],[resolution_date]]-help_desk_tickets[[#This Row],[submission_date]])*24</f>
        <v>81.685709444456734</v>
      </c>
      <c r="I95" s="1" t="str">
        <f>TEXT(help_desk_tickets[[#This Row],[submission_date]],"ddd")</f>
        <v>Wed</v>
      </c>
      <c r="J95" s="1" t="str">
        <f>TEXT(help_desk_tickets[[#This Row],[submission_date]],"mmm")</f>
        <v>Jun</v>
      </c>
      <c r="K95" s="1">
        <f>HOUR(help_desk_tickets[[#This Row],[submission_date]])</f>
        <v>21</v>
      </c>
      <c r="L95" s="1" t="str">
        <f t="shared" si="2"/>
        <v>Other</v>
      </c>
      <c r="M95" s="1"/>
    </row>
    <row r="96" spans="1:13" x14ac:dyDescent="0.3">
      <c r="A96" s="1" t="s">
        <v>216</v>
      </c>
      <c r="B96" s="2">
        <v>45863.629643020831</v>
      </c>
      <c r="C96" s="2">
        <v>45868.030028703703</v>
      </c>
      <c r="D96" s="1" t="s">
        <v>31</v>
      </c>
      <c r="E96" s="1" t="s">
        <v>42</v>
      </c>
      <c r="F96" s="1" t="s">
        <v>217</v>
      </c>
      <c r="G96" s="1" t="s">
        <v>29</v>
      </c>
      <c r="H96" s="3">
        <f>(help_desk_tickets[[#This Row],[resolution_date]]-help_desk_tickets[[#This Row],[submission_date]])*24</f>
        <v>105.60925638891058</v>
      </c>
      <c r="I96" s="1" t="str">
        <f>TEXT(help_desk_tickets[[#This Row],[submission_date]],"ddd")</f>
        <v>Fri</v>
      </c>
      <c r="J96" s="1" t="str">
        <f>TEXT(help_desk_tickets[[#This Row],[submission_date]],"mmm")</f>
        <v>Jul</v>
      </c>
      <c r="K96" s="1">
        <f>HOUR(help_desk_tickets[[#This Row],[submission_date]])</f>
        <v>15</v>
      </c>
      <c r="L96" s="1" t="str">
        <f t="shared" si="2"/>
        <v>Password Issue</v>
      </c>
      <c r="M96" s="1"/>
    </row>
    <row r="97" spans="1:13" x14ac:dyDescent="0.3">
      <c r="A97" s="1" t="s">
        <v>218</v>
      </c>
      <c r="B97" s="2">
        <v>45863.74130209491</v>
      </c>
      <c r="C97" s="2">
        <v>45864.909261307868</v>
      </c>
      <c r="D97" s="1" t="s">
        <v>8</v>
      </c>
      <c r="E97" s="1" t="s">
        <v>9</v>
      </c>
      <c r="F97" s="1" t="s">
        <v>219</v>
      </c>
      <c r="G97" s="1" t="s">
        <v>16</v>
      </c>
      <c r="H97" s="3">
        <f>(help_desk_tickets[[#This Row],[resolution_date]]-help_desk_tickets[[#This Row],[submission_date]])*24</f>
        <v>28.03102111100452</v>
      </c>
      <c r="I97" s="1" t="str">
        <f>TEXT(help_desk_tickets[[#This Row],[submission_date]],"ddd")</f>
        <v>Fri</v>
      </c>
      <c r="J97" s="1" t="str">
        <f>TEXT(help_desk_tickets[[#This Row],[submission_date]],"mmm")</f>
        <v>Jul</v>
      </c>
      <c r="K97" s="1">
        <f>HOUR(help_desk_tickets[[#This Row],[submission_date]])</f>
        <v>17</v>
      </c>
      <c r="L97" s="1" t="str">
        <f t="shared" si="2"/>
        <v>Other</v>
      </c>
      <c r="M97" s="1"/>
    </row>
    <row r="98" spans="1:13" x14ac:dyDescent="0.3">
      <c r="A98" s="1" t="s">
        <v>220</v>
      </c>
      <c r="B98" s="2">
        <v>45881.742879791665</v>
      </c>
      <c r="C98" s="2">
        <v>45883.565504456019</v>
      </c>
      <c r="D98" s="1" t="s">
        <v>31</v>
      </c>
      <c r="E98" s="1" t="s">
        <v>25</v>
      </c>
      <c r="F98" s="1" t="s">
        <v>221</v>
      </c>
      <c r="G98" s="1" t="s">
        <v>29</v>
      </c>
      <c r="H98" s="3">
        <f>(help_desk_tickets[[#This Row],[resolution_date]]-help_desk_tickets[[#This Row],[submission_date]])*24</f>
        <v>43.742991944483947</v>
      </c>
      <c r="I98" s="1" t="str">
        <f>TEXT(help_desk_tickets[[#This Row],[submission_date]],"ddd")</f>
        <v>Tue</v>
      </c>
      <c r="J98" s="1" t="str">
        <f>TEXT(help_desk_tickets[[#This Row],[submission_date]],"mmm")</f>
        <v>Aug</v>
      </c>
      <c r="K98" s="1">
        <f>HOUR(help_desk_tickets[[#This Row],[submission_date]])</f>
        <v>17</v>
      </c>
      <c r="L98" s="1" t="str">
        <f t="shared" ref="L98:L129" si="3">IF(ISNUMBER(SEARCH("password",F98)),"Password Issue",IF(ISNUMBER(SEARCH("network",F98)),"Network issue",IF(ISNUMBER(SEARCH("internet",F98)),"Network issues",IF(ISNUMBER(SEARCH("crashing",F98)),"Login issue",IF(ISNUMBER(SEARCH("stuck",F98)),"Performance issue","Other")))))</f>
        <v>Password Issue</v>
      </c>
      <c r="M98" s="1"/>
    </row>
    <row r="99" spans="1:13" x14ac:dyDescent="0.3">
      <c r="A99" s="1" t="s">
        <v>222</v>
      </c>
      <c r="B99" s="2">
        <v>45863.886334641204</v>
      </c>
      <c r="C99" s="2">
        <v>45870.561789212959</v>
      </c>
      <c r="D99" s="1" t="s">
        <v>21</v>
      </c>
      <c r="E99" s="1" t="s">
        <v>32</v>
      </c>
      <c r="F99" s="1" t="s">
        <v>223</v>
      </c>
      <c r="G99" s="1" t="s">
        <v>29</v>
      </c>
      <c r="H99" s="3">
        <f>(help_desk_tickets[[#This Row],[resolution_date]]-help_desk_tickets[[#This Row],[submission_date]])*24</f>
        <v>160.21090972214006</v>
      </c>
      <c r="I99" s="1" t="str">
        <f>TEXT(help_desk_tickets[[#This Row],[submission_date]],"ddd")</f>
        <v>Fri</v>
      </c>
      <c r="J99" s="1" t="str">
        <f>TEXT(help_desk_tickets[[#This Row],[submission_date]],"mmm")</f>
        <v>Jul</v>
      </c>
      <c r="K99" s="1">
        <f>HOUR(help_desk_tickets[[#This Row],[submission_date]])</f>
        <v>21</v>
      </c>
      <c r="L99" s="1" t="str">
        <f t="shared" si="3"/>
        <v>Performance issue</v>
      </c>
      <c r="M99" s="1"/>
    </row>
    <row r="100" spans="1:13" x14ac:dyDescent="0.3">
      <c r="A100" s="1" t="s">
        <v>224</v>
      </c>
      <c r="B100" s="2">
        <v>45914.807502256946</v>
      </c>
      <c r="C100" s="2">
        <v>45914.935071701388</v>
      </c>
      <c r="D100" s="1" t="s">
        <v>13</v>
      </c>
      <c r="E100" s="1" t="s">
        <v>14</v>
      </c>
      <c r="F100" s="1" t="s">
        <v>225</v>
      </c>
      <c r="G100" s="1" t="s">
        <v>11</v>
      </c>
      <c r="H100" s="3">
        <f>(help_desk_tickets[[#This Row],[resolution_date]]-help_desk_tickets[[#This Row],[submission_date]])*24</f>
        <v>3.0616666665882803</v>
      </c>
      <c r="I100" s="1" t="str">
        <f>TEXT(help_desk_tickets[[#This Row],[submission_date]],"ddd")</f>
        <v>Sun</v>
      </c>
      <c r="J100" s="1" t="str">
        <f>TEXT(help_desk_tickets[[#This Row],[submission_date]],"mmm")</f>
        <v>Sep</v>
      </c>
      <c r="K100" s="1">
        <f>HOUR(help_desk_tickets[[#This Row],[submission_date]])</f>
        <v>19</v>
      </c>
      <c r="L100" s="1" t="str">
        <f t="shared" si="3"/>
        <v>Login issue</v>
      </c>
      <c r="M100" s="1"/>
    </row>
    <row r="101" spans="1:13" x14ac:dyDescent="0.3">
      <c r="A101" s="1" t="s">
        <v>226</v>
      </c>
      <c r="B101" s="2">
        <v>45869.010687291666</v>
      </c>
      <c r="C101" s="2">
        <v>45869.377826099539</v>
      </c>
      <c r="D101" s="1" t="s">
        <v>21</v>
      </c>
      <c r="E101" s="1" t="s">
        <v>25</v>
      </c>
      <c r="F101" s="1" t="s">
        <v>227</v>
      </c>
      <c r="G101" s="1" t="s">
        <v>16</v>
      </c>
      <c r="H101" s="3">
        <f>(help_desk_tickets[[#This Row],[resolution_date]]-help_desk_tickets[[#This Row],[submission_date]])*24</f>
        <v>8.8113313889480196</v>
      </c>
      <c r="I101" s="1" t="str">
        <f>TEXT(help_desk_tickets[[#This Row],[submission_date]],"ddd")</f>
        <v>Thu</v>
      </c>
      <c r="J101" s="1" t="str">
        <f>TEXT(help_desk_tickets[[#This Row],[submission_date]],"mmm")</f>
        <v>Jul</v>
      </c>
      <c r="K101" s="1">
        <f>HOUR(help_desk_tickets[[#This Row],[submission_date]])</f>
        <v>0</v>
      </c>
      <c r="L101" s="1" t="str">
        <f t="shared" si="3"/>
        <v>Performance issue</v>
      </c>
      <c r="M101" s="1"/>
    </row>
    <row r="102" spans="1:13" x14ac:dyDescent="0.3">
      <c r="A102" s="1" t="s">
        <v>228</v>
      </c>
      <c r="B102" s="2">
        <v>45886.55119928241</v>
      </c>
      <c r="C102" s="2">
        <v>45886.637387997682</v>
      </c>
      <c r="D102" s="1" t="s">
        <v>13</v>
      </c>
      <c r="E102" s="1" t="s">
        <v>32</v>
      </c>
      <c r="F102" s="1" t="s">
        <v>229</v>
      </c>
      <c r="G102" s="1" t="s">
        <v>115</v>
      </c>
      <c r="H102" s="3">
        <f>(help_desk_tickets[[#This Row],[resolution_date]]-help_desk_tickets[[#This Row],[submission_date]])*24</f>
        <v>2.0685291665140539</v>
      </c>
      <c r="I102" s="1" t="str">
        <f>TEXT(help_desk_tickets[[#This Row],[submission_date]],"ddd")</f>
        <v>Sun</v>
      </c>
      <c r="J102" s="1" t="str">
        <f>TEXT(help_desk_tickets[[#This Row],[submission_date]],"mmm")</f>
        <v>Aug</v>
      </c>
      <c r="K102" s="1">
        <f>HOUR(help_desk_tickets[[#This Row],[submission_date]])</f>
        <v>13</v>
      </c>
      <c r="L102" s="1" t="str">
        <f t="shared" si="3"/>
        <v>Login issue</v>
      </c>
      <c r="M102" s="1"/>
    </row>
    <row r="103" spans="1:13" x14ac:dyDescent="0.3">
      <c r="A103" s="1" t="s">
        <v>230</v>
      </c>
      <c r="B103" s="2">
        <v>45911.53831733796</v>
      </c>
      <c r="C103" s="2">
        <v>45913.271872881945</v>
      </c>
      <c r="D103" s="1" t="s">
        <v>13</v>
      </c>
      <c r="E103" s="1" t="s">
        <v>42</v>
      </c>
      <c r="F103" s="1" t="s">
        <v>231</v>
      </c>
      <c r="G103" s="1" t="s">
        <v>16</v>
      </c>
      <c r="H103" s="3">
        <f>(help_desk_tickets[[#This Row],[resolution_date]]-help_desk_tickets[[#This Row],[submission_date]])*24</f>
        <v>41.605333055660594</v>
      </c>
      <c r="I103" s="1" t="str">
        <f>TEXT(help_desk_tickets[[#This Row],[submission_date]],"ddd")</f>
        <v>Thu</v>
      </c>
      <c r="J103" s="1" t="str">
        <f>TEXT(help_desk_tickets[[#This Row],[submission_date]],"mmm")</f>
        <v>Sep</v>
      </c>
      <c r="K103" s="1">
        <f>HOUR(help_desk_tickets[[#This Row],[submission_date]])</f>
        <v>12</v>
      </c>
      <c r="L103" s="1" t="str">
        <f t="shared" si="3"/>
        <v>Login issue</v>
      </c>
      <c r="M103" s="1"/>
    </row>
    <row r="104" spans="1:13" x14ac:dyDescent="0.3">
      <c r="A104" s="1" t="s">
        <v>232</v>
      </c>
      <c r="B104" s="2">
        <v>45839.36759386574</v>
      </c>
      <c r="C104" s="2">
        <v>45840.47272208333</v>
      </c>
      <c r="D104" s="1" t="s">
        <v>8</v>
      </c>
      <c r="E104" s="1" t="s">
        <v>32</v>
      </c>
      <c r="F104" s="1" t="s">
        <v>233</v>
      </c>
      <c r="G104" s="1" t="s">
        <v>29</v>
      </c>
      <c r="H104" s="3">
        <f>(help_desk_tickets[[#This Row],[resolution_date]]-help_desk_tickets[[#This Row],[submission_date]])*24</f>
        <v>26.523077222169377</v>
      </c>
      <c r="I104" s="1" t="str">
        <f>TEXT(help_desk_tickets[[#This Row],[submission_date]],"ddd")</f>
        <v>Tue</v>
      </c>
      <c r="J104" s="1" t="str">
        <f>TEXT(help_desk_tickets[[#This Row],[submission_date]],"mmm")</f>
        <v>Jul</v>
      </c>
      <c r="K104" s="1">
        <f>HOUR(help_desk_tickets[[#This Row],[submission_date]])</f>
        <v>8</v>
      </c>
      <c r="L104" s="1" t="str">
        <f t="shared" si="3"/>
        <v>Other</v>
      </c>
      <c r="M104" s="1"/>
    </row>
    <row r="105" spans="1:13" x14ac:dyDescent="0.3">
      <c r="A105" s="1" t="s">
        <v>234</v>
      </c>
      <c r="B105" s="2">
        <v>45833.941698622686</v>
      </c>
      <c r="C105" s="2">
        <v>45834.416492476848</v>
      </c>
      <c r="D105" s="1" t="s">
        <v>13</v>
      </c>
      <c r="E105" s="1" t="s">
        <v>55</v>
      </c>
      <c r="F105" s="1" t="s">
        <v>235</v>
      </c>
      <c r="G105" s="1" t="s">
        <v>16</v>
      </c>
      <c r="H105" s="3">
        <f>(help_desk_tickets[[#This Row],[resolution_date]]-help_desk_tickets[[#This Row],[submission_date]])*24</f>
        <v>11.395052499894518</v>
      </c>
      <c r="I105" s="1" t="str">
        <f>TEXT(help_desk_tickets[[#This Row],[submission_date]],"ddd")</f>
        <v>Wed</v>
      </c>
      <c r="J105" s="1" t="str">
        <f>TEXT(help_desk_tickets[[#This Row],[submission_date]],"mmm")</f>
        <v>Jun</v>
      </c>
      <c r="K105" s="1">
        <f>HOUR(help_desk_tickets[[#This Row],[submission_date]])</f>
        <v>22</v>
      </c>
      <c r="L105" s="1" t="str">
        <f t="shared" si="3"/>
        <v>Login issue</v>
      </c>
      <c r="M105" s="1"/>
    </row>
    <row r="106" spans="1:13" x14ac:dyDescent="0.3">
      <c r="A106" s="1" t="s">
        <v>236</v>
      </c>
      <c r="B106" s="2">
        <v>45906.263209618053</v>
      </c>
      <c r="C106" s="2">
        <v>45906.441982442127</v>
      </c>
      <c r="D106" s="1" t="s">
        <v>81</v>
      </c>
      <c r="E106" s="1" t="s">
        <v>55</v>
      </c>
      <c r="F106" s="1" t="s">
        <v>237</v>
      </c>
      <c r="G106" s="1" t="s">
        <v>11</v>
      </c>
      <c r="H106" s="3">
        <f>(help_desk_tickets[[#This Row],[resolution_date]]-help_desk_tickets[[#This Row],[submission_date]])*24</f>
        <v>4.2905477777821943</v>
      </c>
      <c r="I106" s="1" t="str">
        <f>TEXT(help_desk_tickets[[#This Row],[submission_date]],"ddd")</f>
        <v>Sat</v>
      </c>
      <c r="J106" s="1" t="str">
        <f>TEXT(help_desk_tickets[[#This Row],[submission_date]],"mmm")</f>
        <v>Sep</v>
      </c>
      <c r="K106" s="1">
        <f>HOUR(help_desk_tickets[[#This Row],[submission_date]])</f>
        <v>6</v>
      </c>
      <c r="L106" s="1" t="str">
        <f t="shared" si="3"/>
        <v>Other</v>
      </c>
      <c r="M106" s="1"/>
    </row>
    <row r="107" spans="1:13" x14ac:dyDescent="0.3">
      <c r="A107" s="1" t="s">
        <v>238</v>
      </c>
      <c r="B107" s="2">
        <v>45872.281321724535</v>
      </c>
      <c r="C107" s="2">
        <v>45874.69541202546</v>
      </c>
      <c r="D107" s="1" t="s">
        <v>45</v>
      </c>
      <c r="E107" s="1" t="s">
        <v>46</v>
      </c>
      <c r="F107" s="1" t="s">
        <v>239</v>
      </c>
      <c r="G107" s="1" t="s">
        <v>29</v>
      </c>
      <c r="H107" s="3">
        <f>(help_desk_tickets[[#This Row],[resolution_date]]-help_desk_tickets[[#This Row],[submission_date]])*24</f>
        <v>57.938167222193442</v>
      </c>
      <c r="I107" s="1" t="str">
        <f>TEXT(help_desk_tickets[[#This Row],[submission_date]],"ddd")</f>
        <v>Sun</v>
      </c>
      <c r="J107" s="1" t="str">
        <f>TEXT(help_desk_tickets[[#This Row],[submission_date]],"mmm")</f>
        <v>Aug</v>
      </c>
      <c r="K107" s="1">
        <f>HOUR(help_desk_tickets[[#This Row],[submission_date]])</f>
        <v>6</v>
      </c>
      <c r="L107" s="1" t="str">
        <f t="shared" si="3"/>
        <v>Network issues</v>
      </c>
      <c r="M107" s="1"/>
    </row>
    <row r="108" spans="1:13" x14ac:dyDescent="0.3">
      <c r="A108" s="1" t="s">
        <v>240</v>
      </c>
      <c r="B108" s="2">
        <v>45886.512519641205</v>
      </c>
      <c r="C108" s="2">
        <v>45887.770572557871</v>
      </c>
      <c r="D108" s="1" t="s">
        <v>81</v>
      </c>
      <c r="E108" s="1" t="s">
        <v>18</v>
      </c>
      <c r="F108" s="1" t="s">
        <v>241</v>
      </c>
      <c r="G108" s="1" t="s">
        <v>16</v>
      </c>
      <c r="H108" s="3">
        <f>(help_desk_tickets[[#This Row],[resolution_date]]-help_desk_tickets[[#This Row],[submission_date]])*24</f>
        <v>30.193269999988843</v>
      </c>
      <c r="I108" s="1" t="str">
        <f>TEXT(help_desk_tickets[[#This Row],[submission_date]],"ddd")</f>
        <v>Sun</v>
      </c>
      <c r="J108" s="1" t="str">
        <f>TEXT(help_desk_tickets[[#This Row],[submission_date]],"mmm")</f>
        <v>Aug</v>
      </c>
      <c r="K108" s="1">
        <f>HOUR(help_desk_tickets[[#This Row],[submission_date]])</f>
        <v>12</v>
      </c>
      <c r="L108" s="1" t="str">
        <f t="shared" si="3"/>
        <v>Other</v>
      </c>
      <c r="M108" s="1"/>
    </row>
    <row r="109" spans="1:13" x14ac:dyDescent="0.3">
      <c r="A109" s="1" t="s">
        <v>242</v>
      </c>
      <c r="B109" s="2">
        <v>45866.620971504628</v>
      </c>
      <c r="C109" s="2">
        <v>45869.341103587962</v>
      </c>
      <c r="D109" s="1" t="s">
        <v>21</v>
      </c>
      <c r="E109" s="1" t="s">
        <v>14</v>
      </c>
      <c r="F109" s="1" t="s">
        <v>243</v>
      </c>
      <c r="G109" s="1" t="s">
        <v>29</v>
      </c>
      <c r="H109" s="3">
        <f>(help_desk_tickets[[#This Row],[resolution_date]]-help_desk_tickets[[#This Row],[submission_date]])*24</f>
        <v>65.283170000009704</v>
      </c>
      <c r="I109" s="1" t="str">
        <f>TEXT(help_desk_tickets[[#This Row],[submission_date]],"ddd")</f>
        <v>Mon</v>
      </c>
      <c r="J109" s="1" t="str">
        <f>TEXT(help_desk_tickets[[#This Row],[submission_date]],"mmm")</f>
        <v>Jul</v>
      </c>
      <c r="K109" s="1">
        <f>HOUR(help_desk_tickets[[#This Row],[submission_date]])</f>
        <v>14</v>
      </c>
      <c r="L109" s="1" t="str">
        <f t="shared" si="3"/>
        <v>Performance issue</v>
      </c>
      <c r="M109" s="1"/>
    </row>
    <row r="110" spans="1:13" x14ac:dyDescent="0.3">
      <c r="A110" s="1" t="s">
        <v>244</v>
      </c>
      <c r="B110" s="2">
        <v>45850.289993865743</v>
      </c>
      <c r="C110" s="2">
        <v>45850.497444108798</v>
      </c>
      <c r="D110" s="1" t="s">
        <v>21</v>
      </c>
      <c r="E110" s="1" t="s">
        <v>18</v>
      </c>
      <c r="F110" s="1" t="s">
        <v>245</v>
      </c>
      <c r="G110" s="1" t="s">
        <v>11</v>
      </c>
      <c r="H110" s="3">
        <f>(help_desk_tickets[[#This Row],[resolution_date]]-help_desk_tickets[[#This Row],[submission_date]])*24</f>
        <v>4.9788058333215304</v>
      </c>
      <c r="I110" s="1" t="str">
        <f>TEXT(help_desk_tickets[[#This Row],[submission_date]],"ddd")</f>
        <v>Sat</v>
      </c>
      <c r="J110" s="1" t="str">
        <f>TEXT(help_desk_tickets[[#This Row],[submission_date]],"mmm")</f>
        <v>Jul</v>
      </c>
      <c r="K110" s="1">
        <f>HOUR(help_desk_tickets[[#This Row],[submission_date]])</f>
        <v>6</v>
      </c>
      <c r="L110" s="1" t="str">
        <f t="shared" si="3"/>
        <v>Performance issue</v>
      </c>
      <c r="M110" s="1"/>
    </row>
    <row r="111" spans="1:13" x14ac:dyDescent="0.3">
      <c r="A111" s="1" t="s">
        <v>246</v>
      </c>
      <c r="B111" s="2">
        <v>45851.016814189818</v>
      </c>
      <c r="C111" s="2">
        <v>45857.933740289351</v>
      </c>
      <c r="D111" s="1" t="s">
        <v>13</v>
      </c>
      <c r="E111" s="1" t="s">
        <v>18</v>
      </c>
      <c r="F111" s="1" t="s">
        <v>247</v>
      </c>
      <c r="G111" s="1" t="s">
        <v>29</v>
      </c>
      <c r="H111" s="3">
        <f>(help_desk_tickets[[#This Row],[resolution_date]]-help_desk_tickets[[#This Row],[submission_date]])*24</f>
        <v>166.00622638879577</v>
      </c>
      <c r="I111" s="1" t="str">
        <f>TEXT(help_desk_tickets[[#This Row],[submission_date]],"ddd")</f>
        <v>Sun</v>
      </c>
      <c r="J111" s="1" t="str">
        <f>TEXT(help_desk_tickets[[#This Row],[submission_date]],"mmm")</f>
        <v>Jul</v>
      </c>
      <c r="K111" s="1">
        <f>HOUR(help_desk_tickets[[#This Row],[submission_date]])</f>
        <v>0</v>
      </c>
      <c r="L111" s="1" t="str">
        <f t="shared" si="3"/>
        <v>Login issue</v>
      </c>
      <c r="M111" s="1"/>
    </row>
    <row r="112" spans="1:13" x14ac:dyDescent="0.3">
      <c r="A112" s="1" t="s">
        <v>248</v>
      </c>
      <c r="B112" s="2">
        <v>45852.247494606483</v>
      </c>
      <c r="C112" s="2">
        <v>45852.524899652781</v>
      </c>
      <c r="D112" s="1" t="s">
        <v>31</v>
      </c>
      <c r="E112" s="1" t="s">
        <v>42</v>
      </c>
      <c r="F112" s="1" t="s">
        <v>249</v>
      </c>
      <c r="G112" s="1" t="s">
        <v>11</v>
      </c>
      <c r="H112" s="3">
        <f>(help_desk_tickets[[#This Row],[resolution_date]]-help_desk_tickets[[#This Row],[submission_date]])*24</f>
        <v>6.6577211111434735</v>
      </c>
      <c r="I112" s="1" t="str">
        <f>TEXT(help_desk_tickets[[#This Row],[submission_date]],"ddd")</f>
        <v>Mon</v>
      </c>
      <c r="J112" s="1" t="str">
        <f>TEXT(help_desk_tickets[[#This Row],[submission_date]],"mmm")</f>
        <v>Jul</v>
      </c>
      <c r="K112" s="1">
        <f>HOUR(help_desk_tickets[[#This Row],[submission_date]])</f>
        <v>5</v>
      </c>
      <c r="L112" s="1" t="str">
        <f t="shared" si="3"/>
        <v>Password Issue</v>
      </c>
      <c r="M112" s="1"/>
    </row>
    <row r="113" spans="1:13" x14ac:dyDescent="0.3">
      <c r="A113" s="1" t="s">
        <v>250</v>
      </c>
      <c r="B113" s="2">
        <v>45897.479103912039</v>
      </c>
      <c r="C113" s="2">
        <v>45904.444584282406</v>
      </c>
      <c r="D113" s="1" t="s">
        <v>13</v>
      </c>
      <c r="E113" s="1" t="s">
        <v>18</v>
      </c>
      <c r="F113" s="1" t="s">
        <v>251</v>
      </c>
      <c r="G113" s="1" t="s">
        <v>29</v>
      </c>
      <c r="H113" s="3">
        <f>(help_desk_tickets[[#This Row],[resolution_date]]-help_desk_tickets[[#This Row],[submission_date]])*24</f>
        <v>167.1715288888081</v>
      </c>
      <c r="I113" s="1" t="str">
        <f>TEXT(help_desk_tickets[[#This Row],[submission_date]],"ddd")</f>
        <v>Thu</v>
      </c>
      <c r="J113" s="1" t="str">
        <f>TEXT(help_desk_tickets[[#This Row],[submission_date]],"mmm")</f>
        <v>Aug</v>
      </c>
      <c r="K113" s="1">
        <f>HOUR(help_desk_tickets[[#This Row],[submission_date]])</f>
        <v>11</v>
      </c>
      <c r="L113" s="1" t="str">
        <f t="shared" si="3"/>
        <v>Login issue</v>
      </c>
      <c r="M113" s="1"/>
    </row>
    <row r="114" spans="1:13" x14ac:dyDescent="0.3">
      <c r="A114" s="1" t="s">
        <v>252</v>
      </c>
      <c r="B114" s="2">
        <v>45897.33485097222</v>
      </c>
      <c r="C114" s="2">
        <v>45902.195088425928</v>
      </c>
      <c r="D114" s="1" t="s">
        <v>60</v>
      </c>
      <c r="E114" s="1" t="s">
        <v>14</v>
      </c>
      <c r="F114" s="1" t="s">
        <v>253</v>
      </c>
      <c r="G114" s="1" t="s">
        <v>29</v>
      </c>
      <c r="H114" s="3">
        <f>(help_desk_tickets[[#This Row],[resolution_date]]-help_desk_tickets[[#This Row],[submission_date]])*24</f>
        <v>116.64569888898404</v>
      </c>
      <c r="I114" s="1" t="str">
        <f>TEXT(help_desk_tickets[[#This Row],[submission_date]],"ddd")</f>
        <v>Thu</v>
      </c>
      <c r="J114" s="1" t="str">
        <f>TEXT(help_desk_tickets[[#This Row],[submission_date]],"mmm")</f>
        <v>Aug</v>
      </c>
      <c r="K114" s="1">
        <f>HOUR(help_desk_tickets[[#This Row],[submission_date]])</f>
        <v>8</v>
      </c>
      <c r="L114" s="1" t="str">
        <f t="shared" si="3"/>
        <v>Other</v>
      </c>
      <c r="M114" s="1"/>
    </row>
    <row r="115" spans="1:13" x14ac:dyDescent="0.3">
      <c r="A115" s="1" t="s">
        <v>254</v>
      </c>
      <c r="B115" s="2">
        <v>45889.47208496528</v>
      </c>
      <c r="C115" s="2">
        <v>45889.563600474539</v>
      </c>
      <c r="D115" s="1" t="s">
        <v>21</v>
      </c>
      <c r="E115" s="1" t="s">
        <v>22</v>
      </c>
      <c r="F115" s="1" t="s">
        <v>255</v>
      </c>
      <c r="G115" s="1" t="s">
        <v>11</v>
      </c>
      <c r="H115" s="3">
        <f>(help_desk_tickets[[#This Row],[resolution_date]]-help_desk_tickets[[#This Row],[submission_date]])*24</f>
        <v>2.1963722222135402</v>
      </c>
      <c r="I115" s="1" t="str">
        <f>TEXT(help_desk_tickets[[#This Row],[submission_date]],"ddd")</f>
        <v>Wed</v>
      </c>
      <c r="J115" s="1" t="str">
        <f>TEXT(help_desk_tickets[[#This Row],[submission_date]],"mmm")</f>
        <v>Aug</v>
      </c>
      <c r="K115" s="1">
        <f>HOUR(help_desk_tickets[[#This Row],[submission_date]])</f>
        <v>11</v>
      </c>
      <c r="L115" s="1" t="str">
        <f t="shared" si="3"/>
        <v>Performance issue</v>
      </c>
      <c r="M115" s="1"/>
    </row>
    <row r="116" spans="1:13" x14ac:dyDescent="0.3">
      <c r="A116" s="1" t="s">
        <v>256</v>
      </c>
      <c r="B116" s="2">
        <v>45834.277258090275</v>
      </c>
      <c r="C116" s="2">
        <v>45834.880186087961</v>
      </c>
      <c r="D116" s="1" t="s">
        <v>8</v>
      </c>
      <c r="E116" s="1" t="s">
        <v>25</v>
      </c>
      <c r="F116" s="1" t="s">
        <v>257</v>
      </c>
      <c r="G116" s="1" t="s">
        <v>16</v>
      </c>
      <c r="H116" s="3">
        <f>(help_desk_tickets[[#This Row],[resolution_date]]-help_desk_tickets[[#This Row],[submission_date]])*24</f>
        <v>14.470271944475826</v>
      </c>
      <c r="I116" s="1" t="str">
        <f>TEXT(help_desk_tickets[[#This Row],[submission_date]],"ddd")</f>
        <v>Thu</v>
      </c>
      <c r="J116" s="1" t="str">
        <f>TEXT(help_desk_tickets[[#This Row],[submission_date]],"mmm")</f>
        <v>Jun</v>
      </c>
      <c r="K116" s="1">
        <f>HOUR(help_desk_tickets[[#This Row],[submission_date]])</f>
        <v>6</v>
      </c>
      <c r="L116" s="1" t="str">
        <f t="shared" si="3"/>
        <v>Other</v>
      </c>
      <c r="M116" s="1"/>
    </row>
    <row r="117" spans="1:13" x14ac:dyDescent="0.3">
      <c r="A117" s="1" t="s">
        <v>258</v>
      </c>
      <c r="B117" s="2">
        <v>45904.00158491898</v>
      </c>
      <c r="C117" s="2">
        <v>45908.743610995371</v>
      </c>
      <c r="D117" s="1" t="s">
        <v>31</v>
      </c>
      <c r="E117" s="1" t="s">
        <v>55</v>
      </c>
      <c r="F117" s="1" t="s">
        <v>259</v>
      </c>
      <c r="G117" s="1" t="s">
        <v>29</v>
      </c>
      <c r="H117" s="3">
        <f>(help_desk_tickets[[#This Row],[resolution_date]]-help_desk_tickets[[#This Row],[submission_date]])*24</f>
        <v>113.8086258333642</v>
      </c>
      <c r="I117" s="1" t="str">
        <f>TEXT(help_desk_tickets[[#This Row],[submission_date]],"ddd")</f>
        <v>Thu</v>
      </c>
      <c r="J117" s="1" t="str">
        <f>TEXT(help_desk_tickets[[#This Row],[submission_date]],"mmm")</f>
        <v>Sep</v>
      </c>
      <c r="K117" s="1">
        <f>HOUR(help_desk_tickets[[#This Row],[submission_date]])</f>
        <v>0</v>
      </c>
      <c r="L117" s="1" t="str">
        <f t="shared" si="3"/>
        <v>Password Issue</v>
      </c>
      <c r="M117" s="1"/>
    </row>
    <row r="118" spans="1:13" x14ac:dyDescent="0.3">
      <c r="A118" s="1" t="s">
        <v>260</v>
      </c>
      <c r="B118" s="2">
        <v>45852.145348530095</v>
      </c>
      <c r="C118" s="2">
        <v>45853.493291354163</v>
      </c>
      <c r="D118" s="1" t="s">
        <v>13</v>
      </c>
      <c r="E118" s="1" t="s">
        <v>18</v>
      </c>
      <c r="F118" s="1" t="s">
        <v>261</v>
      </c>
      <c r="G118" s="1" t="s">
        <v>16</v>
      </c>
      <c r="H118" s="3">
        <f>(help_desk_tickets[[#This Row],[resolution_date]]-help_desk_tickets[[#This Row],[submission_date]])*24</f>
        <v>32.350627777632326</v>
      </c>
      <c r="I118" s="1" t="str">
        <f>TEXT(help_desk_tickets[[#This Row],[submission_date]],"ddd")</f>
        <v>Mon</v>
      </c>
      <c r="J118" s="1" t="str">
        <f>TEXT(help_desk_tickets[[#This Row],[submission_date]],"mmm")</f>
        <v>Jul</v>
      </c>
      <c r="K118" s="1">
        <f>HOUR(help_desk_tickets[[#This Row],[submission_date]])</f>
        <v>3</v>
      </c>
      <c r="L118" s="1" t="str">
        <f t="shared" si="3"/>
        <v>Login issue</v>
      </c>
      <c r="M118" s="1"/>
    </row>
    <row r="119" spans="1:13" x14ac:dyDescent="0.3">
      <c r="A119" s="1" t="s">
        <v>262</v>
      </c>
      <c r="B119" s="2">
        <v>45862.277817835646</v>
      </c>
      <c r="C119" s="2">
        <v>45864.09636747685</v>
      </c>
      <c r="D119" s="1" t="s">
        <v>31</v>
      </c>
      <c r="E119" s="1" t="s">
        <v>46</v>
      </c>
      <c r="F119" s="1" t="s">
        <v>263</v>
      </c>
      <c r="G119" s="1" t="s">
        <v>16</v>
      </c>
      <c r="H119" s="3">
        <f>(help_desk_tickets[[#This Row],[resolution_date]]-help_desk_tickets[[#This Row],[submission_date]])*24</f>
        <v>43.645191388903186</v>
      </c>
      <c r="I119" s="1" t="str">
        <f>TEXT(help_desk_tickets[[#This Row],[submission_date]],"ddd")</f>
        <v>Thu</v>
      </c>
      <c r="J119" s="1" t="str">
        <f>TEXT(help_desk_tickets[[#This Row],[submission_date]],"mmm")</f>
        <v>Jul</v>
      </c>
      <c r="K119" s="1">
        <f>HOUR(help_desk_tickets[[#This Row],[submission_date]])</f>
        <v>6</v>
      </c>
      <c r="L119" s="1" t="str">
        <f t="shared" si="3"/>
        <v>Password Issue</v>
      </c>
      <c r="M119" s="1"/>
    </row>
    <row r="120" spans="1:13" x14ac:dyDescent="0.3">
      <c r="A120" s="1" t="s">
        <v>264</v>
      </c>
      <c r="B120" s="2">
        <v>45872.946095925923</v>
      </c>
      <c r="C120" s="2">
        <v>45879.541631342596</v>
      </c>
      <c r="D120" s="1" t="s">
        <v>81</v>
      </c>
      <c r="E120" s="1" t="s">
        <v>32</v>
      </c>
      <c r="F120" s="1" t="s">
        <v>265</v>
      </c>
      <c r="G120" s="1" t="s">
        <v>29</v>
      </c>
      <c r="H120" s="3">
        <f>(help_desk_tickets[[#This Row],[resolution_date]]-help_desk_tickets[[#This Row],[submission_date]])*24</f>
        <v>158.29285000014352</v>
      </c>
      <c r="I120" s="1" t="str">
        <f>TEXT(help_desk_tickets[[#This Row],[submission_date]],"ddd")</f>
        <v>Sun</v>
      </c>
      <c r="J120" s="1" t="str">
        <f>TEXT(help_desk_tickets[[#This Row],[submission_date]],"mmm")</f>
        <v>Aug</v>
      </c>
      <c r="K120" s="1">
        <f>HOUR(help_desk_tickets[[#This Row],[submission_date]])</f>
        <v>22</v>
      </c>
      <c r="L120" s="1" t="str">
        <f t="shared" si="3"/>
        <v>Other</v>
      </c>
      <c r="M120" s="1"/>
    </row>
    <row r="121" spans="1:13" x14ac:dyDescent="0.3">
      <c r="A121" s="1" t="s">
        <v>266</v>
      </c>
      <c r="B121" s="2">
        <v>45850.010814965281</v>
      </c>
      <c r="C121" s="2">
        <v>45850.795333125003</v>
      </c>
      <c r="D121" s="1" t="s">
        <v>21</v>
      </c>
      <c r="E121" s="1" t="s">
        <v>14</v>
      </c>
      <c r="F121" s="1" t="s">
        <v>267</v>
      </c>
      <c r="G121" s="1" t="s">
        <v>16</v>
      </c>
      <c r="H121" s="3">
        <f>(help_desk_tickets[[#This Row],[resolution_date]]-help_desk_tickets[[#This Row],[submission_date]])*24</f>
        <v>18.82843583333306</v>
      </c>
      <c r="I121" s="1" t="str">
        <f>TEXT(help_desk_tickets[[#This Row],[submission_date]],"ddd")</f>
        <v>Sat</v>
      </c>
      <c r="J121" s="1" t="str">
        <f>TEXT(help_desk_tickets[[#This Row],[submission_date]],"mmm")</f>
        <v>Jul</v>
      </c>
      <c r="K121" s="1">
        <f>HOUR(help_desk_tickets[[#This Row],[submission_date]])</f>
        <v>0</v>
      </c>
      <c r="L121" s="1" t="str">
        <f t="shared" si="3"/>
        <v>Performance issue</v>
      </c>
      <c r="M121" s="1"/>
    </row>
    <row r="122" spans="1:13" x14ac:dyDescent="0.3">
      <c r="A122" s="1" t="s">
        <v>268</v>
      </c>
      <c r="B122" s="2">
        <v>45857.543304513893</v>
      </c>
      <c r="C122" s="2">
        <v>45858.309298773151</v>
      </c>
      <c r="D122" s="1" t="s">
        <v>8</v>
      </c>
      <c r="E122" s="1" t="s">
        <v>25</v>
      </c>
      <c r="F122" s="1" t="s">
        <v>269</v>
      </c>
      <c r="G122" s="1" t="s">
        <v>16</v>
      </c>
      <c r="H122" s="3">
        <f>(help_desk_tickets[[#This Row],[resolution_date]]-help_desk_tickets[[#This Row],[submission_date]])*24</f>
        <v>18.383862222195603</v>
      </c>
      <c r="I122" s="1" t="str">
        <f>TEXT(help_desk_tickets[[#This Row],[submission_date]],"ddd")</f>
        <v>Sat</v>
      </c>
      <c r="J122" s="1" t="str">
        <f>TEXT(help_desk_tickets[[#This Row],[submission_date]],"mmm")</f>
        <v>Jul</v>
      </c>
      <c r="K122" s="1">
        <f>HOUR(help_desk_tickets[[#This Row],[submission_date]])</f>
        <v>13</v>
      </c>
      <c r="L122" s="1" t="str">
        <f t="shared" si="3"/>
        <v>Other</v>
      </c>
      <c r="M122" s="1"/>
    </row>
    <row r="123" spans="1:13" x14ac:dyDescent="0.3">
      <c r="A123" s="1" t="s">
        <v>270</v>
      </c>
      <c r="B123" s="2">
        <v>45837.839233391205</v>
      </c>
      <c r="C123" s="2">
        <v>45838.43869422454</v>
      </c>
      <c r="D123" s="1" t="s">
        <v>31</v>
      </c>
      <c r="E123" s="1" t="s">
        <v>42</v>
      </c>
      <c r="F123" s="1" t="s">
        <v>271</v>
      </c>
      <c r="G123" s="1" t="s">
        <v>16</v>
      </c>
      <c r="H123" s="3">
        <f>(help_desk_tickets[[#This Row],[resolution_date]]-help_desk_tickets[[#This Row],[submission_date]])*24</f>
        <v>14.387060000037309</v>
      </c>
      <c r="I123" s="1" t="str">
        <f>TEXT(help_desk_tickets[[#This Row],[submission_date]],"ddd")</f>
        <v>Sun</v>
      </c>
      <c r="J123" s="1" t="str">
        <f>TEXT(help_desk_tickets[[#This Row],[submission_date]],"mmm")</f>
        <v>Jun</v>
      </c>
      <c r="K123" s="1">
        <f>HOUR(help_desk_tickets[[#This Row],[submission_date]])</f>
        <v>20</v>
      </c>
      <c r="L123" s="1" t="str">
        <f t="shared" si="3"/>
        <v>Password Issue</v>
      </c>
      <c r="M123" s="1"/>
    </row>
    <row r="124" spans="1:13" x14ac:dyDescent="0.3">
      <c r="A124" s="1" t="s">
        <v>272</v>
      </c>
      <c r="B124" s="2">
        <v>45867.618249074076</v>
      </c>
      <c r="C124" s="2">
        <v>45868.392216446759</v>
      </c>
      <c r="D124" s="1" t="s">
        <v>13</v>
      </c>
      <c r="E124" s="1" t="s">
        <v>9</v>
      </c>
      <c r="F124" s="1" t="s">
        <v>273</v>
      </c>
      <c r="G124" s="1" t="s">
        <v>16</v>
      </c>
      <c r="H124" s="3">
        <f>(help_desk_tickets[[#This Row],[resolution_date]]-help_desk_tickets[[#This Row],[submission_date]])*24</f>
        <v>18.575216944387648</v>
      </c>
      <c r="I124" s="1" t="str">
        <f>TEXT(help_desk_tickets[[#This Row],[submission_date]],"ddd")</f>
        <v>Tue</v>
      </c>
      <c r="J124" s="1" t="str">
        <f>TEXT(help_desk_tickets[[#This Row],[submission_date]],"mmm")</f>
        <v>Jul</v>
      </c>
      <c r="K124" s="1">
        <f>HOUR(help_desk_tickets[[#This Row],[submission_date]])</f>
        <v>14</v>
      </c>
      <c r="L124" s="1" t="str">
        <f t="shared" si="3"/>
        <v>Login issue</v>
      </c>
      <c r="M124" s="1"/>
    </row>
    <row r="125" spans="1:13" x14ac:dyDescent="0.3">
      <c r="A125" s="1" t="s">
        <v>274</v>
      </c>
      <c r="B125" s="2">
        <v>45888.049664398146</v>
      </c>
      <c r="C125" s="2">
        <v>45889.796211516201</v>
      </c>
      <c r="D125" s="1" t="s">
        <v>45</v>
      </c>
      <c r="E125" s="1" t="s">
        <v>14</v>
      </c>
      <c r="F125" s="1" t="s">
        <v>275</v>
      </c>
      <c r="G125" s="1" t="s">
        <v>16</v>
      </c>
      <c r="H125" s="3">
        <f>(help_desk_tickets[[#This Row],[resolution_date]]-help_desk_tickets[[#This Row],[submission_date]])*24</f>
        <v>41.91713083331706</v>
      </c>
      <c r="I125" s="1" t="str">
        <f>TEXT(help_desk_tickets[[#This Row],[submission_date]],"ddd")</f>
        <v>Tue</v>
      </c>
      <c r="J125" s="1" t="str">
        <f>TEXT(help_desk_tickets[[#This Row],[submission_date]],"mmm")</f>
        <v>Aug</v>
      </c>
      <c r="K125" s="1">
        <f>HOUR(help_desk_tickets[[#This Row],[submission_date]])</f>
        <v>1</v>
      </c>
      <c r="L125" s="1" t="str">
        <f t="shared" si="3"/>
        <v>Network issues</v>
      </c>
      <c r="M125" s="1"/>
    </row>
    <row r="126" spans="1:13" x14ac:dyDescent="0.3">
      <c r="A126" s="1" t="s">
        <v>276</v>
      </c>
      <c r="B126" s="2">
        <v>45833.252764166667</v>
      </c>
      <c r="C126" s="2">
        <v>45833.782323101848</v>
      </c>
      <c r="D126" s="1" t="s">
        <v>81</v>
      </c>
      <c r="E126" s="1" t="s">
        <v>55</v>
      </c>
      <c r="F126" s="1" t="s">
        <v>277</v>
      </c>
      <c r="G126" s="1" t="s">
        <v>16</v>
      </c>
      <c r="H126" s="3">
        <f>(help_desk_tickets[[#This Row],[resolution_date]]-help_desk_tickets[[#This Row],[submission_date]])*24</f>
        <v>12.709414444339927</v>
      </c>
      <c r="I126" s="1" t="str">
        <f>TEXT(help_desk_tickets[[#This Row],[submission_date]],"ddd")</f>
        <v>Wed</v>
      </c>
      <c r="J126" s="1" t="str">
        <f>TEXT(help_desk_tickets[[#This Row],[submission_date]],"mmm")</f>
        <v>Jun</v>
      </c>
      <c r="K126" s="1">
        <f>HOUR(help_desk_tickets[[#This Row],[submission_date]])</f>
        <v>6</v>
      </c>
      <c r="L126" s="1" t="str">
        <f t="shared" si="3"/>
        <v>Other</v>
      </c>
      <c r="M126" s="1"/>
    </row>
    <row r="127" spans="1:13" x14ac:dyDescent="0.3">
      <c r="A127" s="1" t="s">
        <v>278</v>
      </c>
      <c r="B127" s="2">
        <v>45871.769415833332</v>
      </c>
      <c r="C127" s="2">
        <v>45872.507896226853</v>
      </c>
      <c r="D127" s="1" t="s">
        <v>81</v>
      </c>
      <c r="E127" s="1" t="s">
        <v>22</v>
      </c>
      <c r="F127" s="1" t="s">
        <v>279</v>
      </c>
      <c r="G127" s="1" t="s">
        <v>16</v>
      </c>
      <c r="H127" s="3">
        <f>(help_desk_tickets[[#This Row],[resolution_date]]-help_desk_tickets[[#This Row],[submission_date]])*24</f>
        <v>17.723529444483574</v>
      </c>
      <c r="I127" s="1" t="str">
        <f>TEXT(help_desk_tickets[[#This Row],[submission_date]],"ddd")</f>
        <v>Sat</v>
      </c>
      <c r="J127" s="1" t="str">
        <f>TEXT(help_desk_tickets[[#This Row],[submission_date]],"mmm")</f>
        <v>Aug</v>
      </c>
      <c r="K127" s="1">
        <f>HOUR(help_desk_tickets[[#This Row],[submission_date]])</f>
        <v>18</v>
      </c>
      <c r="L127" s="1" t="str">
        <f t="shared" si="3"/>
        <v>Other</v>
      </c>
      <c r="M127" s="1"/>
    </row>
    <row r="128" spans="1:13" x14ac:dyDescent="0.3">
      <c r="A128" s="1" t="s">
        <v>280</v>
      </c>
      <c r="B128" s="2">
        <v>45895.01577233796</v>
      </c>
      <c r="C128" s="2">
        <v>45898.961600000002</v>
      </c>
      <c r="D128" s="1" t="s">
        <v>21</v>
      </c>
      <c r="E128" s="1" t="s">
        <v>32</v>
      </c>
      <c r="F128" s="1" t="s">
        <v>281</v>
      </c>
      <c r="G128" s="1" t="s">
        <v>29</v>
      </c>
      <c r="H128" s="3">
        <f>(help_desk_tickets[[#This Row],[resolution_date]]-help_desk_tickets[[#This Row],[submission_date]])*24</f>
        <v>94.699863889021799</v>
      </c>
      <c r="I128" s="1" t="str">
        <f>TEXT(help_desk_tickets[[#This Row],[submission_date]],"ddd")</f>
        <v>Tue</v>
      </c>
      <c r="J128" s="1" t="str">
        <f>TEXT(help_desk_tickets[[#This Row],[submission_date]],"mmm")</f>
        <v>Aug</v>
      </c>
      <c r="K128" s="1">
        <f>HOUR(help_desk_tickets[[#This Row],[submission_date]])</f>
        <v>0</v>
      </c>
      <c r="L128" s="1" t="str">
        <f t="shared" si="3"/>
        <v>Performance issue</v>
      </c>
      <c r="M128" s="1"/>
    </row>
    <row r="129" spans="1:13" x14ac:dyDescent="0.3">
      <c r="A129" s="1" t="s">
        <v>282</v>
      </c>
      <c r="B129" s="2">
        <v>45855.641187465277</v>
      </c>
      <c r="C129" s="2">
        <v>45860.058005162035</v>
      </c>
      <c r="D129" s="1" t="s">
        <v>13</v>
      </c>
      <c r="E129" s="1" t="s">
        <v>55</v>
      </c>
      <c r="F129" s="1" t="s">
        <v>283</v>
      </c>
      <c r="G129" s="1" t="s">
        <v>29</v>
      </c>
      <c r="H129" s="3">
        <f>(help_desk_tickets[[#This Row],[resolution_date]]-help_desk_tickets[[#This Row],[submission_date]])*24</f>
        <v>106.00362472218694</v>
      </c>
      <c r="I129" s="1" t="str">
        <f>TEXT(help_desk_tickets[[#This Row],[submission_date]],"ddd")</f>
        <v>Thu</v>
      </c>
      <c r="J129" s="1" t="str">
        <f>TEXT(help_desk_tickets[[#This Row],[submission_date]],"mmm")</f>
        <v>Jul</v>
      </c>
      <c r="K129" s="1">
        <f>HOUR(help_desk_tickets[[#This Row],[submission_date]])</f>
        <v>15</v>
      </c>
      <c r="L129" s="1" t="str">
        <f t="shared" si="3"/>
        <v>Login issue</v>
      </c>
      <c r="M129" s="1"/>
    </row>
    <row r="130" spans="1:13" x14ac:dyDescent="0.3">
      <c r="A130" s="1" t="s">
        <v>284</v>
      </c>
      <c r="B130" s="2">
        <v>45909.709815706017</v>
      </c>
      <c r="C130" s="2">
        <v>45910.054590312502</v>
      </c>
      <c r="D130" s="1" t="s">
        <v>45</v>
      </c>
      <c r="E130" s="1" t="s">
        <v>18</v>
      </c>
      <c r="F130" s="1" t="s">
        <v>285</v>
      </c>
      <c r="G130" s="1" t="s">
        <v>11</v>
      </c>
      <c r="H130" s="3">
        <f>(help_desk_tickets[[#This Row],[resolution_date]]-help_desk_tickets[[#This Row],[submission_date]])*24</f>
        <v>8.2745905556366779</v>
      </c>
      <c r="I130" s="1" t="str">
        <f>TEXT(help_desk_tickets[[#This Row],[submission_date]],"ddd")</f>
        <v>Tue</v>
      </c>
      <c r="J130" s="1" t="str">
        <f>TEXT(help_desk_tickets[[#This Row],[submission_date]],"mmm")</f>
        <v>Sep</v>
      </c>
      <c r="K130" s="1">
        <f>HOUR(help_desk_tickets[[#This Row],[submission_date]])</f>
        <v>17</v>
      </c>
      <c r="L130" s="1" t="str">
        <f t="shared" ref="L130:L151" si="4">IF(ISNUMBER(SEARCH("password",F130)),"Password Issue",IF(ISNUMBER(SEARCH("network",F130)),"Network issue",IF(ISNUMBER(SEARCH("internet",F130)),"Network issues",IF(ISNUMBER(SEARCH("crashing",F130)),"Login issue",IF(ISNUMBER(SEARCH("stuck",F130)),"Performance issue","Other")))))</f>
        <v>Network issues</v>
      </c>
      <c r="M130" s="1"/>
    </row>
    <row r="131" spans="1:13" x14ac:dyDescent="0.3">
      <c r="A131" s="1" t="s">
        <v>286</v>
      </c>
      <c r="B131" s="2">
        <v>45906.729388564818</v>
      </c>
      <c r="C131" s="2">
        <v>45908.672971944441</v>
      </c>
      <c r="D131" s="1" t="s">
        <v>8</v>
      </c>
      <c r="E131" s="1" t="s">
        <v>14</v>
      </c>
      <c r="F131" s="1" t="s">
        <v>287</v>
      </c>
      <c r="G131" s="1" t="s">
        <v>16</v>
      </c>
      <c r="H131" s="3">
        <f>(help_desk_tickets[[#This Row],[resolution_date]]-help_desk_tickets[[#This Row],[submission_date]])*24</f>
        <v>46.646001110959332</v>
      </c>
      <c r="I131" s="1" t="str">
        <f>TEXT(help_desk_tickets[[#This Row],[submission_date]],"ddd")</f>
        <v>Sat</v>
      </c>
      <c r="J131" s="1" t="str">
        <f>TEXT(help_desk_tickets[[#This Row],[submission_date]],"mmm")</f>
        <v>Sep</v>
      </c>
      <c r="K131" s="1">
        <f>HOUR(help_desk_tickets[[#This Row],[submission_date]])</f>
        <v>17</v>
      </c>
      <c r="L131" s="1" t="str">
        <f t="shared" si="4"/>
        <v>Other</v>
      </c>
      <c r="M131" s="1"/>
    </row>
    <row r="132" spans="1:13" x14ac:dyDescent="0.3">
      <c r="A132" s="1" t="s">
        <v>288</v>
      </c>
      <c r="B132" s="2">
        <v>45910.871020706021</v>
      </c>
      <c r="C132" s="2">
        <v>45912.692476354168</v>
      </c>
      <c r="D132" s="1" t="s">
        <v>81</v>
      </c>
      <c r="E132" s="1" t="s">
        <v>35</v>
      </c>
      <c r="F132" s="1" t="s">
        <v>289</v>
      </c>
      <c r="G132" s="1" t="s">
        <v>29</v>
      </c>
      <c r="H132" s="3">
        <f>(help_desk_tickets[[#This Row],[resolution_date]]-help_desk_tickets[[#This Row],[submission_date]])*24</f>
        <v>43.714935555530246</v>
      </c>
      <c r="I132" s="1" t="str">
        <f>TEXT(help_desk_tickets[[#This Row],[submission_date]],"ddd")</f>
        <v>Wed</v>
      </c>
      <c r="J132" s="1" t="str">
        <f>TEXT(help_desk_tickets[[#This Row],[submission_date]],"mmm")</f>
        <v>Sep</v>
      </c>
      <c r="K132" s="1">
        <f>HOUR(help_desk_tickets[[#This Row],[submission_date]])</f>
        <v>20</v>
      </c>
      <c r="L132" s="1" t="str">
        <f t="shared" si="4"/>
        <v>Other</v>
      </c>
      <c r="M132" s="1"/>
    </row>
    <row r="133" spans="1:13" x14ac:dyDescent="0.3">
      <c r="A133" s="1" t="s">
        <v>290</v>
      </c>
      <c r="B133" s="2">
        <v>45879.520755289355</v>
      </c>
      <c r="C133" s="2">
        <v>45883.389230601853</v>
      </c>
      <c r="D133" s="1" t="s">
        <v>81</v>
      </c>
      <c r="E133" s="1" t="s">
        <v>18</v>
      </c>
      <c r="F133" s="1" t="s">
        <v>291</v>
      </c>
      <c r="G133" s="1" t="s">
        <v>29</v>
      </c>
      <c r="H133" s="3">
        <f>(help_desk_tickets[[#This Row],[resolution_date]]-help_desk_tickets[[#This Row],[submission_date]])*24</f>
        <v>92.843407499953173</v>
      </c>
      <c r="I133" s="1" t="str">
        <f>TEXT(help_desk_tickets[[#This Row],[submission_date]],"ddd")</f>
        <v>Sun</v>
      </c>
      <c r="J133" s="1" t="str">
        <f>TEXT(help_desk_tickets[[#This Row],[submission_date]],"mmm")</f>
        <v>Aug</v>
      </c>
      <c r="K133" s="1">
        <f>HOUR(help_desk_tickets[[#This Row],[submission_date]])</f>
        <v>12</v>
      </c>
      <c r="L133" s="1" t="str">
        <f t="shared" si="4"/>
        <v>Other</v>
      </c>
      <c r="M133" s="1"/>
    </row>
    <row r="134" spans="1:13" x14ac:dyDescent="0.3">
      <c r="A134" s="1" t="s">
        <v>292</v>
      </c>
      <c r="B134" s="2">
        <v>45907.109921354167</v>
      </c>
      <c r="C134" s="2">
        <v>45910.587372002316</v>
      </c>
      <c r="D134" s="1" t="s">
        <v>8</v>
      </c>
      <c r="E134" s="1" t="s">
        <v>42</v>
      </c>
      <c r="F134" s="1" t="s">
        <v>293</v>
      </c>
      <c r="G134" s="1" t="s">
        <v>29</v>
      </c>
      <c r="H134" s="3">
        <f>(help_desk_tickets[[#This Row],[resolution_date]]-help_desk_tickets[[#This Row],[submission_date]])*24</f>
        <v>83.458815555553883</v>
      </c>
      <c r="I134" s="1" t="str">
        <f>TEXT(help_desk_tickets[[#This Row],[submission_date]],"ddd")</f>
        <v>Sun</v>
      </c>
      <c r="J134" s="1" t="str">
        <f>TEXT(help_desk_tickets[[#This Row],[submission_date]],"mmm")</f>
        <v>Sep</v>
      </c>
      <c r="K134" s="1">
        <f>HOUR(help_desk_tickets[[#This Row],[submission_date]])</f>
        <v>2</v>
      </c>
      <c r="L134" s="1" t="str">
        <f t="shared" si="4"/>
        <v>Other</v>
      </c>
      <c r="M134" s="1"/>
    </row>
    <row r="135" spans="1:13" x14ac:dyDescent="0.3">
      <c r="A135" s="1" t="s">
        <v>294</v>
      </c>
      <c r="B135" s="2">
        <v>45859.296687361108</v>
      </c>
      <c r="C135" s="2">
        <v>45859.711959270833</v>
      </c>
      <c r="D135" s="1" t="s">
        <v>31</v>
      </c>
      <c r="E135" s="1" t="s">
        <v>22</v>
      </c>
      <c r="F135" s="1" t="s">
        <v>295</v>
      </c>
      <c r="G135" s="1" t="s">
        <v>11</v>
      </c>
      <c r="H135" s="3">
        <f>(help_desk_tickets[[#This Row],[resolution_date]]-help_desk_tickets[[#This Row],[submission_date]])*24</f>
        <v>9.9665258334134705</v>
      </c>
      <c r="I135" s="1" t="str">
        <f>TEXT(help_desk_tickets[[#This Row],[submission_date]],"ddd")</f>
        <v>Mon</v>
      </c>
      <c r="J135" s="1" t="str">
        <f>TEXT(help_desk_tickets[[#This Row],[submission_date]],"mmm")</f>
        <v>Jul</v>
      </c>
      <c r="K135" s="1">
        <f>HOUR(help_desk_tickets[[#This Row],[submission_date]])</f>
        <v>7</v>
      </c>
      <c r="L135" s="1" t="str">
        <f t="shared" si="4"/>
        <v>Password Issue</v>
      </c>
      <c r="M135" s="1"/>
    </row>
    <row r="136" spans="1:13" x14ac:dyDescent="0.3">
      <c r="A136" s="1" t="s">
        <v>296</v>
      </c>
      <c r="B136" s="2">
        <v>45884.043633356479</v>
      </c>
      <c r="C136" s="2">
        <v>45891.026826412039</v>
      </c>
      <c r="D136" s="1" t="s">
        <v>8</v>
      </c>
      <c r="E136" s="1" t="s">
        <v>32</v>
      </c>
      <c r="F136" s="1" t="s">
        <v>297</v>
      </c>
      <c r="G136" s="1" t="s">
        <v>29</v>
      </c>
      <c r="H136" s="3">
        <f>(help_desk_tickets[[#This Row],[resolution_date]]-help_desk_tickets[[#This Row],[submission_date]])*24</f>
        <v>167.59663333342178</v>
      </c>
      <c r="I136" s="1" t="str">
        <f>TEXT(help_desk_tickets[[#This Row],[submission_date]],"ddd")</f>
        <v>Fri</v>
      </c>
      <c r="J136" s="1" t="str">
        <f>TEXT(help_desk_tickets[[#This Row],[submission_date]],"mmm")</f>
        <v>Aug</v>
      </c>
      <c r="K136" s="1">
        <f>HOUR(help_desk_tickets[[#This Row],[submission_date]])</f>
        <v>1</v>
      </c>
      <c r="L136" s="1" t="str">
        <f t="shared" si="4"/>
        <v>Other</v>
      </c>
      <c r="M136" s="1"/>
    </row>
    <row r="137" spans="1:13" x14ac:dyDescent="0.3">
      <c r="A137" s="1" t="s">
        <v>298</v>
      </c>
      <c r="B137" s="2">
        <v>45832.24807454861</v>
      </c>
      <c r="C137" s="2">
        <v>45837.032086712963</v>
      </c>
      <c r="D137" s="1" t="s">
        <v>60</v>
      </c>
      <c r="E137" s="1" t="s">
        <v>35</v>
      </c>
      <c r="F137" s="1" t="s">
        <v>299</v>
      </c>
      <c r="G137" s="1" t="s">
        <v>29</v>
      </c>
      <c r="H137" s="3">
        <f>(help_desk_tickets[[#This Row],[resolution_date]]-help_desk_tickets[[#This Row],[submission_date]])*24</f>
        <v>114.81629194447305</v>
      </c>
      <c r="I137" s="1" t="str">
        <f>TEXT(help_desk_tickets[[#This Row],[submission_date]],"ddd")</f>
        <v>Tue</v>
      </c>
      <c r="J137" s="1" t="str">
        <f>TEXT(help_desk_tickets[[#This Row],[submission_date]],"mmm")</f>
        <v>Jun</v>
      </c>
      <c r="K137" s="1">
        <f>HOUR(help_desk_tickets[[#This Row],[submission_date]])</f>
        <v>5</v>
      </c>
      <c r="L137" s="1" t="str">
        <f t="shared" si="4"/>
        <v>Other</v>
      </c>
      <c r="M137" s="1"/>
    </row>
    <row r="138" spans="1:13" x14ac:dyDescent="0.3">
      <c r="A138" s="1" t="s">
        <v>300</v>
      </c>
      <c r="B138" s="2">
        <v>45914.743208032407</v>
      </c>
      <c r="C138" s="2">
        <v>45917.991188715278</v>
      </c>
      <c r="D138" s="1" t="s">
        <v>21</v>
      </c>
      <c r="E138" s="1" t="s">
        <v>35</v>
      </c>
      <c r="F138" s="1" t="s">
        <v>301</v>
      </c>
      <c r="G138" s="1" t="s">
        <v>29</v>
      </c>
      <c r="H138" s="3">
        <f>(help_desk_tickets[[#This Row],[resolution_date]]-help_desk_tickets[[#This Row],[submission_date]])*24</f>
        <v>77.951536388893146</v>
      </c>
      <c r="I138" s="1" t="str">
        <f>TEXT(help_desk_tickets[[#This Row],[submission_date]],"ddd")</f>
        <v>Sun</v>
      </c>
      <c r="J138" s="1" t="str">
        <f>TEXT(help_desk_tickets[[#This Row],[submission_date]],"mmm")</f>
        <v>Sep</v>
      </c>
      <c r="K138" s="1">
        <f>HOUR(help_desk_tickets[[#This Row],[submission_date]])</f>
        <v>17</v>
      </c>
      <c r="L138" s="1" t="str">
        <f t="shared" si="4"/>
        <v>Performance issue</v>
      </c>
      <c r="M138" s="1"/>
    </row>
    <row r="139" spans="1:13" x14ac:dyDescent="0.3">
      <c r="A139" s="1" t="s">
        <v>302</v>
      </c>
      <c r="B139" s="2">
        <v>45837.385131620373</v>
      </c>
      <c r="C139" s="2">
        <v>45838.97003300926</v>
      </c>
      <c r="D139" s="1" t="s">
        <v>21</v>
      </c>
      <c r="E139" s="1" t="s">
        <v>14</v>
      </c>
      <c r="F139" s="1" t="s">
        <v>303</v>
      </c>
      <c r="G139" s="1" t="s">
        <v>29</v>
      </c>
      <c r="H139" s="3">
        <f>(help_desk_tickets[[#This Row],[resolution_date]]-help_desk_tickets[[#This Row],[submission_date]])*24</f>
        <v>38.037633333296981</v>
      </c>
      <c r="I139" s="1" t="str">
        <f>TEXT(help_desk_tickets[[#This Row],[submission_date]],"ddd")</f>
        <v>Sun</v>
      </c>
      <c r="J139" s="1" t="str">
        <f>TEXT(help_desk_tickets[[#This Row],[submission_date]],"mmm")</f>
        <v>Jun</v>
      </c>
      <c r="K139" s="1">
        <f>HOUR(help_desk_tickets[[#This Row],[submission_date]])</f>
        <v>9</v>
      </c>
      <c r="L139" s="1" t="str">
        <f t="shared" si="4"/>
        <v>Performance issue</v>
      </c>
      <c r="M139" s="1"/>
    </row>
    <row r="140" spans="1:13" x14ac:dyDescent="0.3">
      <c r="A140" s="1" t="s">
        <v>304</v>
      </c>
      <c r="B140" s="2">
        <v>45888.55747201389</v>
      </c>
      <c r="C140" s="2">
        <v>45889.528593055555</v>
      </c>
      <c r="D140" s="1" t="s">
        <v>13</v>
      </c>
      <c r="E140" s="1" t="s">
        <v>9</v>
      </c>
      <c r="F140" s="1" t="s">
        <v>305</v>
      </c>
      <c r="G140" s="1" t="s">
        <v>16</v>
      </c>
      <c r="H140" s="3">
        <f>(help_desk_tickets[[#This Row],[resolution_date]]-help_desk_tickets[[#This Row],[submission_date]])*24</f>
        <v>23.30690499994671</v>
      </c>
      <c r="I140" s="1" t="str">
        <f>TEXT(help_desk_tickets[[#This Row],[submission_date]],"ddd")</f>
        <v>Tue</v>
      </c>
      <c r="J140" s="1" t="str">
        <f>TEXT(help_desk_tickets[[#This Row],[submission_date]],"mmm")</f>
        <v>Aug</v>
      </c>
      <c r="K140" s="1">
        <f>HOUR(help_desk_tickets[[#This Row],[submission_date]])</f>
        <v>13</v>
      </c>
      <c r="L140" s="1" t="str">
        <f t="shared" si="4"/>
        <v>Login issue</v>
      </c>
      <c r="M140" s="1"/>
    </row>
    <row r="141" spans="1:13" x14ac:dyDescent="0.3">
      <c r="A141" s="1" t="s">
        <v>306</v>
      </c>
      <c r="B141" s="2">
        <v>45890.610338877312</v>
      </c>
      <c r="C141" s="2">
        <v>45896.433827534725</v>
      </c>
      <c r="D141" s="1" t="s">
        <v>45</v>
      </c>
      <c r="E141" s="1" t="s">
        <v>35</v>
      </c>
      <c r="F141" s="1" t="s">
        <v>307</v>
      </c>
      <c r="G141" s="1" t="s">
        <v>29</v>
      </c>
      <c r="H141" s="3">
        <f>(help_desk_tickets[[#This Row],[resolution_date]]-help_desk_tickets[[#This Row],[submission_date]])*24</f>
        <v>139.76372777792858</v>
      </c>
      <c r="I141" s="1" t="str">
        <f>TEXT(help_desk_tickets[[#This Row],[submission_date]],"ddd")</f>
        <v>Thu</v>
      </c>
      <c r="J141" s="1" t="str">
        <f>TEXT(help_desk_tickets[[#This Row],[submission_date]],"mmm")</f>
        <v>Aug</v>
      </c>
      <c r="K141" s="1">
        <f>HOUR(help_desk_tickets[[#This Row],[submission_date]])</f>
        <v>14</v>
      </c>
      <c r="L141" s="1" t="str">
        <f t="shared" si="4"/>
        <v>Network issues</v>
      </c>
      <c r="M141" s="1"/>
    </row>
    <row r="142" spans="1:13" x14ac:dyDescent="0.3">
      <c r="A142" s="1" t="s">
        <v>308</v>
      </c>
      <c r="B142" s="2">
        <v>45874.456965671299</v>
      </c>
      <c r="C142" s="2">
        <v>45875.076861168978</v>
      </c>
      <c r="D142" s="1" t="s">
        <v>21</v>
      </c>
      <c r="E142" s="1" t="s">
        <v>46</v>
      </c>
      <c r="F142" s="1" t="s">
        <v>309</v>
      </c>
      <c r="G142" s="1" t="s">
        <v>16</v>
      </c>
      <c r="H142" s="3">
        <f>(help_desk_tickets[[#This Row],[resolution_date]]-help_desk_tickets[[#This Row],[submission_date]])*24</f>
        <v>14.877491944294889</v>
      </c>
      <c r="I142" s="1" t="str">
        <f>TEXT(help_desk_tickets[[#This Row],[submission_date]],"ddd")</f>
        <v>Tue</v>
      </c>
      <c r="J142" s="1" t="str">
        <f>TEXT(help_desk_tickets[[#This Row],[submission_date]],"mmm")</f>
        <v>Aug</v>
      </c>
      <c r="K142" s="1">
        <f>HOUR(help_desk_tickets[[#This Row],[submission_date]])</f>
        <v>10</v>
      </c>
      <c r="L142" s="1" t="str">
        <f t="shared" si="4"/>
        <v>Performance issue</v>
      </c>
      <c r="M142" s="1"/>
    </row>
    <row r="143" spans="1:13" x14ac:dyDescent="0.3">
      <c r="A143" s="1" t="s">
        <v>310</v>
      </c>
      <c r="B143" s="2">
        <v>45887.431979837966</v>
      </c>
      <c r="C143" s="2">
        <v>45887.968167638886</v>
      </c>
      <c r="D143" s="1" t="s">
        <v>21</v>
      </c>
      <c r="E143" s="1" t="s">
        <v>9</v>
      </c>
      <c r="F143" s="1" t="s">
        <v>311</v>
      </c>
      <c r="G143" s="1" t="s">
        <v>16</v>
      </c>
      <c r="H143" s="3">
        <f>(help_desk_tickets[[#This Row],[resolution_date]]-help_desk_tickets[[#This Row],[submission_date]])*24</f>
        <v>12.868507222097833</v>
      </c>
      <c r="I143" s="1" t="str">
        <f>TEXT(help_desk_tickets[[#This Row],[submission_date]],"ddd")</f>
        <v>Mon</v>
      </c>
      <c r="J143" s="1" t="str">
        <f>TEXT(help_desk_tickets[[#This Row],[submission_date]],"mmm")</f>
        <v>Aug</v>
      </c>
      <c r="K143" s="1">
        <f>HOUR(help_desk_tickets[[#This Row],[submission_date]])</f>
        <v>10</v>
      </c>
      <c r="L143" s="1" t="str">
        <f t="shared" si="4"/>
        <v>Performance issue</v>
      </c>
      <c r="M143" s="1"/>
    </row>
    <row r="144" spans="1:13" x14ac:dyDescent="0.3">
      <c r="A144" s="1" t="s">
        <v>312</v>
      </c>
      <c r="B144" s="2">
        <v>45913.681012106485</v>
      </c>
      <c r="C144" s="2">
        <v>45914.899067337959</v>
      </c>
      <c r="D144" s="1" t="s">
        <v>45</v>
      </c>
      <c r="E144" s="1" t="s">
        <v>25</v>
      </c>
      <c r="F144" s="1" t="s">
        <v>313</v>
      </c>
      <c r="G144" s="1" t="s">
        <v>16</v>
      </c>
      <c r="H144" s="3">
        <f>(help_desk_tickets[[#This Row],[resolution_date]]-help_desk_tickets[[#This Row],[submission_date]])*24</f>
        <v>29.233325555396732</v>
      </c>
      <c r="I144" s="1" t="str">
        <f>TEXT(help_desk_tickets[[#This Row],[submission_date]],"ddd")</f>
        <v>Sat</v>
      </c>
      <c r="J144" s="1" t="str">
        <f>TEXT(help_desk_tickets[[#This Row],[submission_date]],"mmm")</f>
        <v>Sep</v>
      </c>
      <c r="K144" s="1">
        <f>HOUR(help_desk_tickets[[#This Row],[submission_date]])</f>
        <v>16</v>
      </c>
      <c r="L144" s="1" t="str">
        <f t="shared" si="4"/>
        <v>Network issues</v>
      </c>
      <c r="M144" s="1"/>
    </row>
    <row r="145" spans="1:13" x14ac:dyDescent="0.3">
      <c r="A145" s="1" t="s">
        <v>314</v>
      </c>
      <c r="B145" s="2">
        <v>45872.284382627317</v>
      </c>
      <c r="C145" s="2">
        <v>45875.951124525462</v>
      </c>
      <c r="D145" s="1" t="s">
        <v>21</v>
      </c>
      <c r="E145" s="1" t="s">
        <v>22</v>
      </c>
      <c r="F145" s="1" t="s">
        <v>315</v>
      </c>
      <c r="G145" s="1" t="s">
        <v>29</v>
      </c>
      <c r="H145" s="3">
        <f>(help_desk_tickets[[#This Row],[resolution_date]]-help_desk_tickets[[#This Row],[submission_date]])*24</f>
        <v>88.001805555482861</v>
      </c>
      <c r="I145" s="1" t="str">
        <f>TEXT(help_desk_tickets[[#This Row],[submission_date]],"ddd")</f>
        <v>Sun</v>
      </c>
      <c r="J145" s="1" t="str">
        <f>TEXT(help_desk_tickets[[#This Row],[submission_date]],"mmm")</f>
        <v>Aug</v>
      </c>
      <c r="K145" s="1">
        <f>HOUR(help_desk_tickets[[#This Row],[submission_date]])</f>
        <v>6</v>
      </c>
      <c r="L145" s="1" t="str">
        <f t="shared" si="4"/>
        <v>Performance issue</v>
      </c>
      <c r="M145" s="1"/>
    </row>
    <row r="146" spans="1:13" x14ac:dyDescent="0.3">
      <c r="A146" s="1" t="s">
        <v>316</v>
      </c>
      <c r="B146" s="2">
        <v>45835.128006666666</v>
      </c>
      <c r="C146" s="2">
        <v>45835.637567465281</v>
      </c>
      <c r="D146" s="1" t="s">
        <v>13</v>
      </c>
      <c r="E146" s="1" t="s">
        <v>46</v>
      </c>
      <c r="F146" s="1" t="s">
        <v>317</v>
      </c>
      <c r="G146" s="1" t="s">
        <v>16</v>
      </c>
      <c r="H146" s="3">
        <f>(help_desk_tickets[[#This Row],[resolution_date]]-help_desk_tickets[[#This Row],[submission_date]])*24</f>
        <v>12.229459166759625</v>
      </c>
      <c r="I146" s="1" t="str">
        <f>TEXT(help_desk_tickets[[#This Row],[submission_date]],"ddd")</f>
        <v>Fri</v>
      </c>
      <c r="J146" s="1" t="str">
        <f>TEXT(help_desk_tickets[[#This Row],[submission_date]],"mmm")</f>
        <v>Jun</v>
      </c>
      <c r="K146" s="1">
        <f>HOUR(help_desk_tickets[[#This Row],[submission_date]])</f>
        <v>3</v>
      </c>
      <c r="L146" s="1" t="str">
        <f t="shared" si="4"/>
        <v>Login issue</v>
      </c>
      <c r="M146" s="1"/>
    </row>
    <row r="147" spans="1:13" x14ac:dyDescent="0.3">
      <c r="A147" s="1" t="s">
        <v>318</v>
      </c>
      <c r="B147" s="2">
        <v>45900.65947421296</v>
      </c>
      <c r="C147" s="2">
        <v>45900.743211898145</v>
      </c>
      <c r="D147" s="1" t="s">
        <v>81</v>
      </c>
      <c r="E147" s="1" t="s">
        <v>22</v>
      </c>
      <c r="F147" s="1" t="s">
        <v>319</v>
      </c>
      <c r="G147" s="1" t="s">
        <v>115</v>
      </c>
      <c r="H147" s="3">
        <f>(help_desk_tickets[[#This Row],[resolution_date]]-help_desk_tickets[[#This Row],[submission_date]])*24</f>
        <v>2.009704444441013</v>
      </c>
      <c r="I147" s="1" t="str">
        <f>TEXT(help_desk_tickets[[#This Row],[submission_date]],"ddd")</f>
        <v>Sun</v>
      </c>
      <c r="J147" s="1" t="str">
        <f>TEXT(help_desk_tickets[[#This Row],[submission_date]],"mmm")</f>
        <v>Aug</v>
      </c>
      <c r="K147" s="1">
        <f>HOUR(help_desk_tickets[[#This Row],[submission_date]])</f>
        <v>15</v>
      </c>
      <c r="L147" s="1" t="str">
        <f t="shared" si="4"/>
        <v>Other</v>
      </c>
      <c r="M147" s="1"/>
    </row>
    <row r="148" spans="1:13" x14ac:dyDescent="0.3">
      <c r="A148" s="1" t="s">
        <v>320</v>
      </c>
      <c r="B148" s="2">
        <v>45832.460665983795</v>
      </c>
      <c r="C148" s="2">
        <v>45832.787722476853</v>
      </c>
      <c r="D148" s="1" t="s">
        <v>45</v>
      </c>
      <c r="E148" s="1" t="s">
        <v>35</v>
      </c>
      <c r="F148" s="1" t="s">
        <v>321</v>
      </c>
      <c r="G148" s="1" t="s">
        <v>11</v>
      </c>
      <c r="H148" s="3">
        <f>(help_desk_tickets[[#This Row],[resolution_date]]-help_desk_tickets[[#This Row],[submission_date]])*24</f>
        <v>7.8493558333721012</v>
      </c>
      <c r="I148" s="1" t="str">
        <f>TEXT(help_desk_tickets[[#This Row],[submission_date]],"ddd")</f>
        <v>Tue</v>
      </c>
      <c r="J148" s="1" t="str">
        <f>TEXT(help_desk_tickets[[#This Row],[submission_date]],"mmm")</f>
        <v>Jun</v>
      </c>
      <c r="K148" s="1">
        <f>HOUR(help_desk_tickets[[#This Row],[submission_date]])</f>
        <v>11</v>
      </c>
      <c r="L148" s="1" t="str">
        <f t="shared" si="4"/>
        <v>Network issues</v>
      </c>
      <c r="M148" s="1"/>
    </row>
    <row r="149" spans="1:13" x14ac:dyDescent="0.3">
      <c r="A149" s="1" t="s">
        <v>322</v>
      </c>
      <c r="B149" s="2">
        <v>45902.70604621528</v>
      </c>
      <c r="C149" s="2">
        <v>45906.209134814817</v>
      </c>
      <c r="D149" s="1" t="s">
        <v>60</v>
      </c>
      <c r="E149" s="1" t="s">
        <v>22</v>
      </c>
      <c r="F149" s="1" t="s">
        <v>323</v>
      </c>
      <c r="G149" s="1" t="s">
        <v>29</v>
      </c>
      <c r="H149" s="3">
        <f>(help_desk_tickets[[#This Row],[resolution_date]]-help_desk_tickets[[#This Row],[submission_date]])*24</f>
        <v>84.07412638887763</v>
      </c>
      <c r="I149" s="1" t="str">
        <f>TEXT(help_desk_tickets[[#This Row],[submission_date]],"ddd")</f>
        <v>Tue</v>
      </c>
      <c r="J149" s="1" t="str">
        <f>TEXT(help_desk_tickets[[#This Row],[submission_date]],"mmm")</f>
        <v>Sep</v>
      </c>
      <c r="K149" s="1">
        <f>HOUR(help_desk_tickets[[#This Row],[submission_date]])</f>
        <v>16</v>
      </c>
      <c r="L149" s="1" t="str">
        <f t="shared" si="4"/>
        <v>Other</v>
      </c>
      <c r="M149" s="1"/>
    </row>
    <row r="150" spans="1:13" x14ac:dyDescent="0.3">
      <c r="A150" s="1" t="s">
        <v>324</v>
      </c>
      <c r="B150" s="2">
        <v>45854.598774027778</v>
      </c>
      <c r="C150" s="2">
        <v>45855.701526365738</v>
      </c>
      <c r="D150" s="1" t="s">
        <v>8</v>
      </c>
      <c r="E150" s="1" t="s">
        <v>42</v>
      </c>
      <c r="F150" s="1" t="s">
        <v>325</v>
      </c>
      <c r="G150" s="1" t="s">
        <v>16</v>
      </c>
      <c r="H150" s="3">
        <f>(help_desk_tickets[[#This Row],[resolution_date]]-help_desk_tickets[[#This Row],[submission_date]])*24</f>
        <v>26.466056111035869</v>
      </c>
      <c r="I150" s="1" t="str">
        <f>TEXT(help_desk_tickets[[#This Row],[submission_date]],"ddd")</f>
        <v>Wed</v>
      </c>
      <c r="J150" s="1" t="str">
        <f>TEXT(help_desk_tickets[[#This Row],[submission_date]],"mmm")</f>
        <v>Jul</v>
      </c>
      <c r="K150" s="1">
        <f>HOUR(help_desk_tickets[[#This Row],[submission_date]])</f>
        <v>14</v>
      </c>
      <c r="L150" s="1" t="str">
        <f t="shared" si="4"/>
        <v>Other</v>
      </c>
      <c r="M150" s="1"/>
    </row>
    <row r="151" spans="1:13" x14ac:dyDescent="0.3">
      <c r="A151" s="1" t="s">
        <v>326</v>
      </c>
      <c r="B151" s="2">
        <v>45869.175449467592</v>
      </c>
      <c r="C151" s="2">
        <v>45870.175988182869</v>
      </c>
      <c r="D151" s="1" t="s">
        <v>21</v>
      </c>
      <c r="E151" s="1" t="s">
        <v>9</v>
      </c>
      <c r="F151" s="1" t="s">
        <v>327</v>
      </c>
      <c r="G151" s="1" t="s">
        <v>16</v>
      </c>
      <c r="H151" s="3">
        <f>(help_desk_tickets[[#This Row],[resolution_date]]-help_desk_tickets[[#This Row],[submission_date]])*24</f>
        <v>24.012929166667163</v>
      </c>
      <c r="I151" s="1" t="str">
        <f>TEXT(help_desk_tickets[[#This Row],[submission_date]],"ddd")</f>
        <v>Thu</v>
      </c>
      <c r="J151" s="1" t="str">
        <f>TEXT(help_desk_tickets[[#This Row],[submission_date]],"mmm")</f>
        <v>Jul</v>
      </c>
      <c r="K151" s="1">
        <f>HOUR(help_desk_tickets[[#This Row],[submission_date]])</f>
        <v>4</v>
      </c>
      <c r="L151" s="1" t="str">
        <f t="shared" si="4"/>
        <v>Performance issue</v>
      </c>
      <c r="M151" s="1"/>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2DF7A-9C1B-4479-8805-323D248A870F}">
  <dimension ref="A1:J123"/>
  <sheetViews>
    <sheetView topLeftCell="A108" workbookViewId="0">
      <selection activeCell="A128" sqref="A128"/>
    </sheetView>
  </sheetViews>
  <sheetFormatPr defaultRowHeight="14.4" x14ac:dyDescent="0.3"/>
  <cols>
    <col min="1" max="1" width="13.5546875" bestFit="1" customWidth="1"/>
    <col min="2" max="2" width="16.109375" bestFit="1" customWidth="1"/>
  </cols>
  <sheetData>
    <row r="1" spans="1:10" x14ac:dyDescent="0.3">
      <c r="A1" s="10" t="s">
        <v>357</v>
      </c>
      <c r="B1" s="10"/>
      <c r="C1" s="10"/>
      <c r="D1" s="10"/>
      <c r="E1" s="10"/>
      <c r="F1" s="10"/>
      <c r="G1" s="10"/>
      <c r="H1" s="10"/>
      <c r="I1" s="10"/>
      <c r="J1" s="10"/>
    </row>
    <row r="2" spans="1:10" x14ac:dyDescent="0.3">
      <c r="A2" s="10"/>
      <c r="B2" s="10"/>
      <c r="C2" s="10"/>
      <c r="D2" s="10"/>
      <c r="E2" s="10"/>
      <c r="F2" s="10"/>
      <c r="G2" s="10"/>
      <c r="H2" s="10"/>
      <c r="I2" s="10"/>
      <c r="J2" s="10"/>
    </row>
    <row r="3" spans="1:10" x14ac:dyDescent="0.3">
      <c r="A3" s="4" t="s">
        <v>345</v>
      </c>
      <c r="B3" t="s">
        <v>332</v>
      </c>
    </row>
    <row r="4" spans="1:10" x14ac:dyDescent="0.3">
      <c r="A4" s="5" t="s">
        <v>333</v>
      </c>
      <c r="B4" s="1">
        <v>26</v>
      </c>
    </row>
    <row r="5" spans="1:10" x14ac:dyDescent="0.3">
      <c r="A5" s="5" t="s">
        <v>334</v>
      </c>
      <c r="B5" s="1">
        <v>19</v>
      </c>
    </row>
    <row r="6" spans="1:10" x14ac:dyDescent="0.3">
      <c r="A6" s="5" t="s">
        <v>335</v>
      </c>
      <c r="B6" s="1">
        <v>22</v>
      </c>
    </row>
    <row r="7" spans="1:10" x14ac:dyDescent="0.3">
      <c r="A7" s="5" t="s">
        <v>336</v>
      </c>
      <c r="B7" s="1">
        <v>24</v>
      </c>
    </row>
    <row r="8" spans="1:10" x14ac:dyDescent="0.3">
      <c r="A8" s="5" t="s">
        <v>337</v>
      </c>
      <c r="B8" s="1">
        <v>23</v>
      </c>
    </row>
    <row r="9" spans="1:10" x14ac:dyDescent="0.3">
      <c r="A9" s="5" t="s">
        <v>338</v>
      </c>
      <c r="B9" s="1">
        <v>16</v>
      </c>
    </row>
    <row r="10" spans="1:10" x14ac:dyDescent="0.3">
      <c r="A10" s="5" t="s">
        <v>339</v>
      </c>
      <c r="B10" s="1">
        <v>20</v>
      </c>
    </row>
    <row r="11" spans="1:10" x14ac:dyDescent="0.3">
      <c r="A11" s="5" t="s">
        <v>340</v>
      </c>
      <c r="B11" s="1">
        <v>150</v>
      </c>
    </row>
    <row r="20" spans="1:2" x14ac:dyDescent="0.3">
      <c r="A20" s="4" t="s">
        <v>346</v>
      </c>
      <c r="B20" t="s">
        <v>332</v>
      </c>
    </row>
    <row r="21" spans="1:2" x14ac:dyDescent="0.3">
      <c r="A21" s="5" t="s">
        <v>341</v>
      </c>
      <c r="B21" s="1">
        <v>27</v>
      </c>
    </row>
    <row r="22" spans="1:2" x14ac:dyDescent="0.3">
      <c r="A22" s="5" t="s">
        <v>342</v>
      </c>
      <c r="B22" s="1">
        <v>51</v>
      </c>
    </row>
    <row r="23" spans="1:2" x14ac:dyDescent="0.3">
      <c r="A23" s="5" t="s">
        <v>343</v>
      </c>
      <c r="B23" s="1">
        <v>45</v>
      </c>
    </row>
    <row r="24" spans="1:2" x14ac:dyDescent="0.3">
      <c r="A24" s="5" t="s">
        <v>344</v>
      </c>
      <c r="B24" s="1">
        <v>27</v>
      </c>
    </row>
    <row r="25" spans="1:2" x14ac:dyDescent="0.3">
      <c r="A25" s="5" t="s">
        <v>340</v>
      </c>
      <c r="B25" s="1">
        <v>150</v>
      </c>
    </row>
    <row r="42" spans="1:10" x14ac:dyDescent="0.3">
      <c r="A42" s="9" t="s">
        <v>358</v>
      </c>
      <c r="B42" s="9"/>
      <c r="C42" s="9"/>
      <c r="D42" s="9"/>
      <c r="E42" s="9"/>
      <c r="F42" s="9"/>
      <c r="G42" s="9"/>
      <c r="H42" s="9"/>
      <c r="I42" s="9"/>
      <c r="J42" s="9"/>
    </row>
    <row r="43" spans="1:10" x14ac:dyDescent="0.3">
      <c r="A43" s="9"/>
      <c r="B43" s="9"/>
      <c r="C43" s="9"/>
      <c r="D43" s="9"/>
      <c r="E43" s="9"/>
      <c r="F43" s="9"/>
      <c r="G43" s="9"/>
      <c r="H43" s="9"/>
      <c r="I43" s="9"/>
      <c r="J43" s="9"/>
    </row>
    <row r="44" spans="1:10" x14ac:dyDescent="0.3">
      <c r="A44" s="4" t="s">
        <v>348</v>
      </c>
      <c r="B44" t="s">
        <v>347</v>
      </c>
    </row>
    <row r="45" spans="1:10" x14ac:dyDescent="0.3">
      <c r="A45" s="5" t="s">
        <v>115</v>
      </c>
      <c r="B45" s="3">
        <v>2.2080753471673233</v>
      </c>
    </row>
    <row r="46" spans="1:10" x14ac:dyDescent="0.3">
      <c r="A46" s="5" t="s">
        <v>11</v>
      </c>
      <c r="B46" s="3">
        <v>6.6783504889067267</v>
      </c>
    </row>
    <row r="47" spans="1:10" x14ac:dyDescent="0.3">
      <c r="A47" s="5" t="s">
        <v>29</v>
      </c>
      <c r="B47" s="3">
        <v>105.14095545498502</v>
      </c>
    </row>
    <row r="48" spans="1:10" x14ac:dyDescent="0.3">
      <c r="A48" s="5" t="s">
        <v>16</v>
      </c>
      <c r="B48" s="3">
        <v>27.309928253952723</v>
      </c>
    </row>
    <row r="49" spans="1:2" x14ac:dyDescent="0.3">
      <c r="A49" s="5" t="s">
        <v>340</v>
      </c>
      <c r="B49" s="3">
        <v>53.296613066663269</v>
      </c>
    </row>
    <row r="61" spans="1:2" x14ac:dyDescent="0.3">
      <c r="A61" s="4" t="s">
        <v>349</v>
      </c>
      <c r="B61" t="s">
        <v>347</v>
      </c>
    </row>
    <row r="62" spans="1:2" x14ac:dyDescent="0.3">
      <c r="A62" s="5" t="s">
        <v>31</v>
      </c>
      <c r="B62" s="3">
        <v>44.38678683338221</v>
      </c>
    </row>
    <row r="63" spans="1:2" x14ac:dyDescent="0.3">
      <c r="A63" s="5" t="s">
        <v>81</v>
      </c>
      <c r="B63" s="3">
        <v>62.616181805555243</v>
      </c>
    </row>
    <row r="64" spans="1:2" x14ac:dyDescent="0.3">
      <c r="A64" s="5" t="s">
        <v>21</v>
      </c>
      <c r="B64" s="3">
        <v>42.63662010414555</v>
      </c>
    </row>
    <row r="65" spans="1:2" x14ac:dyDescent="0.3">
      <c r="A65" s="5" t="s">
        <v>45</v>
      </c>
      <c r="B65" s="3">
        <v>50.114464275361769</v>
      </c>
    </row>
    <row r="66" spans="1:2" x14ac:dyDescent="0.3">
      <c r="A66" s="5" t="s">
        <v>8</v>
      </c>
      <c r="B66" s="3">
        <v>51.542925432072174</v>
      </c>
    </row>
    <row r="67" spans="1:2" x14ac:dyDescent="0.3">
      <c r="A67" s="5" t="s">
        <v>60</v>
      </c>
      <c r="B67" s="3">
        <v>97.824122936523054</v>
      </c>
    </row>
    <row r="68" spans="1:2" x14ac:dyDescent="0.3">
      <c r="A68" s="5" t="s">
        <v>13</v>
      </c>
      <c r="B68" s="3">
        <v>54.683194052280776</v>
      </c>
    </row>
    <row r="69" spans="1:2" x14ac:dyDescent="0.3">
      <c r="A69" s="5" t="s">
        <v>340</v>
      </c>
      <c r="B69" s="3">
        <v>53.296613066663269</v>
      </c>
    </row>
    <row r="82" spans="1:10" x14ac:dyDescent="0.3">
      <c r="A82" s="9" t="s">
        <v>359</v>
      </c>
      <c r="B82" s="9"/>
      <c r="C82" s="9"/>
      <c r="D82" s="9"/>
      <c r="E82" s="9"/>
      <c r="F82" s="9"/>
      <c r="G82" s="9"/>
      <c r="H82" s="9"/>
      <c r="I82" s="9"/>
      <c r="J82" s="9"/>
    </row>
    <row r="83" spans="1:10" x14ac:dyDescent="0.3">
      <c r="A83" s="9"/>
      <c r="B83" s="9"/>
      <c r="C83" s="9"/>
      <c r="D83" s="9"/>
      <c r="E83" s="9"/>
      <c r="F83" s="9"/>
      <c r="G83" s="9"/>
      <c r="H83" s="9"/>
      <c r="I83" s="9"/>
      <c r="J83" s="9"/>
    </row>
    <row r="85" spans="1:10" x14ac:dyDescent="0.3">
      <c r="A85" t="s">
        <v>352</v>
      </c>
      <c r="B85" s="6">
        <f>COUNTIF('Data &amp; calculations'!L:L,"*password*")</f>
        <v>15</v>
      </c>
    </row>
    <row r="86" spans="1:10" x14ac:dyDescent="0.3">
      <c r="A86" t="s">
        <v>353</v>
      </c>
      <c r="B86" s="7">
        <f>COUNTIF('Data &amp; calculations'!L:L,"*network*")</f>
        <v>25</v>
      </c>
    </row>
    <row r="87" spans="1:10" x14ac:dyDescent="0.3">
      <c r="A87" t="s">
        <v>351</v>
      </c>
      <c r="B87" s="6">
        <f>COUNTIF('Data &amp; calculations'!L:L,"*login*")</f>
        <v>50</v>
      </c>
    </row>
    <row r="88" spans="1:10" x14ac:dyDescent="0.3">
      <c r="A88" t="s">
        <v>354</v>
      </c>
      <c r="B88" s="7">
        <f>COUNTIF('Data &amp; calculations'!L:L,"*Performance*")</f>
        <v>24</v>
      </c>
    </row>
    <row r="89" spans="1:10" x14ac:dyDescent="0.3">
      <c r="A89" t="s">
        <v>355</v>
      </c>
      <c r="B89" s="6">
        <f>COUNTIF('Data &amp; calculations'!L:L,"*other*")</f>
        <v>36</v>
      </c>
    </row>
    <row r="109" spans="1:10" x14ac:dyDescent="0.3">
      <c r="A109" s="11" t="s">
        <v>360</v>
      </c>
      <c r="B109" s="11"/>
      <c r="C109" s="11"/>
      <c r="D109" s="11"/>
      <c r="E109" s="11"/>
      <c r="F109" s="11"/>
      <c r="G109" s="11"/>
      <c r="H109" s="11"/>
      <c r="I109" s="11"/>
      <c r="J109" s="11"/>
    </row>
    <row r="110" spans="1:10" x14ac:dyDescent="0.3">
      <c r="A110" s="11"/>
      <c r="B110" s="11"/>
      <c r="C110" s="11"/>
      <c r="D110" s="11"/>
      <c r="E110" s="11"/>
      <c r="F110" s="11"/>
      <c r="G110" s="11"/>
      <c r="H110" s="11"/>
      <c r="I110" s="11"/>
      <c r="J110" s="11"/>
    </row>
    <row r="112" spans="1:10" x14ac:dyDescent="0.3">
      <c r="A112" s="4" t="s">
        <v>356</v>
      </c>
      <c r="B112" t="s">
        <v>347</v>
      </c>
    </row>
    <row r="113" spans="1:2" x14ac:dyDescent="0.3">
      <c r="A113" s="5" t="s">
        <v>9</v>
      </c>
      <c r="B113" s="3">
        <v>27.262369940423273</v>
      </c>
    </row>
    <row r="114" spans="1:2" x14ac:dyDescent="0.3">
      <c r="A114" s="5" t="s">
        <v>46</v>
      </c>
      <c r="B114" s="3">
        <v>33.453871150792111</v>
      </c>
    </row>
    <row r="115" spans="1:2" x14ac:dyDescent="0.3">
      <c r="A115" s="5" t="s">
        <v>25</v>
      </c>
      <c r="B115" s="3">
        <v>35.375343589716628</v>
      </c>
    </row>
    <row r="116" spans="1:2" x14ac:dyDescent="0.3">
      <c r="A116" s="5" t="s">
        <v>42</v>
      </c>
      <c r="B116" s="3">
        <v>46.389953906265873</v>
      </c>
    </row>
    <row r="117" spans="1:2" x14ac:dyDescent="0.3">
      <c r="A117" s="5" t="s">
        <v>14</v>
      </c>
      <c r="B117" s="3">
        <v>47.042569074074791</v>
      </c>
    </row>
    <row r="118" spans="1:2" x14ac:dyDescent="0.3">
      <c r="A118" s="5" t="s">
        <v>22</v>
      </c>
      <c r="B118" s="3">
        <v>50.214652532677384</v>
      </c>
    </row>
    <row r="119" spans="1:2" x14ac:dyDescent="0.3">
      <c r="A119" s="5" t="s">
        <v>55</v>
      </c>
      <c r="B119" s="3">
        <v>64.433295625007304</v>
      </c>
    </row>
    <row r="120" spans="1:2" x14ac:dyDescent="0.3">
      <c r="A120" s="5" t="s">
        <v>18</v>
      </c>
      <c r="B120" s="3">
        <v>66.843558003471117</v>
      </c>
    </row>
    <row r="121" spans="1:2" x14ac:dyDescent="0.3">
      <c r="A121" s="5" t="s">
        <v>32</v>
      </c>
      <c r="B121" s="3">
        <v>72.610398169952745</v>
      </c>
    </row>
    <row r="122" spans="1:2" x14ac:dyDescent="0.3">
      <c r="A122" s="5" t="s">
        <v>35</v>
      </c>
      <c r="B122" s="3">
        <v>82.225628907408094</v>
      </c>
    </row>
    <row r="123" spans="1:2" x14ac:dyDescent="0.3">
      <c r="A123" s="5" t="s">
        <v>340</v>
      </c>
      <c r="B123" s="3">
        <v>53.296613066663269</v>
      </c>
    </row>
  </sheetData>
  <mergeCells count="4">
    <mergeCell ref="A1:J2"/>
    <mergeCell ref="A42:J43"/>
    <mergeCell ref="A82:J83"/>
    <mergeCell ref="A109:J110"/>
  </mergeCells>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F26EA-522A-4B4E-8D84-7C535BD04436}">
  <dimension ref="A1:A59"/>
  <sheetViews>
    <sheetView showGridLines="0" workbookViewId="0">
      <selection activeCell="A53" sqref="A53:XFD53"/>
    </sheetView>
  </sheetViews>
  <sheetFormatPr defaultRowHeight="14.4" x14ac:dyDescent="0.3"/>
  <sheetData>
    <row r="1" spans="1:1" ht="23.4" x14ac:dyDescent="0.3">
      <c r="A1" s="12" t="s">
        <v>361</v>
      </c>
    </row>
    <row r="2" spans="1:1" x14ac:dyDescent="0.3">
      <c r="A2" s="13"/>
    </row>
    <row r="3" spans="1:1" x14ac:dyDescent="0.3">
      <c r="A3" s="13" t="s">
        <v>362</v>
      </c>
    </row>
    <row r="4" spans="1:1" x14ac:dyDescent="0.3">
      <c r="A4" s="13"/>
    </row>
    <row r="5" spans="1:1" x14ac:dyDescent="0.3">
      <c r="A5" s="13" t="s">
        <v>363</v>
      </c>
    </row>
    <row r="9" spans="1:1" ht="23.4" x14ac:dyDescent="0.3">
      <c r="A9" s="12" t="s">
        <v>364</v>
      </c>
    </row>
    <row r="10" spans="1:1" x14ac:dyDescent="0.3">
      <c r="A10" s="13"/>
    </row>
    <row r="11" spans="1:1" x14ac:dyDescent="0.3">
      <c r="A11" s="13" t="s">
        <v>365</v>
      </c>
    </row>
    <row r="12" spans="1:1" x14ac:dyDescent="0.3">
      <c r="A12" s="13"/>
    </row>
    <row r="13" spans="1:1" x14ac:dyDescent="0.3">
      <c r="A13" s="13" t="s">
        <v>366</v>
      </c>
    </row>
    <row r="17" spans="1:1" ht="23.4" x14ac:dyDescent="0.3">
      <c r="A17" s="12" t="s">
        <v>367</v>
      </c>
    </row>
    <row r="18" spans="1:1" x14ac:dyDescent="0.3">
      <c r="A18" s="13"/>
    </row>
    <row r="19" spans="1:1" x14ac:dyDescent="0.3">
      <c r="A19" s="13" t="s">
        <v>368</v>
      </c>
    </row>
    <row r="20" spans="1:1" x14ac:dyDescent="0.3">
      <c r="A20" s="13"/>
    </row>
    <row r="21" spans="1:1" x14ac:dyDescent="0.3">
      <c r="A21" s="13" t="s">
        <v>369</v>
      </c>
    </row>
    <row r="25" spans="1:1" ht="23.4" x14ac:dyDescent="0.3">
      <c r="A25" s="12" t="s">
        <v>370</v>
      </c>
    </row>
    <row r="26" spans="1:1" x14ac:dyDescent="0.3">
      <c r="A26" s="13"/>
    </row>
    <row r="27" spans="1:1" x14ac:dyDescent="0.3">
      <c r="A27" s="13" t="s">
        <v>371</v>
      </c>
    </row>
    <row r="28" spans="1:1" x14ac:dyDescent="0.3">
      <c r="A28" s="13"/>
    </row>
    <row r="29" spans="1:1" x14ac:dyDescent="0.3">
      <c r="A29" s="13" t="s">
        <v>372</v>
      </c>
    </row>
    <row r="33" spans="1:1" ht="23.4" x14ac:dyDescent="0.3">
      <c r="A33" s="12" t="s">
        <v>373</v>
      </c>
    </row>
    <row r="34" spans="1:1" x14ac:dyDescent="0.3">
      <c r="A34" s="13"/>
    </row>
    <row r="35" spans="1:1" x14ac:dyDescent="0.3">
      <c r="A35" s="13" t="s">
        <v>374</v>
      </c>
    </row>
    <row r="36" spans="1:1" x14ac:dyDescent="0.3">
      <c r="A36" s="13"/>
    </row>
    <row r="37" spans="1:1" x14ac:dyDescent="0.3">
      <c r="A37" s="13" t="s">
        <v>375</v>
      </c>
    </row>
    <row r="41" spans="1:1" ht="23.4" x14ac:dyDescent="0.3">
      <c r="A41" s="12" t="s">
        <v>376</v>
      </c>
    </row>
    <row r="42" spans="1:1" x14ac:dyDescent="0.3">
      <c r="A42" s="13"/>
    </row>
    <row r="43" spans="1:1" x14ac:dyDescent="0.3">
      <c r="A43" s="13" t="s">
        <v>377</v>
      </c>
    </row>
    <row r="44" spans="1:1" x14ac:dyDescent="0.3">
      <c r="A44" s="13"/>
    </row>
    <row r="45" spans="1:1" x14ac:dyDescent="0.3">
      <c r="A45" s="13" t="s">
        <v>378</v>
      </c>
    </row>
    <row r="49" spans="1:1" ht="23.4" x14ac:dyDescent="0.3">
      <c r="A49" s="12" t="s">
        <v>379</v>
      </c>
    </row>
    <row r="50" spans="1:1" x14ac:dyDescent="0.3">
      <c r="A50" s="13"/>
    </row>
    <row r="51" spans="1:1" x14ac:dyDescent="0.3">
      <c r="A51" s="13" t="s">
        <v>380</v>
      </c>
    </row>
    <row r="52" spans="1:1" x14ac:dyDescent="0.3">
      <c r="A52" s="13"/>
    </row>
    <row r="53" spans="1:1" x14ac:dyDescent="0.3">
      <c r="A53" s="14" t="s">
        <v>381</v>
      </c>
    </row>
    <row r="54" spans="1:1" x14ac:dyDescent="0.3">
      <c r="A54" s="14"/>
    </row>
    <row r="55" spans="1:1" x14ac:dyDescent="0.3">
      <c r="A55" s="14" t="s">
        <v>382</v>
      </c>
    </row>
    <row r="56" spans="1:1" x14ac:dyDescent="0.3">
      <c r="A56" s="14"/>
    </row>
    <row r="57" spans="1:1" x14ac:dyDescent="0.3">
      <c r="A57" s="14" t="s">
        <v>383</v>
      </c>
    </row>
    <row r="58" spans="1:1" x14ac:dyDescent="0.3">
      <c r="A58" s="13"/>
    </row>
    <row r="59" spans="1:1" x14ac:dyDescent="0.3">
      <c r="A59" s="13" t="s">
        <v>384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2EF33C1-6C74-48BE-8830-076E7B221A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 dashboard</vt:lpstr>
      <vt:lpstr>Data &amp; calculations</vt:lpstr>
      <vt:lpstr>Detailed analysis</vt:lpstr>
      <vt:lpstr>Recommendations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lakshman sai</dc:creator>
  <cp:lastModifiedBy>lakshman sai</cp:lastModifiedBy>
  <dcterms:created xsi:type="dcterms:W3CDTF">2026-03-20T15:56:57Z</dcterms:created>
  <dcterms:modified xsi:type="dcterms:W3CDTF">2026-03-20T17:34:38Z</dcterms:modified>
</cp:coreProperties>
</file>