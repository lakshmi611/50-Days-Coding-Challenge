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fafff3750884c8e/Desktop/Desktop/lakshmi/sweety/Coding Challange/Day 3/"/>
    </mc:Choice>
  </mc:AlternateContent>
  <xr:revisionPtr revIDLastSave="411" documentId="8_{E3C10F9E-B689-4B22-B609-787099CE17CE}" xr6:coauthVersionLast="47" xr6:coauthVersionMax="47" xr10:uidLastSave="{C209FC8A-1F10-4186-92DF-983F434271FC}"/>
  <bookViews>
    <workbookView xWindow="-108" yWindow="-108" windowWidth="23256" windowHeight="12456" firstSheet="3" activeTab="7" xr2:uid="{6BA9A13B-9F00-42CA-9176-E554806BA382}"/>
  </bookViews>
  <sheets>
    <sheet name="Health status by age group" sheetId="4" r:id="rId1"/>
    <sheet name="Nutrition intake vs BMI" sheetId="5" r:id="rId2"/>
    <sheet name="Correlation of sugar &amp; screen t" sheetId="6" r:id="rId3"/>
    <sheet name="Regional differences" sheetId="7" r:id="rId4"/>
    <sheet name="Validation" sheetId="8" r:id="rId5"/>
    <sheet name="Child_Health_Data" sheetId="2" r:id="rId6"/>
    <sheet name="Dashboard" sheetId="9" r:id="rId7"/>
    <sheet name="Summary" sheetId="10" r:id="rId8"/>
  </sheets>
  <definedNames>
    <definedName name="ExternalData_1" localSheetId="5" hidden="1">'Child_Health_Data'!$A$1:$L$101</definedName>
    <definedName name="Slicer_Gender">#N/A</definedName>
    <definedName name="Slicer_Health_Status">#N/A</definedName>
    <definedName name="Slicer_Region">#N/A</definedName>
  </definedNames>
  <calcPr calcId="191029"/>
  <pivotCaches>
    <pivotCache cacheId="1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F8E4FA-6497-4A6D-AAA8-D59B4424BD6F}" keepAlive="1" name="Query - Child_Health_Data" description="Connection to the 'Child_Health_Data' query in the workbook." type="5" refreshedVersion="8" background="1" saveData="1">
    <dbPr connection="Provider=Microsoft.Mashup.OleDb.1;Data Source=$Workbook$;Location=Child_Health_Data;Extended Properties=&quot;&quot;" command="SELECT * FROM [Child_Health_Data]"/>
  </connection>
</connections>
</file>

<file path=xl/sharedStrings.xml><?xml version="1.0" encoding="utf-8"?>
<sst xmlns="http://schemas.openxmlformats.org/spreadsheetml/2006/main" count="466" uniqueCount="152">
  <si>
    <t>ChildID</t>
  </si>
  <si>
    <t>Age Months</t>
  </si>
  <si>
    <t>Gender</t>
  </si>
  <si>
    <t>Height cm</t>
  </si>
  <si>
    <t>Weight kg</t>
  </si>
  <si>
    <t>Daily Fruit Servings</t>
  </si>
  <si>
    <t>Daily Veggie Servings</t>
  </si>
  <si>
    <t>Daily Sugar Drinks</t>
  </si>
  <si>
    <t>ScreenTime 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</si>
  <si>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</si>
  <si>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</si>
  <si>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</si>
  <si>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</si>
  <si>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</si>
  <si>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</si>
  <si>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</si>
  <si>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</si>
  <si>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</si>
  <si>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</si>
  <si>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</si>
  <si>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</si>
  <si>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</si>
  <si>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</si>
  <si>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</si>
  <si>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</si>
  <si>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</si>
  <si>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</si>
  <si>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</si>
  <si>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</si>
  <si>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</si>
  <si>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</si>
  <si>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</si>
  <si>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</si>
  <si>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</si>
  <si>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</si>
  <si>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</si>
  <si>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</si>
  <si>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</si>
  <si>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</si>
  <si>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</si>
  <si>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</si>
  <si>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</si>
  <si>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</si>
  <si>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</si>
  <si>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</si>
  <si>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</si>
  <si>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</si>
  <si>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</si>
  <si>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</si>
  <si>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</si>
  <si>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</si>
  <si>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</si>
  <si>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</si>
  <si>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</si>
  <si>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</si>
  <si>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</si>
  <si>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</si>
  <si>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</si>
  <si>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</si>
  <si>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</si>
  <si>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</si>
  <si>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</si>
  <si>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</si>
  <si>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</si>
  <si>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</si>
  <si>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</si>
  <si>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</si>
  <si>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</si>
  <si>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</si>
  <si>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</si>
  <si>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</si>
  <si>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</si>
  <si>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</si>
  <si>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</si>
  <si>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</si>
  <si>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</si>
  <si>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</si>
  <si>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</si>
  <si>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</si>
  <si>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</si>
  <si>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</si>
  <si>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</si>
  <si>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</si>
  <si>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</si>
  <si>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</si>
  <si>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</si>
  <si>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</si>
  <si>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</si>
  <si>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</si>
  <si>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</si>
  <si>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</si>
  <si>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</si>
  <si>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</si>
  <si>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</si>
  <si>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</si>
  <si>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</si>
  <si>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</si>
  <si>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</si>
  <si>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</si>
  <si>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</si>
  <si>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</si>
  <si>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</si>
  <si>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</si>
  <si>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</si>
  <si>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</si>
  <si>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</si>
  <si>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</si>
  <si>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</si>
  <si>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</si>
  <si>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</si>
  <si>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</si>
  <si>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</si>
  <si>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</si>
  <si>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</si>
  <si>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</si>
  <si>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</si>
  <si>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</si>
  <si>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</si>
  <si>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 Status</t>
  </si>
  <si>
    <t>Under Weight</t>
  </si>
  <si>
    <t>Healthy Weight</t>
  </si>
  <si>
    <t>Age Group</t>
  </si>
  <si>
    <t>Row Labels</t>
  </si>
  <si>
    <t>24-36</t>
  </si>
  <si>
    <t>36-48</t>
  </si>
  <si>
    <t>48-60</t>
  </si>
  <si>
    <t>Grand Total</t>
  </si>
  <si>
    <t>Column Labels</t>
  </si>
  <si>
    <t>Count of ChildID</t>
  </si>
  <si>
    <t>Average of BMI</t>
  </si>
  <si>
    <t>Fruit Servings</t>
  </si>
  <si>
    <t>Veggie servings</t>
  </si>
  <si>
    <t>Average of Daily Sugar Drinks</t>
  </si>
  <si>
    <t>Average of ScreenTime Hours</t>
  </si>
  <si>
    <t>Average of Daily Fruit Servings</t>
  </si>
  <si>
    <t>Nutrition &amp; Growth Analysis</t>
  </si>
  <si>
    <t>Key Findings</t>
  </si>
  <si>
    <r>
      <t xml:space="preserve">Children with </t>
    </r>
    <r>
      <rPr>
        <b/>
        <sz val="11"/>
        <color theme="1"/>
        <rFont val="Calibri"/>
        <family val="2"/>
        <scheme val="minor"/>
      </rPr>
      <t>higher fruit and vegetable intake</t>
    </r>
    <r>
      <rPr>
        <sz val="11"/>
        <color theme="1"/>
        <rFont val="Calibri"/>
        <family val="2"/>
        <scheme val="minor"/>
      </rPr>
      <t xml:space="preserve"> tend to have a </t>
    </r>
    <r>
      <rPr>
        <b/>
        <sz val="11"/>
        <color theme="1"/>
        <rFont val="Calibri"/>
        <family val="2"/>
        <scheme val="minor"/>
      </rPr>
      <t>healthier BMI</t>
    </r>
    <r>
      <rPr>
        <sz val="11"/>
        <color theme="1"/>
        <rFont val="Calibri"/>
        <family val="2"/>
        <scheme val="minor"/>
      </rPr>
      <t>, indicating a strong positive relationship between balanced diets and proper growth.</t>
    </r>
  </si>
  <si>
    <r>
      <t xml:space="preserve">Increased </t>
    </r>
    <r>
      <rPr>
        <b/>
        <sz val="11"/>
        <color theme="1"/>
        <rFont val="Calibri"/>
        <family val="2"/>
        <scheme val="minor"/>
      </rPr>
      <t>consumption of sugary drinks</t>
    </r>
    <r>
      <rPr>
        <sz val="11"/>
        <color theme="1"/>
        <rFont val="Calibri"/>
        <family val="2"/>
        <scheme val="minor"/>
      </rPr>
      <t xml:space="preserve"> is strongly associated with </t>
    </r>
    <r>
      <rPr>
        <b/>
        <sz val="11"/>
        <color theme="1"/>
        <rFont val="Calibri"/>
        <family val="2"/>
        <scheme val="minor"/>
      </rPr>
      <t>higher BMI levels</t>
    </r>
    <r>
      <rPr>
        <sz val="11"/>
        <color theme="1"/>
        <rFont val="Calibri"/>
        <family val="2"/>
        <scheme val="minor"/>
      </rPr>
      <t>, particularly in overweight and obese categories.</t>
    </r>
  </si>
  <si>
    <r>
      <t>Screen time</t>
    </r>
    <r>
      <rPr>
        <sz val="11"/>
        <color theme="1"/>
        <rFont val="Calibri"/>
        <family val="2"/>
        <scheme val="minor"/>
      </rPr>
      <t xml:space="preserve"> shows a positive correlation with poor health outcomes — children with higher screen hours tend to fall into overweight or obese groups.</t>
    </r>
  </si>
  <si>
    <r>
      <t>Regional differences</t>
    </r>
    <r>
      <rPr>
        <sz val="11"/>
        <color theme="1"/>
        <rFont val="Calibri"/>
        <family val="2"/>
        <scheme val="minor"/>
      </rPr>
      <t xml:space="preserve"> highlight that some regions have </t>
    </r>
    <r>
      <rPr>
        <b/>
        <sz val="11"/>
        <color theme="1"/>
        <rFont val="Calibri"/>
        <family val="2"/>
        <scheme val="minor"/>
      </rPr>
      <t>higher average BMI and lower fruit intake</t>
    </r>
    <r>
      <rPr>
        <sz val="11"/>
        <color theme="1"/>
        <rFont val="Calibri"/>
        <family val="2"/>
        <scheme val="minor"/>
      </rPr>
      <t>, suggesting unequal access to healthy food or lifestyle awareness.</t>
    </r>
  </si>
  <si>
    <r>
      <t xml:space="preserve">Younger age groups generally show </t>
    </r>
    <r>
      <rPr>
        <b/>
        <sz val="11"/>
        <color theme="1"/>
        <rFont val="Calibri"/>
        <family val="2"/>
        <scheme val="minor"/>
      </rPr>
      <t>better health distribution</t>
    </r>
    <r>
      <rPr>
        <sz val="11"/>
        <color theme="1"/>
        <rFont val="Calibri"/>
        <family val="2"/>
        <scheme val="minor"/>
      </rPr>
      <t xml:space="preserve">, while older children display a </t>
    </r>
    <r>
      <rPr>
        <b/>
        <sz val="11"/>
        <color theme="1"/>
        <rFont val="Calibri"/>
        <family val="2"/>
        <scheme val="minor"/>
      </rPr>
      <t>gradual increase in overweight cases</t>
    </r>
    <r>
      <rPr>
        <sz val="11"/>
        <color theme="1"/>
        <rFont val="Calibri"/>
        <family val="2"/>
        <scheme val="minor"/>
      </rPr>
      <t>.</t>
    </r>
  </si>
  <si>
    <t>Key Correlations</t>
  </si>
  <si>
    <t>Fruit &amp; Vegetable Intake ↑ → BMI ↓ (Health improves)</t>
  </si>
  <si>
    <t>Sugar Drink Consumption ↑ → BMI ↑</t>
  </si>
  <si>
    <t>Screen Time ↑ → Higher risk of Overweight/Obesity</t>
  </si>
  <si>
    <t>Region impacts both diet patterns and growth outcomes</t>
  </si>
  <si>
    <t>Actionable Recommendations</t>
  </si>
  <si>
    <r>
      <t xml:space="preserve">Implement </t>
    </r>
    <r>
      <rPr>
        <b/>
        <sz val="11"/>
        <color theme="1"/>
        <rFont val="Calibri"/>
        <family val="2"/>
        <scheme val="minor"/>
      </rPr>
      <t>targeted campaigns to reduce sugary drink consumption</t>
    </r>
    <r>
      <rPr>
        <sz val="11"/>
        <color theme="1"/>
        <rFont val="Calibri"/>
        <family val="2"/>
        <scheme val="minor"/>
      </rPr>
      <t>, especially in high-risk regions with elevated BMI levels.</t>
    </r>
  </si>
  <si>
    <r>
      <t xml:space="preserve">Promote </t>
    </r>
    <r>
      <rPr>
        <b/>
        <sz val="11"/>
        <color theme="1"/>
        <rFont val="Calibri"/>
        <family val="2"/>
        <scheme val="minor"/>
      </rPr>
      <t>daily fruit and vegetable intake</t>
    </r>
    <r>
      <rPr>
        <sz val="11"/>
        <color theme="1"/>
        <rFont val="Calibri"/>
        <family val="2"/>
        <scheme val="minor"/>
      </rPr>
      <t xml:space="preserve"> through school nutrition programs and awareness initiatives.</t>
    </r>
  </si>
  <si>
    <r>
      <t xml:space="preserve">Encourage </t>
    </r>
    <r>
      <rPr>
        <b/>
        <sz val="11"/>
        <color theme="1"/>
        <rFont val="Calibri"/>
        <family val="2"/>
        <scheme val="minor"/>
      </rPr>
      <t>reduced screen time</t>
    </r>
    <r>
      <rPr>
        <sz val="11"/>
        <color theme="1"/>
        <rFont val="Calibri"/>
        <family val="2"/>
        <scheme val="minor"/>
      </rPr>
      <t xml:space="preserve"> by educating parents and introducing structured physical activity programs.</t>
    </r>
  </si>
  <si>
    <r>
      <t xml:space="preserve">Focus on </t>
    </r>
    <r>
      <rPr>
        <b/>
        <sz val="11"/>
        <color theme="1"/>
        <rFont val="Calibri"/>
        <family val="2"/>
        <scheme val="minor"/>
      </rPr>
      <t>region-specific interventions</t>
    </r>
    <r>
      <rPr>
        <sz val="11"/>
        <color theme="1"/>
        <rFont val="Calibri"/>
        <family val="2"/>
        <scheme val="minor"/>
      </rPr>
      <t xml:space="preserve"> where poor dietary habits and higher BMI trends are observed.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</si>
</sst>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cellXfs>
  <cellStyles count="1">
    <cellStyle name="Normal" xfId="0" builtinId="0"/>
  </cellStyles>
  <dxfs count="9">
    <dxf>
      <fill>
        <patternFill>
          <bgColor rgb="FF92D050"/>
        </patternFill>
      </fill>
    </dxf>
    <dxf>
      <fill>
        <patternFill>
          <bgColor rgb="FFFF0000"/>
        </patternFill>
      </fill>
    </dxf>
    <dxf>
      <fill>
        <patternFill>
          <bgColor rgb="FFFF0000"/>
        </patternFill>
      </fill>
    </dxf>
    <dxf>
      <fill>
        <patternFill>
          <bgColor theme="9"/>
        </patternFill>
      </fill>
    </dxf>
    <dxf>
      <fill>
        <patternFill>
          <bgColor theme="9"/>
        </patternFill>
      </fil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analysis excel.xlsx]Health status by age group!PivotTable2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 status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'Health status by age group'!$B$3:$B$4</c:f>
              <c:strCache>
                <c:ptCount val="1"/>
                <c:pt idx="0">
                  <c:v>Healthy Weight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status by age group'!$A$5:$A$8</c:f>
              <c:strCache>
                <c:ptCount val="3"/>
                <c:pt idx="0">
                  <c:v>24-36</c:v>
                </c:pt>
                <c:pt idx="1">
                  <c:v>36-48</c:v>
                </c:pt>
                <c:pt idx="2">
                  <c:v>48-60</c:v>
                </c:pt>
              </c:strCache>
            </c:strRef>
          </c:cat>
          <c:val>
            <c:numRef>
              <c:f>'Health status by age group'!$B$5:$B$8</c:f>
              <c:numCache>
                <c:formatCode>General</c:formatCode>
                <c:ptCount val="3"/>
                <c:pt idx="0">
                  <c:v>6</c:v>
                </c:pt>
                <c:pt idx="1">
                  <c:v>7</c:v>
                </c:pt>
                <c:pt idx="2">
                  <c:v>11</c:v>
                </c:pt>
              </c:numCache>
            </c:numRef>
          </c:val>
          <c:extLst>
            <c:ext xmlns:c16="http://schemas.microsoft.com/office/drawing/2014/chart" uri="{C3380CC4-5D6E-409C-BE32-E72D297353CC}">
              <c16:uniqueId val="{00000000-DE3F-4A9B-B9D5-5E23E628C4FE}"/>
            </c:ext>
          </c:extLst>
        </c:ser>
        <c:ser>
          <c:idx val="1"/>
          <c:order val="1"/>
          <c:tx>
            <c:strRef>
              <c:f>'Health status by age group'!$C$3:$C$4</c:f>
              <c:strCache>
                <c:ptCount val="1"/>
                <c:pt idx="0">
                  <c:v>Under Weight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status by age group'!$A$5:$A$8</c:f>
              <c:strCache>
                <c:ptCount val="3"/>
                <c:pt idx="0">
                  <c:v>24-36</c:v>
                </c:pt>
                <c:pt idx="1">
                  <c:v>36-48</c:v>
                </c:pt>
                <c:pt idx="2">
                  <c:v>48-60</c:v>
                </c:pt>
              </c:strCache>
            </c:strRef>
          </c:cat>
          <c:val>
            <c:numRef>
              <c:f>'Health status by age group'!$C$5:$C$8</c:f>
              <c:numCache>
                <c:formatCode>General</c:formatCode>
                <c:ptCount val="3"/>
                <c:pt idx="0">
                  <c:v>32</c:v>
                </c:pt>
                <c:pt idx="1">
                  <c:v>21</c:v>
                </c:pt>
                <c:pt idx="2">
                  <c:v>23</c:v>
                </c:pt>
              </c:numCache>
            </c:numRef>
          </c:val>
          <c:extLst>
            <c:ext xmlns:c16="http://schemas.microsoft.com/office/drawing/2014/chart" uri="{C3380CC4-5D6E-409C-BE32-E72D297353CC}">
              <c16:uniqueId val="{00000001-DE3F-4A9B-B9D5-5E23E628C4FE}"/>
            </c:ext>
          </c:extLst>
        </c:ser>
        <c:dLbls>
          <c:showLegendKey val="0"/>
          <c:showVal val="1"/>
          <c:showCatName val="0"/>
          <c:showSerName val="0"/>
          <c:showPercent val="0"/>
          <c:showBubbleSize val="0"/>
        </c:dLbls>
        <c:gapWidth val="150"/>
        <c:shape val="box"/>
        <c:axId val="303283904"/>
        <c:axId val="303284384"/>
        <c:axId val="2034259344"/>
      </c:bar3DChart>
      <c:catAx>
        <c:axId val="30328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84384"/>
        <c:crosses val="autoZero"/>
        <c:auto val="1"/>
        <c:lblAlgn val="ctr"/>
        <c:lblOffset val="100"/>
        <c:noMultiLvlLbl val="0"/>
      </c:catAx>
      <c:valAx>
        <c:axId val="303284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Health</a:t>
                </a:r>
                <a:r>
                  <a:rPr lang="en-IN" baseline="0"/>
                  <a:t> Status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83904"/>
        <c:crosses val="autoZero"/>
        <c:crossBetween val="between"/>
      </c:valAx>
      <c:serAx>
        <c:axId val="20342593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843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analysis excel.xlsx]Nutrition intake vs BMI!PivotTable3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Nutrition intake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'Nutrition intake vs BMI'!$B$3:$B$4</c:f>
              <c:strCache>
                <c:ptCount val="1"/>
                <c:pt idx="0">
                  <c:v>0</c:v>
                </c:pt>
              </c:strCache>
            </c:strRef>
          </c:tx>
          <c:spPr>
            <a:solidFill>
              <a:schemeClr val="accent1"/>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BMI'!$B$5:$B$10</c:f>
              <c:numCache>
                <c:formatCode>0.00</c:formatCode>
                <c:ptCount val="5"/>
                <c:pt idx="0">
                  <c:v>19.016420427584645</c:v>
                </c:pt>
                <c:pt idx="1">
                  <c:v>16.35248862763348</c:v>
                </c:pt>
                <c:pt idx="2">
                  <c:v>18.304030863042058</c:v>
                </c:pt>
                <c:pt idx="3">
                  <c:v>18.791232347431109</c:v>
                </c:pt>
                <c:pt idx="4">
                  <c:v>17.326942725016981</c:v>
                </c:pt>
              </c:numCache>
            </c:numRef>
          </c:val>
          <c:extLst>
            <c:ext xmlns:c16="http://schemas.microsoft.com/office/drawing/2014/chart" uri="{C3380CC4-5D6E-409C-BE32-E72D297353CC}">
              <c16:uniqueId val="{00000000-F416-463E-95CF-F07C922C208E}"/>
            </c:ext>
          </c:extLst>
        </c:ser>
        <c:ser>
          <c:idx val="1"/>
          <c:order val="1"/>
          <c:tx>
            <c:strRef>
              <c:f>'Nutrition intake vs BMI'!$C$3:$C$4</c:f>
              <c:strCache>
                <c:ptCount val="1"/>
                <c:pt idx="0">
                  <c:v>1</c:v>
                </c:pt>
              </c:strCache>
            </c:strRef>
          </c:tx>
          <c:spPr>
            <a:solidFill>
              <a:schemeClr val="accent2"/>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BMI'!$C$5:$C$10</c:f>
              <c:numCache>
                <c:formatCode>0.00</c:formatCode>
                <c:ptCount val="5"/>
                <c:pt idx="0">
                  <c:v>17.280117596560103</c:v>
                </c:pt>
                <c:pt idx="1">
                  <c:v>16.201722814253078</c:v>
                </c:pt>
                <c:pt idx="2">
                  <c:v>13.414804870225169</c:v>
                </c:pt>
                <c:pt idx="3">
                  <c:v>15.547827345547695</c:v>
                </c:pt>
                <c:pt idx="4">
                  <c:v>16.827714126941665</c:v>
                </c:pt>
              </c:numCache>
            </c:numRef>
          </c:val>
          <c:extLst>
            <c:ext xmlns:c16="http://schemas.microsoft.com/office/drawing/2014/chart" uri="{C3380CC4-5D6E-409C-BE32-E72D297353CC}">
              <c16:uniqueId val="{00000001-F416-463E-95CF-F07C922C208E}"/>
            </c:ext>
          </c:extLst>
        </c:ser>
        <c:ser>
          <c:idx val="2"/>
          <c:order val="2"/>
          <c:tx>
            <c:strRef>
              <c:f>'Nutrition intake vs BMI'!$D$3:$D$4</c:f>
              <c:strCache>
                <c:ptCount val="1"/>
                <c:pt idx="0">
                  <c:v>2</c:v>
                </c:pt>
              </c:strCache>
            </c:strRef>
          </c:tx>
          <c:spPr>
            <a:solidFill>
              <a:schemeClr val="accent3"/>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BMI'!$D$5:$D$10</c:f>
              <c:numCache>
                <c:formatCode>0.00</c:formatCode>
                <c:ptCount val="5"/>
                <c:pt idx="0">
                  <c:v>16.27305047255906</c:v>
                </c:pt>
                <c:pt idx="1">
                  <c:v>17.145357431721354</c:v>
                </c:pt>
                <c:pt idx="2">
                  <c:v>17.219114471226323</c:v>
                </c:pt>
                <c:pt idx="3">
                  <c:v>18.37904051788599</c:v>
                </c:pt>
                <c:pt idx="4">
                  <c:v>16.79563742079436</c:v>
                </c:pt>
              </c:numCache>
            </c:numRef>
          </c:val>
          <c:extLst>
            <c:ext xmlns:c16="http://schemas.microsoft.com/office/drawing/2014/chart" uri="{C3380CC4-5D6E-409C-BE32-E72D297353CC}">
              <c16:uniqueId val="{00000002-F416-463E-95CF-F07C922C208E}"/>
            </c:ext>
          </c:extLst>
        </c:ser>
        <c:ser>
          <c:idx val="3"/>
          <c:order val="3"/>
          <c:tx>
            <c:strRef>
              <c:f>'Nutrition intake vs BMI'!$E$3:$E$4</c:f>
              <c:strCache>
                <c:ptCount val="1"/>
                <c:pt idx="0">
                  <c:v>3</c:v>
                </c:pt>
              </c:strCache>
            </c:strRef>
          </c:tx>
          <c:spPr>
            <a:solidFill>
              <a:schemeClr val="accent4"/>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BMI'!$E$5:$E$10</c:f>
              <c:numCache>
                <c:formatCode>0.00</c:formatCode>
                <c:ptCount val="5"/>
                <c:pt idx="0">
                  <c:v>17.104134635526798</c:v>
                </c:pt>
                <c:pt idx="1">
                  <c:v>15.486892118792989</c:v>
                </c:pt>
                <c:pt idx="3">
                  <c:v>19.105850849662808</c:v>
                </c:pt>
                <c:pt idx="4">
                  <c:v>16.427913820241738</c:v>
                </c:pt>
              </c:numCache>
            </c:numRef>
          </c:val>
          <c:extLst>
            <c:ext xmlns:c16="http://schemas.microsoft.com/office/drawing/2014/chart" uri="{C3380CC4-5D6E-409C-BE32-E72D297353CC}">
              <c16:uniqueId val="{00000003-F416-463E-95CF-F07C922C208E}"/>
            </c:ext>
          </c:extLst>
        </c:ser>
        <c:ser>
          <c:idx val="4"/>
          <c:order val="4"/>
          <c:tx>
            <c:strRef>
              <c:f>'Nutrition intake vs BMI'!$F$3:$F$4</c:f>
              <c:strCache>
                <c:ptCount val="1"/>
                <c:pt idx="0">
                  <c:v>4</c:v>
                </c:pt>
              </c:strCache>
            </c:strRef>
          </c:tx>
          <c:spPr>
            <a:solidFill>
              <a:schemeClr val="accent5"/>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BMI'!$F$5:$F$10</c:f>
              <c:numCache>
                <c:formatCode>0.00</c:formatCode>
                <c:ptCount val="5"/>
                <c:pt idx="0">
                  <c:v>18.137073212360072</c:v>
                </c:pt>
                <c:pt idx="1">
                  <c:v>17.548662976364966</c:v>
                </c:pt>
                <c:pt idx="2">
                  <c:v>17.104693630968079</c:v>
                </c:pt>
                <c:pt idx="3">
                  <c:v>15.747317770125974</c:v>
                </c:pt>
                <c:pt idx="4">
                  <c:v>20.023541521230683</c:v>
                </c:pt>
              </c:numCache>
            </c:numRef>
          </c:val>
          <c:extLst>
            <c:ext xmlns:c16="http://schemas.microsoft.com/office/drawing/2014/chart" uri="{C3380CC4-5D6E-409C-BE32-E72D297353CC}">
              <c16:uniqueId val="{00000004-F416-463E-95CF-F07C922C208E}"/>
            </c:ext>
          </c:extLst>
        </c:ser>
        <c:dLbls>
          <c:showLegendKey val="0"/>
          <c:showVal val="0"/>
          <c:showCatName val="0"/>
          <c:showSerName val="0"/>
          <c:showPercent val="0"/>
          <c:showBubbleSize val="0"/>
        </c:dLbls>
        <c:gapWidth val="219"/>
        <c:overlap val="-27"/>
        <c:axId val="2135266128"/>
        <c:axId val="2135264208"/>
      </c:barChart>
      <c:catAx>
        <c:axId val="2135266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Fruit servings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64208"/>
        <c:crosses val="autoZero"/>
        <c:auto val="1"/>
        <c:lblAlgn val="ctr"/>
        <c:lblOffset val="100"/>
        <c:noMultiLvlLbl val="0"/>
      </c:catAx>
      <c:valAx>
        <c:axId val="2135264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Veggie servings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6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analysis excel.xlsx]Correlation of sugar &amp; screen 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 of sugar &amp; screen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'Correlation of sugar &amp; screen t'!$B$3</c:f>
              <c:strCache>
                <c:ptCount val="1"/>
                <c:pt idx="0">
                  <c:v>Average of Daily Sugar Drinks</c:v>
                </c:pt>
              </c:strCache>
            </c:strRef>
          </c:tx>
          <c:spPr>
            <a:solidFill>
              <a:schemeClr val="accent1"/>
            </a:solidFill>
            <a:ln>
              <a:noFill/>
            </a:ln>
            <a:effectLst/>
            <a:sp3d/>
          </c:spPr>
          <c:invertIfNegative val="0"/>
          <c:cat>
            <c:strRef>
              <c:f>'Correlation of sugar &amp; screen t'!$A$4:$A$6</c:f>
              <c:strCache>
                <c:ptCount val="2"/>
                <c:pt idx="0">
                  <c:v>Healthy Weight</c:v>
                </c:pt>
                <c:pt idx="1">
                  <c:v>Under Weight</c:v>
                </c:pt>
              </c:strCache>
            </c:strRef>
          </c:cat>
          <c:val>
            <c:numRef>
              <c:f>'Correlation of sugar &amp; screen t'!$B$4:$B$6</c:f>
              <c:numCache>
                <c:formatCode>General</c:formatCode>
                <c:ptCount val="2"/>
                <c:pt idx="0">
                  <c:v>1.5833333333333333</c:v>
                </c:pt>
                <c:pt idx="1">
                  <c:v>1.3026315789473684</c:v>
                </c:pt>
              </c:numCache>
            </c:numRef>
          </c:val>
          <c:extLst>
            <c:ext xmlns:c16="http://schemas.microsoft.com/office/drawing/2014/chart" uri="{C3380CC4-5D6E-409C-BE32-E72D297353CC}">
              <c16:uniqueId val="{00000000-05F4-4F3B-A22A-6BB3AD07C38A}"/>
            </c:ext>
          </c:extLst>
        </c:ser>
        <c:ser>
          <c:idx val="1"/>
          <c:order val="1"/>
          <c:tx>
            <c:strRef>
              <c:f>'Correlation of sugar &amp; screen t'!$C$3</c:f>
              <c:strCache>
                <c:ptCount val="1"/>
                <c:pt idx="0">
                  <c:v>Average of ScreenTime Hours</c:v>
                </c:pt>
              </c:strCache>
            </c:strRef>
          </c:tx>
          <c:spPr>
            <a:solidFill>
              <a:schemeClr val="accent2"/>
            </a:solidFill>
            <a:ln>
              <a:noFill/>
            </a:ln>
            <a:effectLst/>
            <a:sp3d/>
          </c:spPr>
          <c:invertIfNegative val="0"/>
          <c:cat>
            <c:strRef>
              <c:f>'Correlation of sugar &amp; screen t'!$A$4:$A$6</c:f>
              <c:strCache>
                <c:ptCount val="2"/>
                <c:pt idx="0">
                  <c:v>Healthy Weight</c:v>
                </c:pt>
                <c:pt idx="1">
                  <c:v>Under Weight</c:v>
                </c:pt>
              </c:strCache>
            </c:strRef>
          </c:cat>
          <c:val>
            <c:numRef>
              <c:f>'Correlation of sugar &amp; screen t'!$C$4:$C$6</c:f>
              <c:numCache>
                <c:formatCode>General</c:formatCode>
                <c:ptCount val="2"/>
                <c:pt idx="0">
                  <c:v>1.6875000000000002</c:v>
                </c:pt>
                <c:pt idx="1">
                  <c:v>1.2986842105263157</c:v>
                </c:pt>
              </c:numCache>
            </c:numRef>
          </c:val>
          <c:extLst>
            <c:ext xmlns:c16="http://schemas.microsoft.com/office/drawing/2014/chart" uri="{C3380CC4-5D6E-409C-BE32-E72D297353CC}">
              <c16:uniqueId val="{00000001-05F4-4F3B-A22A-6BB3AD07C38A}"/>
            </c:ext>
          </c:extLst>
        </c:ser>
        <c:dLbls>
          <c:showLegendKey val="0"/>
          <c:showVal val="0"/>
          <c:showCatName val="0"/>
          <c:showSerName val="0"/>
          <c:showPercent val="0"/>
          <c:showBubbleSize val="0"/>
        </c:dLbls>
        <c:gapWidth val="150"/>
        <c:shape val="box"/>
        <c:axId val="2116052352"/>
        <c:axId val="2116052832"/>
        <c:axId val="0"/>
      </c:bar3DChart>
      <c:catAx>
        <c:axId val="2116052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Weight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52832"/>
        <c:crosses val="autoZero"/>
        <c:auto val="1"/>
        <c:lblAlgn val="ctr"/>
        <c:lblOffset val="100"/>
        <c:noMultiLvlLbl val="0"/>
      </c:catAx>
      <c:valAx>
        <c:axId val="2116052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Sugar &amp; screen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5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analysis excel.xlsx]Regional differences!PivotTable5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 differences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'Regional differences'!$B$3</c:f>
              <c:strCache>
                <c:ptCount val="1"/>
                <c:pt idx="0">
                  <c:v>Average of Daily Fruit Servings</c:v>
                </c:pt>
              </c:strCache>
            </c:strRef>
          </c:tx>
          <c:spPr>
            <a:solidFill>
              <a:schemeClr val="accent1"/>
            </a:solidFill>
            <a:ln>
              <a:noFill/>
            </a:ln>
            <a:effectLst/>
            <a:sp3d/>
          </c:spPr>
          <c:cat>
            <c:strRef>
              <c:f>'Regional differences'!$A$4:$A$9</c:f>
              <c:strCache>
                <c:ptCount val="5"/>
                <c:pt idx="0">
                  <c:v>Central</c:v>
                </c:pt>
                <c:pt idx="1">
                  <c:v>East</c:v>
                </c:pt>
                <c:pt idx="2">
                  <c:v>North</c:v>
                </c:pt>
                <c:pt idx="3">
                  <c:v>South</c:v>
                </c:pt>
                <c:pt idx="4">
                  <c:v>West</c:v>
                </c:pt>
              </c:strCache>
            </c:strRef>
          </c:cat>
          <c:val>
            <c:numRef>
              <c:f>'Regional differences'!$B$4:$B$9</c:f>
              <c:numCache>
                <c:formatCode>General</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0-196C-48B7-9506-EDAE116A1F23}"/>
            </c:ext>
          </c:extLst>
        </c:ser>
        <c:ser>
          <c:idx val="1"/>
          <c:order val="1"/>
          <c:tx>
            <c:strRef>
              <c:f>'Regional differences'!$C$3</c:f>
              <c:strCache>
                <c:ptCount val="1"/>
                <c:pt idx="0">
                  <c:v>Average of BMI</c:v>
                </c:pt>
              </c:strCache>
            </c:strRef>
          </c:tx>
          <c:spPr>
            <a:solidFill>
              <a:schemeClr val="accent2"/>
            </a:solidFill>
            <a:ln>
              <a:noFill/>
            </a:ln>
            <a:effectLst/>
            <a:sp3d/>
          </c:spPr>
          <c:cat>
            <c:strRef>
              <c:f>'Regional differences'!$A$4:$A$9</c:f>
              <c:strCache>
                <c:ptCount val="5"/>
                <c:pt idx="0">
                  <c:v>Central</c:v>
                </c:pt>
                <c:pt idx="1">
                  <c:v>East</c:v>
                </c:pt>
                <c:pt idx="2">
                  <c:v>North</c:v>
                </c:pt>
                <c:pt idx="3">
                  <c:v>South</c:v>
                </c:pt>
                <c:pt idx="4">
                  <c:v>West</c:v>
                </c:pt>
              </c:strCache>
            </c:strRef>
          </c:cat>
          <c:val>
            <c:numRef>
              <c:f>'Regional differences'!$C$4:$C$9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1-196C-48B7-9506-EDAE116A1F23}"/>
            </c:ext>
          </c:extLst>
        </c:ser>
        <c:dLbls>
          <c:showLegendKey val="0"/>
          <c:showVal val="0"/>
          <c:showCatName val="0"/>
          <c:showSerName val="0"/>
          <c:showPercent val="0"/>
          <c:showBubbleSize val="0"/>
        </c:dLbls>
        <c:axId val="2035163744"/>
        <c:axId val="2035161824"/>
        <c:axId val="2120977168"/>
      </c:area3DChart>
      <c:catAx>
        <c:axId val="203516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61824"/>
        <c:crosses val="autoZero"/>
        <c:auto val="1"/>
        <c:lblAlgn val="ctr"/>
        <c:lblOffset val="100"/>
        <c:noMultiLvlLbl val="0"/>
      </c:catAx>
      <c:valAx>
        <c:axId val="2035161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of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63744"/>
        <c:crosses val="autoZero"/>
        <c:crossBetween val="midCat"/>
      </c:valAx>
      <c:serAx>
        <c:axId val="2120977168"/>
        <c:scaling>
          <c:orientation val="minMax"/>
        </c:scaling>
        <c:delete val="1"/>
        <c:axPos val="b"/>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of fruit servings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crossAx val="20351618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analysis excel.xlsx]Health status by age group!PivotTable2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 status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'Health status by age group'!$B$3:$B$4</c:f>
              <c:strCache>
                <c:ptCount val="1"/>
                <c:pt idx="0">
                  <c:v>Healthy Weight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status by age group'!$A$5:$A$8</c:f>
              <c:strCache>
                <c:ptCount val="3"/>
                <c:pt idx="0">
                  <c:v>24-36</c:v>
                </c:pt>
                <c:pt idx="1">
                  <c:v>36-48</c:v>
                </c:pt>
                <c:pt idx="2">
                  <c:v>48-60</c:v>
                </c:pt>
              </c:strCache>
            </c:strRef>
          </c:cat>
          <c:val>
            <c:numRef>
              <c:f>'Health status by age group'!$B$5:$B$8</c:f>
              <c:numCache>
                <c:formatCode>General</c:formatCode>
                <c:ptCount val="3"/>
                <c:pt idx="0">
                  <c:v>6</c:v>
                </c:pt>
                <c:pt idx="1">
                  <c:v>7</c:v>
                </c:pt>
                <c:pt idx="2">
                  <c:v>11</c:v>
                </c:pt>
              </c:numCache>
            </c:numRef>
          </c:val>
          <c:extLst>
            <c:ext xmlns:c16="http://schemas.microsoft.com/office/drawing/2014/chart" uri="{C3380CC4-5D6E-409C-BE32-E72D297353CC}">
              <c16:uniqueId val="{00000000-EFDE-4208-B0EE-2BCEBB8B0BA6}"/>
            </c:ext>
          </c:extLst>
        </c:ser>
        <c:ser>
          <c:idx val="1"/>
          <c:order val="1"/>
          <c:tx>
            <c:strRef>
              <c:f>'Health status by age group'!$C$3:$C$4</c:f>
              <c:strCache>
                <c:ptCount val="1"/>
                <c:pt idx="0">
                  <c:v>Under Weight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status by age group'!$A$5:$A$8</c:f>
              <c:strCache>
                <c:ptCount val="3"/>
                <c:pt idx="0">
                  <c:v>24-36</c:v>
                </c:pt>
                <c:pt idx="1">
                  <c:v>36-48</c:v>
                </c:pt>
                <c:pt idx="2">
                  <c:v>48-60</c:v>
                </c:pt>
              </c:strCache>
            </c:strRef>
          </c:cat>
          <c:val>
            <c:numRef>
              <c:f>'Health status by age group'!$C$5:$C$8</c:f>
              <c:numCache>
                <c:formatCode>General</c:formatCode>
                <c:ptCount val="3"/>
                <c:pt idx="0">
                  <c:v>32</c:v>
                </c:pt>
                <c:pt idx="1">
                  <c:v>21</c:v>
                </c:pt>
                <c:pt idx="2">
                  <c:v>23</c:v>
                </c:pt>
              </c:numCache>
            </c:numRef>
          </c:val>
          <c:extLst>
            <c:ext xmlns:c16="http://schemas.microsoft.com/office/drawing/2014/chart" uri="{C3380CC4-5D6E-409C-BE32-E72D297353CC}">
              <c16:uniqueId val="{00000001-EFDE-4208-B0EE-2BCEBB8B0BA6}"/>
            </c:ext>
          </c:extLst>
        </c:ser>
        <c:dLbls>
          <c:showLegendKey val="0"/>
          <c:showVal val="1"/>
          <c:showCatName val="0"/>
          <c:showSerName val="0"/>
          <c:showPercent val="0"/>
          <c:showBubbleSize val="0"/>
        </c:dLbls>
        <c:gapWidth val="150"/>
        <c:shape val="box"/>
        <c:axId val="303283904"/>
        <c:axId val="303284384"/>
        <c:axId val="2034259344"/>
      </c:bar3DChart>
      <c:catAx>
        <c:axId val="30328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84384"/>
        <c:crosses val="autoZero"/>
        <c:auto val="1"/>
        <c:lblAlgn val="ctr"/>
        <c:lblOffset val="100"/>
        <c:noMultiLvlLbl val="0"/>
      </c:catAx>
      <c:valAx>
        <c:axId val="303284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Health</a:t>
                </a:r>
                <a:r>
                  <a:rPr lang="en-IN" baseline="0"/>
                  <a:t> Status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83904"/>
        <c:crosses val="autoZero"/>
        <c:crossBetween val="between"/>
      </c:valAx>
      <c:serAx>
        <c:axId val="20342593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843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analysis excel.xlsx]Nutrition intake vs BMI!PivotTable3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Nutrition intake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'Nutrition intake vs BMI'!$B$3:$B$4</c:f>
              <c:strCache>
                <c:ptCount val="1"/>
                <c:pt idx="0">
                  <c:v>0</c:v>
                </c:pt>
              </c:strCache>
            </c:strRef>
          </c:tx>
          <c:spPr>
            <a:solidFill>
              <a:schemeClr val="accent1"/>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BMI'!$B$5:$B$10</c:f>
              <c:numCache>
                <c:formatCode>0.00</c:formatCode>
                <c:ptCount val="5"/>
                <c:pt idx="0">
                  <c:v>19.016420427584645</c:v>
                </c:pt>
                <c:pt idx="1">
                  <c:v>16.35248862763348</c:v>
                </c:pt>
                <c:pt idx="2">
                  <c:v>18.304030863042058</c:v>
                </c:pt>
                <c:pt idx="3">
                  <c:v>18.791232347431109</c:v>
                </c:pt>
                <c:pt idx="4">
                  <c:v>17.326942725016981</c:v>
                </c:pt>
              </c:numCache>
            </c:numRef>
          </c:val>
          <c:extLst>
            <c:ext xmlns:c16="http://schemas.microsoft.com/office/drawing/2014/chart" uri="{C3380CC4-5D6E-409C-BE32-E72D297353CC}">
              <c16:uniqueId val="{00000000-BE00-4F0A-8DB5-A7472FB62855}"/>
            </c:ext>
          </c:extLst>
        </c:ser>
        <c:ser>
          <c:idx val="1"/>
          <c:order val="1"/>
          <c:tx>
            <c:strRef>
              <c:f>'Nutrition intake vs BMI'!$C$3:$C$4</c:f>
              <c:strCache>
                <c:ptCount val="1"/>
                <c:pt idx="0">
                  <c:v>1</c:v>
                </c:pt>
              </c:strCache>
            </c:strRef>
          </c:tx>
          <c:spPr>
            <a:solidFill>
              <a:schemeClr val="accent2"/>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BMI'!$C$5:$C$10</c:f>
              <c:numCache>
                <c:formatCode>0.00</c:formatCode>
                <c:ptCount val="5"/>
                <c:pt idx="0">
                  <c:v>17.280117596560103</c:v>
                </c:pt>
                <c:pt idx="1">
                  <c:v>16.201722814253078</c:v>
                </c:pt>
                <c:pt idx="2">
                  <c:v>13.414804870225169</c:v>
                </c:pt>
                <c:pt idx="3">
                  <c:v>15.547827345547695</c:v>
                </c:pt>
                <c:pt idx="4">
                  <c:v>16.827714126941665</c:v>
                </c:pt>
              </c:numCache>
            </c:numRef>
          </c:val>
          <c:extLst>
            <c:ext xmlns:c16="http://schemas.microsoft.com/office/drawing/2014/chart" uri="{C3380CC4-5D6E-409C-BE32-E72D297353CC}">
              <c16:uniqueId val="{00000001-BE00-4F0A-8DB5-A7472FB62855}"/>
            </c:ext>
          </c:extLst>
        </c:ser>
        <c:ser>
          <c:idx val="2"/>
          <c:order val="2"/>
          <c:tx>
            <c:strRef>
              <c:f>'Nutrition intake vs BMI'!$D$3:$D$4</c:f>
              <c:strCache>
                <c:ptCount val="1"/>
                <c:pt idx="0">
                  <c:v>2</c:v>
                </c:pt>
              </c:strCache>
            </c:strRef>
          </c:tx>
          <c:spPr>
            <a:solidFill>
              <a:schemeClr val="accent3"/>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BMI'!$D$5:$D$10</c:f>
              <c:numCache>
                <c:formatCode>0.00</c:formatCode>
                <c:ptCount val="5"/>
                <c:pt idx="0">
                  <c:v>16.27305047255906</c:v>
                </c:pt>
                <c:pt idx="1">
                  <c:v>17.145357431721354</c:v>
                </c:pt>
                <c:pt idx="2">
                  <c:v>17.219114471226323</c:v>
                </c:pt>
                <c:pt idx="3">
                  <c:v>18.37904051788599</c:v>
                </c:pt>
                <c:pt idx="4">
                  <c:v>16.79563742079436</c:v>
                </c:pt>
              </c:numCache>
            </c:numRef>
          </c:val>
          <c:extLst>
            <c:ext xmlns:c16="http://schemas.microsoft.com/office/drawing/2014/chart" uri="{C3380CC4-5D6E-409C-BE32-E72D297353CC}">
              <c16:uniqueId val="{00000002-BE00-4F0A-8DB5-A7472FB62855}"/>
            </c:ext>
          </c:extLst>
        </c:ser>
        <c:ser>
          <c:idx val="3"/>
          <c:order val="3"/>
          <c:tx>
            <c:strRef>
              <c:f>'Nutrition intake vs BMI'!$E$3:$E$4</c:f>
              <c:strCache>
                <c:ptCount val="1"/>
                <c:pt idx="0">
                  <c:v>3</c:v>
                </c:pt>
              </c:strCache>
            </c:strRef>
          </c:tx>
          <c:spPr>
            <a:solidFill>
              <a:schemeClr val="accent4"/>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BMI'!$E$5:$E$10</c:f>
              <c:numCache>
                <c:formatCode>0.00</c:formatCode>
                <c:ptCount val="5"/>
                <c:pt idx="0">
                  <c:v>17.104134635526798</c:v>
                </c:pt>
                <c:pt idx="1">
                  <c:v>15.486892118792989</c:v>
                </c:pt>
                <c:pt idx="3">
                  <c:v>19.105850849662808</c:v>
                </c:pt>
                <c:pt idx="4">
                  <c:v>16.427913820241738</c:v>
                </c:pt>
              </c:numCache>
            </c:numRef>
          </c:val>
          <c:extLst>
            <c:ext xmlns:c16="http://schemas.microsoft.com/office/drawing/2014/chart" uri="{C3380CC4-5D6E-409C-BE32-E72D297353CC}">
              <c16:uniqueId val="{00000003-BE00-4F0A-8DB5-A7472FB62855}"/>
            </c:ext>
          </c:extLst>
        </c:ser>
        <c:ser>
          <c:idx val="4"/>
          <c:order val="4"/>
          <c:tx>
            <c:strRef>
              <c:f>'Nutrition intake vs BMI'!$F$3:$F$4</c:f>
              <c:strCache>
                <c:ptCount val="1"/>
                <c:pt idx="0">
                  <c:v>4</c:v>
                </c:pt>
              </c:strCache>
            </c:strRef>
          </c:tx>
          <c:spPr>
            <a:solidFill>
              <a:schemeClr val="accent5"/>
            </a:solidFill>
            <a:ln>
              <a:noFill/>
            </a:ln>
            <a:effectLst/>
          </c:spPr>
          <c:invertIfNegative val="0"/>
          <c:cat>
            <c:strRef>
              <c:f>'Nutrition intake vs BMI'!$A$5:$A$10</c:f>
              <c:strCache>
                <c:ptCount val="5"/>
                <c:pt idx="0">
                  <c:v>0</c:v>
                </c:pt>
                <c:pt idx="1">
                  <c:v>1</c:v>
                </c:pt>
                <c:pt idx="2">
                  <c:v>2</c:v>
                </c:pt>
                <c:pt idx="3">
                  <c:v>3</c:v>
                </c:pt>
                <c:pt idx="4">
                  <c:v>4</c:v>
                </c:pt>
              </c:strCache>
            </c:strRef>
          </c:cat>
          <c:val>
            <c:numRef>
              <c:f>'Nutrition intake vs BMI'!$F$5:$F$10</c:f>
              <c:numCache>
                <c:formatCode>0.00</c:formatCode>
                <c:ptCount val="5"/>
                <c:pt idx="0">
                  <c:v>18.137073212360072</c:v>
                </c:pt>
                <c:pt idx="1">
                  <c:v>17.548662976364966</c:v>
                </c:pt>
                <c:pt idx="2">
                  <c:v>17.104693630968079</c:v>
                </c:pt>
                <c:pt idx="3">
                  <c:v>15.747317770125974</c:v>
                </c:pt>
                <c:pt idx="4">
                  <c:v>20.023541521230683</c:v>
                </c:pt>
              </c:numCache>
            </c:numRef>
          </c:val>
          <c:extLst>
            <c:ext xmlns:c16="http://schemas.microsoft.com/office/drawing/2014/chart" uri="{C3380CC4-5D6E-409C-BE32-E72D297353CC}">
              <c16:uniqueId val="{00000004-BE00-4F0A-8DB5-A7472FB62855}"/>
            </c:ext>
          </c:extLst>
        </c:ser>
        <c:dLbls>
          <c:showLegendKey val="0"/>
          <c:showVal val="0"/>
          <c:showCatName val="0"/>
          <c:showSerName val="0"/>
          <c:showPercent val="0"/>
          <c:showBubbleSize val="0"/>
        </c:dLbls>
        <c:gapWidth val="219"/>
        <c:overlap val="-27"/>
        <c:axId val="2135266128"/>
        <c:axId val="2135264208"/>
      </c:barChart>
      <c:catAx>
        <c:axId val="2135266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Fruit servings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64208"/>
        <c:crosses val="autoZero"/>
        <c:auto val="1"/>
        <c:lblAlgn val="ctr"/>
        <c:lblOffset val="100"/>
        <c:noMultiLvlLbl val="0"/>
      </c:catAx>
      <c:valAx>
        <c:axId val="2135264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Veggie servings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6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analysis excel.xlsx]Correlation of sugar &amp; screen t!PivotTable4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 of sugar &amp; screen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'Correlation of sugar &amp; screen t'!$B$3</c:f>
              <c:strCache>
                <c:ptCount val="1"/>
                <c:pt idx="0">
                  <c:v>Average of Daily Sugar Drinks</c:v>
                </c:pt>
              </c:strCache>
            </c:strRef>
          </c:tx>
          <c:spPr>
            <a:solidFill>
              <a:schemeClr val="accent1"/>
            </a:solidFill>
            <a:ln>
              <a:noFill/>
            </a:ln>
            <a:effectLst/>
            <a:sp3d/>
          </c:spPr>
          <c:invertIfNegative val="0"/>
          <c:cat>
            <c:strRef>
              <c:f>'Correlation of sugar &amp; screen t'!$A$4:$A$6</c:f>
              <c:strCache>
                <c:ptCount val="2"/>
                <c:pt idx="0">
                  <c:v>Healthy Weight</c:v>
                </c:pt>
                <c:pt idx="1">
                  <c:v>Under Weight</c:v>
                </c:pt>
              </c:strCache>
            </c:strRef>
          </c:cat>
          <c:val>
            <c:numRef>
              <c:f>'Correlation of sugar &amp; screen t'!$B$4:$B$6</c:f>
              <c:numCache>
                <c:formatCode>General</c:formatCode>
                <c:ptCount val="2"/>
                <c:pt idx="0">
                  <c:v>1.5833333333333333</c:v>
                </c:pt>
                <c:pt idx="1">
                  <c:v>1.3026315789473684</c:v>
                </c:pt>
              </c:numCache>
            </c:numRef>
          </c:val>
          <c:extLst>
            <c:ext xmlns:c16="http://schemas.microsoft.com/office/drawing/2014/chart" uri="{C3380CC4-5D6E-409C-BE32-E72D297353CC}">
              <c16:uniqueId val="{00000000-8B93-4F3C-8E09-DF96FE13ECB4}"/>
            </c:ext>
          </c:extLst>
        </c:ser>
        <c:ser>
          <c:idx val="1"/>
          <c:order val="1"/>
          <c:tx>
            <c:strRef>
              <c:f>'Correlation of sugar &amp; screen t'!$C$3</c:f>
              <c:strCache>
                <c:ptCount val="1"/>
                <c:pt idx="0">
                  <c:v>Average of ScreenTime Hours</c:v>
                </c:pt>
              </c:strCache>
            </c:strRef>
          </c:tx>
          <c:spPr>
            <a:solidFill>
              <a:schemeClr val="accent2"/>
            </a:solidFill>
            <a:ln>
              <a:noFill/>
            </a:ln>
            <a:effectLst/>
            <a:sp3d/>
          </c:spPr>
          <c:invertIfNegative val="0"/>
          <c:cat>
            <c:strRef>
              <c:f>'Correlation of sugar &amp; screen t'!$A$4:$A$6</c:f>
              <c:strCache>
                <c:ptCount val="2"/>
                <c:pt idx="0">
                  <c:v>Healthy Weight</c:v>
                </c:pt>
                <c:pt idx="1">
                  <c:v>Under Weight</c:v>
                </c:pt>
              </c:strCache>
            </c:strRef>
          </c:cat>
          <c:val>
            <c:numRef>
              <c:f>'Correlation of sugar &amp; screen t'!$C$4:$C$6</c:f>
              <c:numCache>
                <c:formatCode>General</c:formatCode>
                <c:ptCount val="2"/>
                <c:pt idx="0">
                  <c:v>1.6875000000000002</c:v>
                </c:pt>
                <c:pt idx="1">
                  <c:v>1.2986842105263157</c:v>
                </c:pt>
              </c:numCache>
            </c:numRef>
          </c:val>
          <c:extLst>
            <c:ext xmlns:c16="http://schemas.microsoft.com/office/drawing/2014/chart" uri="{C3380CC4-5D6E-409C-BE32-E72D297353CC}">
              <c16:uniqueId val="{00000001-8B93-4F3C-8E09-DF96FE13ECB4}"/>
            </c:ext>
          </c:extLst>
        </c:ser>
        <c:dLbls>
          <c:showLegendKey val="0"/>
          <c:showVal val="0"/>
          <c:showCatName val="0"/>
          <c:showSerName val="0"/>
          <c:showPercent val="0"/>
          <c:showBubbleSize val="0"/>
        </c:dLbls>
        <c:gapWidth val="150"/>
        <c:shape val="box"/>
        <c:axId val="2116052352"/>
        <c:axId val="2116052832"/>
        <c:axId val="0"/>
      </c:bar3DChart>
      <c:catAx>
        <c:axId val="2116052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Weight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52832"/>
        <c:crosses val="autoZero"/>
        <c:auto val="1"/>
        <c:lblAlgn val="ctr"/>
        <c:lblOffset val="100"/>
        <c:noMultiLvlLbl val="0"/>
      </c:catAx>
      <c:valAx>
        <c:axId val="2116052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Sugar &amp; screen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5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 analysis excel.xlsx]Regional differences!PivotTable5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 differences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'Regional differences'!$B$3</c:f>
              <c:strCache>
                <c:ptCount val="1"/>
                <c:pt idx="0">
                  <c:v>Average of Daily Fruit Servings</c:v>
                </c:pt>
              </c:strCache>
            </c:strRef>
          </c:tx>
          <c:spPr>
            <a:solidFill>
              <a:schemeClr val="accent1"/>
            </a:solidFill>
            <a:ln>
              <a:noFill/>
            </a:ln>
            <a:effectLst/>
            <a:sp3d/>
          </c:spPr>
          <c:cat>
            <c:strRef>
              <c:f>'Regional differences'!$A$4:$A$9</c:f>
              <c:strCache>
                <c:ptCount val="5"/>
                <c:pt idx="0">
                  <c:v>Central</c:v>
                </c:pt>
                <c:pt idx="1">
                  <c:v>East</c:v>
                </c:pt>
                <c:pt idx="2">
                  <c:v>North</c:v>
                </c:pt>
                <c:pt idx="3">
                  <c:v>South</c:v>
                </c:pt>
                <c:pt idx="4">
                  <c:v>West</c:v>
                </c:pt>
              </c:strCache>
            </c:strRef>
          </c:cat>
          <c:val>
            <c:numRef>
              <c:f>'Regional differences'!$B$4:$B$9</c:f>
              <c:numCache>
                <c:formatCode>General</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0-2AFE-4884-9924-C05FD19A3E54}"/>
            </c:ext>
          </c:extLst>
        </c:ser>
        <c:ser>
          <c:idx val="1"/>
          <c:order val="1"/>
          <c:tx>
            <c:strRef>
              <c:f>'Regional differences'!$C$3</c:f>
              <c:strCache>
                <c:ptCount val="1"/>
                <c:pt idx="0">
                  <c:v>Average of BMI</c:v>
                </c:pt>
              </c:strCache>
            </c:strRef>
          </c:tx>
          <c:spPr>
            <a:solidFill>
              <a:schemeClr val="accent2"/>
            </a:solidFill>
            <a:ln>
              <a:noFill/>
            </a:ln>
            <a:effectLst/>
            <a:sp3d/>
          </c:spPr>
          <c:cat>
            <c:strRef>
              <c:f>'Regional differences'!$A$4:$A$9</c:f>
              <c:strCache>
                <c:ptCount val="5"/>
                <c:pt idx="0">
                  <c:v>Central</c:v>
                </c:pt>
                <c:pt idx="1">
                  <c:v>East</c:v>
                </c:pt>
                <c:pt idx="2">
                  <c:v>North</c:v>
                </c:pt>
                <c:pt idx="3">
                  <c:v>South</c:v>
                </c:pt>
                <c:pt idx="4">
                  <c:v>West</c:v>
                </c:pt>
              </c:strCache>
            </c:strRef>
          </c:cat>
          <c:val>
            <c:numRef>
              <c:f>'Regional differences'!$C$4:$C$9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1-2AFE-4884-9924-C05FD19A3E54}"/>
            </c:ext>
          </c:extLst>
        </c:ser>
        <c:dLbls>
          <c:showLegendKey val="0"/>
          <c:showVal val="0"/>
          <c:showCatName val="0"/>
          <c:showSerName val="0"/>
          <c:showPercent val="0"/>
          <c:showBubbleSize val="0"/>
        </c:dLbls>
        <c:axId val="2035163744"/>
        <c:axId val="2035161824"/>
        <c:axId val="2120977168"/>
      </c:area3DChart>
      <c:catAx>
        <c:axId val="203516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61824"/>
        <c:crosses val="autoZero"/>
        <c:auto val="1"/>
        <c:lblAlgn val="ctr"/>
        <c:lblOffset val="100"/>
        <c:noMultiLvlLbl val="0"/>
      </c:catAx>
      <c:valAx>
        <c:axId val="2035161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of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63744"/>
        <c:crosses val="autoZero"/>
        <c:crossBetween val="midCat"/>
      </c:valAx>
      <c:serAx>
        <c:axId val="2120977168"/>
        <c:scaling>
          <c:orientation val="minMax"/>
        </c:scaling>
        <c:delete val="1"/>
        <c:axPos val="b"/>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of fruit servings</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crossAx val="20351618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91440</xdr:colOff>
      <xdr:row>1</xdr:row>
      <xdr:rowOff>95250</xdr:rowOff>
    </xdr:from>
    <xdr:to>
      <xdr:col>11</xdr:col>
      <xdr:colOff>396240</xdr:colOff>
      <xdr:row>16</xdr:row>
      <xdr:rowOff>95250</xdr:rowOff>
    </xdr:to>
    <xdr:graphicFrame macro="">
      <xdr:nvGraphicFramePr>
        <xdr:cNvPr id="2" name="Chart 1">
          <a:extLst>
            <a:ext uri="{FF2B5EF4-FFF2-40B4-BE49-F238E27FC236}">
              <a16:creationId xmlns:a16="http://schemas.microsoft.com/office/drawing/2014/main" id="{E639B976-A6EC-7CCC-700E-586AD1B17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17</xdr:row>
      <xdr:rowOff>167640</xdr:rowOff>
    </xdr:from>
    <xdr:to>
      <xdr:col>8</xdr:col>
      <xdr:colOff>601980</xdr:colOff>
      <xdr:row>23</xdr:row>
      <xdr:rowOff>53340</xdr:rowOff>
    </xdr:to>
    <xdr:sp macro="" textlink="">
      <xdr:nvSpPr>
        <xdr:cNvPr id="3" name="TextBox 2">
          <a:extLst>
            <a:ext uri="{FF2B5EF4-FFF2-40B4-BE49-F238E27FC236}">
              <a16:creationId xmlns:a16="http://schemas.microsoft.com/office/drawing/2014/main" id="{CD1360E7-84D5-E80A-B699-B304DFF5FDCE}"/>
            </a:ext>
          </a:extLst>
        </xdr:cNvPr>
        <xdr:cNvSpPr txBox="1"/>
      </xdr:nvSpPr>
      <xdr:spPr>
        <a:xfrm>
          <a:off x="76200" y="3276600"/>
          <a:ext cx="6659880" cy="98298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Insight:</a:t>
          </a:r>
        </a:p>
        <a:p>
          <a:r>
            <a:rPr lang="en-IN" sz="1100"/>
            <a:t>The age group of 24-36 months has more underweight</a:t>
          </a:r>
          <a:r>
            <a:rPr lang="en-IN" sz="1100" baseline="0"/>
            <a:t> children compared to other and as growing 48-60months </a:t>
          </a:r>
        </a:p>
        <a:p>
          <a:r>
            <a:rPr lang="en-IN" sz="1100" baseline="0"/>
            <a:t>children has more healthy weight.</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495300</xdr:colOff>
      <xdr:row>2</xdr:row>
      <xdr:rowOff>106680</xdr:rowOff>
    </xdr:from>
    <xdr:to>
      <xdr:col>11</xdr:col>
      <xdr:colOff>495300</xdr:colOff>
      <xdr:row>16</xdr:row>
      <xdr:rowOff>13335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99C5740-C6C4-9362-6967-1A32842647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7116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640080</xdr:colOff>
      <xdr:row>10</xdr:row>
      <xdr:rowOff>80010</xdr:rowOff>
    </xdr:from>
    <xdr:to>
      <xdr:col>8</xdr:col>
      <xdr:colOff>236220</xdr:colOff>
      <xdr:row>25</xdr:row>
      <xdr:rowOff>80010</xdr:rowOff>
    </xdr:to>
    <xdr:graphicFrame macro="">
      <xdr:nvGraphicFramePr>
        <xdr:cNvPr id="3" name="Chart 2">
          <a:extLst>
            <a:ext uri="{FF2B5EF4-FFF2-40B4-BE49-F238E27FC236}">
              <a16:creationId xmlns:a16="http://schemas.microsoft.com/office/drawing/2014/main" id="{3E2F8BB7-2E7F-A38B-4D11-4AE0A3992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xdr:row>
      <xdr:rowOff>41910</xdr:rowOff>
    </xdr:from>
    <xdr:to>
      <xdr:col>10</xdr:col>
      <xdr:colOff>457200</xdr:colOff>
      <xdr:row>16</xdr:row>
      <xdr:rowOff>41910</xdr:rowOff>
    </xdr:to>
    <xdr:graphicFrame macro="">
      <xdr:nvGraphicFramePr>
        <xdr:cNvPr id="2" name="Chart 1">
          <a:extLst>
            <a:ext uri="{FF2B5EF4-FFF2-40B4-BE49-F238E27FC236}">
              <a16:creationId xmlns:a16="http://schemas.microsoft.com/office/drawing/2014/main" id="{75B5643D-A65B-DCA3-1F5F-95798BC8B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281940</xdr:colOff>
      <xdr:row>18</xdr:row>
      <xdr:rowOff>91440</xdr:rowOff>
    </xdr:from>
    <xdr:to>
      <xdr:col>4</xdr:col>
      <xdr:colOff>396240</xdr:colOff>
      <xdr:row>23</xdr:row>
      <xdr:rowOff>15240</xdr:rowOff>
    </xdr:to>
    <xdr:sp macro="" textlink="">
      <xdr:nvSpPr>
        <xdr:cNvPr id="3" name="TextBox 2">
          <a:extLst>
            <a:ext uri="{FF2B5EF4-FFF2-40B4-BE49-F238E27FC236}">
              <a16:creationId xmlns:a16="http://schemas.microsoft.com/office/drawing/2014/main" id="{4F2D9BE8-A57F-BF59-1048-A163D54CA0D5}"/>
            </a:ext>
          </a:extLst>
        </xdr:cNvPr>
        <xdr:cNvSpPr txBox="1"/>
      </xdr:nvSpPr>
      <xdr:spPr>
        <a:xfrm>
          <a:off x="281940" y="3383280"/>
          <a:ext cx="5227320" cy="8382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Insight:</a:t>
          </a:r>
        </a:p>
        <a:p>
          <a:r>
            <a:rPr lang="en-IN" sz="1100"/>
            <a:t>Despite being in Healthy weight category has high sugar drinks, high screen time and low weight category has low sugar drinks &amp; low screen time.</a:t>
          </a:r>
        </a:p>
      </xdr:txBody>
    </xdr:sp>
    <xdr:clientData/>
  </xdr:twoCellAnchor>
  <xdr:twoCellAnchor editAs="oneCell">
    <xdr:from>
      <xdr:col>10</xdr:col>
      <xdr:colOff>495300</xdr:colOff>
      <xdr:row>1</xdr:row>
      <xdr:rowOff>0</xdr:rowOff>
    </xdr:from>
    <xdr:to>
      <xdr:col>13</xdr:col>
      <xdr:colOff>495300</xdr:colOff>
      <xdr:row>14</xdr:row>
      <xdr:rowOff>89535</xdr:rowOff>
    </xdr:to>
    <mc:AlternateContent xmlns:mc="http://schemas.openxmlformats.org/markup-compatibility/2006">
      <mc:Choice xmlns:a14="http://schemas.microsoft.com/office/drawing/2010/main" Requires="a14">
        <xdr:graphicFrame macro="">
          <xdr:nvGraphicFramePr>
            <xdr:cNvPr id="4" name="Health Status">
              <a:extLst>
                <a:ext uri="{FF2B5EF4-FFF2-40B4-BE49-F238E27FC236}">
                  <a16:creationId xmlns:a16="http://schemas.microsoft.com/office/drawing/2014/main" id="{86F28307-44D6-F309-1931-D81F9B2E0CFA}"/>
                </a:ext>
              </a:extLst>
            </xdr:cNvPr>
            <xdr:cNvGraphicFramePr/>
          </xdr:nvGraphicFramePr>
          <xdr:xfrm>
            <a:off x="0" y="0"/>
            <a:ext cx="0" cy="0"/>
          </xdr:xfrm>
          <a:graphic>
            <a:graphicData uri="http://schemas.microsoft.com/office/drawing/2010/slicer">
              <sle:slicer xmlns:sle="http://schemas.microsoft.com/office/drawing/2010/slicer" name="Health Status"/>
            </a:graphicData>
          </a:graphic>
        </xdr:graphicFrame>
      </mc:Choice>
      <mc:Fallback>
        <xdr:sp macro="" textlink="">
          <xdr:nvSpPr>
            <xdr:cNvPr id="0" name=""/>
            <xdr:cNvSpPr>
              <a:spLocks noTextEdit="1"/>
            </xdr:cNvSpPr>
          </xdr:nvSpPr>
          <xdr:spPr>
            <a:xfrm>
              <a:off x="931926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144780</xdr:colOff>
      <xdr:row>11</xdr:row>
      <xdr:rowOff>53340</xdr:rowOff>
    </xdr:from>
    <xdr:to>
      <xdr:col>2</xdr:col>
      <xdr:colOff>891540</xdr:colOff>
      <xdr:row>15</xdr:row>
      <xdr:rowOff>83820</xdr:rowOff>
    </xdr:to>
    <xdr:sp macro="" textlink="">
      <xdr:nvSpPr>
        <xdr:cNvPr id="2" name="TextBox 1">
          <a:extLst>
            <a:ext uri="{FF2B5EF4-FFF2-40B4-BE49-F238E27FC236}">
              <a16:creationId xmlns:a16="http://schemas.microsoft.com/office/drawing/2014/main" id="{E90D3859-D570-B1A0-C699-DF5A6331AD06}"/>
            </a:ext>
          </a:extLst>
        </xdr:cNvPr>
        <xdr:cNvSpPr txBox="1"/>
      </xdr:nvSpPr>
      <xdr:spPr>
        <a:xfrm>
          <a:off x="144780" y="2065020"/>
          <a:ext cx="3444240" cy="762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Insight:</a:t>
          </a:r>
        </a:p>
        <a:p>
          <a:r>
            <a:rPr lang="en-IN" sz="1100"/>
            <a:t>West region has low</a:t>
          </a:r>
          <a:r>
            <a:rPr lang="en-IN" sz="1100" baseline="0"/>
            <a:t> fruit intake &amp; high bmi.</a:t>
          </a:r>
        </a:p>
        <a:p>
          <a:r>
            <a:rPr lang="en-IN" sz="1100" baseline="0"/>
            <a:t>South region has high fruit intake &amp; east region has low bmi.</a:t>
          </a:r>
          <a:endParaRPr lang="en-IN" sz="1100"/>
        </a:p>
      </xdr:txBody>
    </xdr:sp>
    <xdr:clientData/>
  </xdr:twoCellAnchor>
  <xdr:twoCellAnchor>
    <xdr:from>
      <xdr:col>3</xdr:col>
      <xdr:colOff>556260</xdr:colOff>
      <xdr:row>3</xdr:row>
      <xdr:rowOff>26670</xdr:rowOff>
    </xdr:from>
    <xdr:to>
      <xdr:col>11</xdr:col>
      <xdr:colOff>251460</xdr:colOff>
      <xdr:row>18</xdr:row>
      <xdr:rowOff>26670</xdr:rowOff>
    </xdr:to>
    <xdr:graphicFrame macro="">
      <xdr:nvGraphicFramePr>
        <xdr:cNvPr id="3" name="Chart 2">
          <a:extLst>
            <a:ext uri="{FF2B5EF4-FFF2-40B4-BE49-F238E27FC236}">
              <a16:creationId xmlns:a16="http://schemas.microsoft.com/office/drawing/2014/main" id="{7E888479-EBDE-0417-E41A-7B2517D14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449580</xdr:colOff>
      <xdr:row>2</xdr:row>
      <xdr:rowOff>53340</xdr:rowOff>
    </xdr:from>
    <xdr:to>
      <xdr:col>14</xdr:col>
      <xdr:colOff>449580</xdr:colOff>
      <xdr:row>15</xdr:row>
      <xdr:rowOff>142875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3D452AE4-B21E-924A-69BF-4DB445BF9C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99160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0D5FF50B-9762-424B-A614-1D532CAAE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15</xdr:col>
      <xdr:colOff>304800</xdr:colOff>
      <xdr:row>15</xdr:row>
      <xdr:rowOff>0</xdr:rowOff>
    </xdr:to>
    <xdr:graphicFrame macro="">
      <xdr:nvGraphicFramePr>
        <xdr:cNvPr id="3" name="Chart 2">
          <a:extLst>
            <a:ext uri="{FF2B5EF4-FFF2-40B4-BE49-F238E27FC236}">
              <a16:creationId xmlns:a16="http://schemas.microsoft.com/office/drawing/2014/main" id="{3546FFBE-5CE1-4444-93D3-7EEECEA1E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304800</xdr:colOff>
      <xdr:row>31</xdr:row>
      <xdr:rowOff>0</xdr:rowOff>
    </xdr:to>
    <xdr:graphicFrame macro="">
      <xdr:nvGraphicFramePr>
        <xdr:cNvPr id="4" name="Chart 3">
          <a:extLst>
            <a:ext uri="{FF2B5EF4-FFF2-40B4-BE49-F238E27FC236}">
              <a16:creationId xmlns:a16="http://schemas.microsoft.com/office/drawing/2014/main" id="{8DF0CA57-1445-4F35-BFF9-A8E785846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16</xdr:row>
      <xdr:rowOff>0</xdr:rowOff>
    </xdr:from>
    <xdr:to>
      <xdr:col>15</xdr:col>
      <xdr:colOff>304800</xdr:colOff>
      <xdr:row>31</xdr:row>
      <xdr:rowOff>0</xdr:rowOff>
    </xdr:to>
    <xdr:graphicFrame macro="">
      <xdr:nvGraphicFramePr>
        <xdr:cNvPr id="5" name="Chart 4">
          <a:extLst>
            <a:ext uri="{FF2B5EF4-FFF2-40B4-BE49-F238E27FC236}">
              <a16:creationId xmlns:a16="http://schemas.microsoft.com/office/drawing/2014/main" id="{A2F0FDF2-131B-48AD-B392-30B2D3D0E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0</xdr:row>
      <xdr:rowOff>1</xdr:rowOff>
    </xdr:from>
    <xdr:to>
      <xdr:col>19</xdr:col>
      <xdr:colOff>0</xdr:colOff>
      <xdr:row>9</xdr:row>
      <xdr:rowOff>22861</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894AC007-C156-4B80-B3D4-820FE2F9F87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753600" y="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10</xdr:row>
      <xdr:rowOff>1</xdr:rowOff>
    </xdr:from>
    <xdr:to>
      <xdr:col>19</xdr:col>
      <xdr:colOff>0</xdr:colOff>
      <xdr:row>14</xdr:row>
      <xdr:rowOff>175261</xdr:rowOff>
    </xdr:to>
    <mc:AlternateContent xmlns:mc="http://schemas.openxmlformats.org/markup-compatibility/2006">
      <mc:Choice xmlns:a14="http://schemas.microsoft.com/office/drawing/2010/main" Requires="a14">
        <xdr:graphicFrame macro="">
          <xdr:nvGraphicFramePr>
            <xdr:cNvPr id="7" name="Health Status 1">
              <a:extLst>
                <a:ext uri="{FF2B5EF4-FFF2-40B4-BE49-F238E27FC236}">
                  <a16:creationId xmlns:a16="http://schemas.microsoft.com/office/drawing/2014/main" id="{D4412A7C-07BA-415D-8442-4FCA4BA8F19C}"/>
                </a:ext>
              </a:extLst>
            </xdr:cNvPr>
            <xdr:cNvGraphicFramePr/>
          </xdr:nvGraphicFramePr>
          <xdr:xfrm>
            <a:off x="0" y="0"/>
            <a:ext cx="0" cy="0"/>
          </xdr:xfrm>
          <a:graphic>
            <a:graphicData uri="http://schemas.microsoft.com/office/drawing/2010/slicer">
              <sle:slicer xmlns:sle="http://schemas.microsoft.com/office/drawing/2010/slicer" name="Health Status 1"/>
            </a:graphicData>
          </a:graphic>
        </xdr:graphicFrame>
      </mc:Choice>
      <mc:Fallback>
        <xdr:sp macro="" textlink="">
          <xdr:nvSpPr>
            <xdr:cNvPr id="0" name=""/>
            <xdr:cNvSpPr>
              <a:spLocks noTextEdit="1"/>
            </xdr:cNvSpPr>
          </xdr:nvSpPr>
          <xdr:spPr>
            <a:xfrm>
              <a:off x="9753600" y="182880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15</xdr:row>
      <xdr:rowOff>91441</xdr:rowOff>
    </xdr:from>
    <xdr:to>
      <xdr:col>19</xdr:col>
      <xdr:colOff>0</xdr:colOff>
      <xdr:row>21</xdr:row>
      <xdr:rowOff>30481</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2F8D4CD7-0C7E-4445-83E5-DDE76257263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753600" y="283464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an sai" refreshedDate="46099.679250578702" createdVersion="8" refreshedVersion="8" minRefreshableVersion="3" recordCount="100" xr:uid="{6448ED17-5584-44BB-8F3F-131BB8C3E3CA}">
  <cacheSource type="worksheet">
    <worksheetSource name="Child_Health_Data"/>
  </cacheSource>
  <cacheFields count="13">
    <cacheField name="ChildID" numFmtId="0">
      <sharedItems/>
    </cacheField>
    <cacheField name="Age Months" numFmtId="0">
      <sharedItems containsSemiMixedTypes="0" containsString="0" containsNumber="1" containsInteger="1" minValue="25" maxValue="59"/>
    </cacheField>
    <cacheField name="Gender" numFmtId="0">
      <sharedItems count="2">
        <s v="Female"/>
        <s v="Male"/>
      </sharedItems>
    </cacheField>
    <cacheField name="Height cm" numFmtId="0">
      <sharedItems containsSemiMixedTypes="0" containsString="0" containsNumber="1" minValue="88.93" maxValue="115.19"/>
    </cacheField>
    <cacheField name="Weight kg" numFmtId="0">
      <sharedItems containsSemiMixedTypes="0" containsString="0" containsNumber="1" minValue="11.75" maxValue="25.26"/>
    </cacheField>
    <cacheField name="Daily Fruit Servings" numFmtId="0">
      <sharedItems containsSemiMixedTypes="0" containsString="0" containsNumber="1" containsInteger="1" minValue="0" maxValue="4" count="5">
        <n v="1"/>
        <n v="0"/>
        <n v="3"/>
        <n v="2"/>
        <n v="4"/>
      </sharedItems>
    </cacheField>
    <cacheField name="Daily Veggie Servings" numFmtId="0">
      <sharedItems containsSemiMixedTypes="0" containsString="0" containsNumber="1" containsInteger="1" minValue="0" maxValue="4" count="5">
        <n v="2"/>
        <n v="1"/>
        <n v="3"/>
        <n v="0"/>
        <n v="4"/>
      </sharedItems>
    </cacheField>
    <cacheField name="Daily Sugar Drinks" numFmtId="0">
      <sharedItems containsSemiMixedTypes="0" containsString="0" containsNumber="1" containsInteger="1" minValue="0" maxValue="3"/>
    </cacheField>
    <cacheField name="ScreenTime Hours" numFmtId="0">
      <sharedItems containsSemiMixedTypes="0" containsString="0" containsNumber="1" minValue="0.5" maxValue="3.8"/>
    </cacheField>
    <cacheField name="Region" numFmtId="0">
      <sharedItems count="5">
        <s v="South"/>
        <s v="Central"/>
        <s v="East"/>
        <s v="North"/>
        <s v="West"/>
      </sharedItems>
    </cacheField>
    <cacheField name="BMI" numFmtId="2">
      <sharedItems containsSemiMixedTypes="0" containsString="0" containsNumber="1" minValue="11.23198275256877" maxValue="21.36231277340449" count="100">
        <n v="15.90614369846883"/>
        <n v="16.512431120446177"/>
        <n v="19.185127564907393"/>
        <n v="19.75238446372795"/>
        <n v="14.992349216790304"/>
        <n v="18.189813900132215"/>
        <n v="17.67025840775398"/>
        <n v="18.553628408784363"/>
        <n v="19.589420799631078"/>
        <n v="14.337779767724934"/>
        <n v="14.572440546466519"/>
        <n v="17.950419185130364"/>
        <n v="16.401367255945466"/>
        <n v="17.108724180222072"/>
        <n v="17.652433135313405"/>
        <n v="17.059205462973896"/>
        <n v="19.92193117497148"/>
        <n v="15.801108000799067"/>
        <n v="17.264563375422682"/>
        <n v="16.056524938447225"/>
        <n v="16.423256883921791"/>
        <n v="17.610292772445963"/>
        <n v="18.053148301698982"/>
        <n v="13.082090287312587"/>
        <n v="16.548488389191526"/>
        <n v="16.821669829165565"/>
        <n v="18.912896252767929"/>
        <n v="11.23198275256877"/>
        <n v="15.637452318001349"/>
        <n v="19.466193791459283"/>
        <n v="18.203288786295403"/>
        <n v="13.618099737124188"/>
        <n v="17.26538862847617"/>
        <n v="15.304371025015923"/>
        <n v="16.411348608910586"/>
        <n v="18.706628300517327"/>
        <n v="12.742738810730817"/>
        <n v="19.026574134418222"/>
        <n v="15.839176320537135"/>
        <n v="17.927675301525785"/>
        <n v="16.069720480391116"/>
        <n v="19.727374806364303"/>
        <n v="16.889044889405064"/>
        <n v="16.309099267089127"/>
        <n v="15.058048908803379"/>
        <n v="17.740865378038603"/>
        <n v="17.89420860909388"/>
        <n v="16.27511447065158"/>
        <n v="13.708060833090812"/>
        <n v="14.190800401461026"/>
        <n v="15.864875656303504"/>
        <n v="17.104134635526798"/>
        <n v="19.570875087215928"/>
        <n v="17.983410512341237"/>
        <n v="13.744544356487417"/>
        <n v="18.166443980296357"/>
        <n v="16.765898919707524"/>
        <n v="17.912132789452027"/>
        <n v="20.023541521230683"/>
        <n v="19.067215363511657"/>
        <n v="18.462404679483562"/>
        <n v="20.630676133633052"/>
        <n v="18.26218788176115"/>
        <n v="15.930649869244029"/>
        <n v="18.041335784504604"/>
        <n v="19.775366471749727"/>
        <n v="17.188983711262917"/>
        <n v="14.092887263873765"/>
        <n v="20.483024296966988"/>
        <n v="12.656431304061822"/>
        <n v="16.692896572247317"/>
        <n v="18.903242860743426"/>
        <n v="20.656995702972939"/>
        <n v="19.59905418252098"/>
        <n v="18.130769749107163"/>
        <n v="15.500923261601326"/>
        <n v="15.886491841187462"/>
        <n v="16.920666215969256"/>
        <n v="21.36231277340449"/>
        <n v="17.699292730459444"/>
        <n v="14.273984861929826"/>
        <n v="17.876437608609475"/>
        <n v="14.159684100694896"/>
        <n v="13.817573013462967"/>
        <n v="15.645800657682841"/>
        <n v="16.43701290971967"/>
        <n v="21.147731176326783"/>
        <n v="14.983791760933824"/>
        <n v="15.877277353299789"/>
        <n v="18.29740792193558"/>
        <n v="16.445281479979926"/>
        <n v="19.611831543124822"/>
        <n v="18.033368785198682"/>
        <n v="16.500272071630885"/>
        <n v="16.47325214515973"/>
        <n v="18.541643890060385"/>
        <n v="16.446228448404973"/>
        <n v="17.054436677671966"/>
        <n v="15.264198789050129"/>
        <n v="18.664925428298883"/>
      </sharedItems>
    </cacheField>
    <cacheField name="Health Status" numFmtId="0">
      <sharedItems count="2">
        <s v="Under Weight"/>
        <s v="Healthy Weight"/>
      </sharedItems>
    </cacheField>
    <cacheField name="Age Group" numFmtId="0">
      <sharedItems count="3">
        <s v="36-48"/>
        <s v="24-36"/>
        <s v="48-60"/>
      </sharedItems>
    </cacheField>
  </cacheFields>
  <extLst>
    <ext xmlns:x14="http://schemas.microsoft.com/office/spreadsheetml/2009/9/main" uri="{725AE2AE-9491-48be-B2B4-4EB974FC3084}">
      <x14:pivotCacheDefinition pivotCacheId="137338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n v="47"/>
    <x v="0"/>
    <n v="104.41"/>
    <n v="17.34"/>
    <x v="0"/>
    <x v="0"/>
    <n v="3"/>
    <n v="1.2"/>
    <x v="0"/>
    <x v="0"/>
    <x v="0"/>
    <x v="0"/>
  </r>
  <r>
    <s v="C002"/>
    <n v="34"/>
    <x v="0"/>
    <n v="99.08"/>
    <n v="16.21"/>
    <x v="1"/>
    <x v="1"/>
    <n v="1"/>
    <n v="1.4"/>
    <x v="1"/>
    <x v="1"/>
    <x v="0"/>
    <x v="1"/>
  </r>
  <r>
    <s v="C003"/>
    <n v="35"/>
    <x v="0"/>
    <n v="94.96"/>
    <n v="17.3"/>
    <x v="2"/>
    <x v="2"/>
    <n v="2"/>
    <n v="0.6"/>
    <x v="1"/>
    <x v="2"/>
    <x v="1"/>
    <x v="1"/>
  </r>
  <r>
    <s v="C004"/>
    <n v="39"/>
    <x v="0"/>
    <n v="100.65"/>
    <n v="20.010000000000002"/>
    <x v="3"/>
    <x v="3"/>
    <n v="1"/>
    <n v="1.5"/>
    <x v="1"/>
    <x v="3"/>
    <x v="1"/>
    <x v="0"/>
  </r>
  <r>
    <s v="C005"/>
    <n v="26"/>
    <x v="0"/>
    <n v="90.06"/>
    <n v="12.16"/>
    <x v="1"/>
    <x v="1"/>
    <n v="0"/>
    <n v="0.9"/>
    <x v="0"/>
    <x v="4"/>
    <x v="0"/>
    <x v="1"/>
  </r>
  <r>
    <s v="C006"/>
    <n v="51"/>
    <x v="1"/>
    <n v="108.82"/>
    <n v="21.54"/>
    <x v="1"/>
    <x v="1"/>
    <n v="1"/>
    <n v="0.9"/>
    <x v="2"/>
    <x v="5"/>
    <x v="0"/>
    <x v="2"/>
  </r>
  <r>
    <s v="C007"/>
    <n v="52"/>
    <x v="1"/>
    <n v="110.28"/>
    <n v="21.49"/>
    <x v="4"/>
    <x v="3"/>
    <n v="2"/>
    <n v="2.8"/>
    <x v="0"/>
    <x v="6"/>
    <x v="0"/>
    <x v="2"/>
  </r>
  <r>
    <s v="C008"/>
    <n v="52"/>
    <x v="0"/>
    <n v="102.65"/>
    <n v="19.55"/>
    <x v="3"/>
    <x v="0"/>
    <n v="1"/>
    <n v="1.3"/>
    <x v="1"/>
    <x v="7"/>
    <x v="1"/>
    <x v="2"/>
  </r>
  <r>
    <s v="C009"/>
    <n v="28"/>
    <x v="1"/>
    <n v="91.47"/>
    <n v="16.39"/>
    <x v="2"/>
    <x v="0"/>
    <n v="3"/>
    <n v="0.8"/>
    <x v="3"/>
    <x v="8"/>
    <x v="1"/>
    <x v="1"/>
  </r>
  <r>
    <s v="C010"/>
    <n v="44"/>
    <x v="0"/>
    <n v="111.89"/>
    <n v="17.95"/>
    <x v="0"/>
    <x v="2"/>
    <n v="0"/>
    <n v="0.8"/>
    <x v="1"/>
    <x v="9"/>
    <x v="0"/>
    <x v="0"/>
  </r>
  <r>
    <s v="C011"/>
    <n v="25"/>
    <x v="1"/>
    <n v="96.25"/>
    <n v="13.5"/>
    <x v="2"/>
    <x v="4"/>
    <n v="0"/>
    <n v="0.6"/>
    <x v="4"/>
    <x v="10"/>
    <x v="0"/>
    <x v="1"/>
  </r>
  <r>
    <s v="C012"/>
    <n v="32"/>
    <x v="0"/>
    <n v="96.02"/>
    <n v="16.55"/>
    <x v="3"/>
    <x v="3"/>
    <n v="2"/>
    <n v="1"/>
    <x v="3"/>
    <x v="11"/>
    <x v="0"/>
    <x v="1"/>
  </r>
  <r>
    <s v="C013"/>
    <n v="34"/>
    <x v="1"/>
    <n v="97.37"/>
    <n v="15.55"/>
    <x v="1"/>
    <x v="1"/>
    <n v="2"/>
    <n v="1.3"/>
    <x v="2"/>
    <x v="12"/>
    <x v="0"/>
    <x v="1"/>
  </r>
  <r>
    <s v="C014"/>
    <n v="49"/>
    <x v="1"/>
    <n v="108.39"/>
    <n v="20.100000000000001"/>
    <x v="1"/>
    <x v="0"/>
    <n v="3"/>
    <n v="0.6"/>
    <x v="2"/>
    <x v="13"/>
    <x v="0"/>
    <x v="2"/>
  </r>
  <r>
    <s v="C015"/>
    <n v="25"/>
    <x v="1"/>
    <n v="92.58"/>
    <n v="15.13"/>
    <x v="3"/>
    <x v="0"/>
    <n v="2"/>
    <n v="1.6"/>
    <x v="1"/>
    <x v="14"/>
    <x v="0"/>
    <x v="1"/>
  </r>
  <r>
    <s v="C016"/>
    <n v="38"/>
    <x v="1"/>
    <n v="99.65"/>
    <n v="16.940000000000001"/>
    <x v="0"/>
    <x v="2"/>
    <n v="3"/>
    <n v="2.1"/>
    <x v="1"/>
    <x v="15"/>
    <x v="0"/>
    <x v="0"/>
  </r>
  <r>
    <s v="C017"/>
    <n v="38"/>
    <x v="0"/>
    <n v="98.91"/>
    <n v="19.489999999999998"/>
    <x v="1"/>
    <x v="3"/>
    <n v="3"/>
    <n v="3.1"/>
    <x v="1"/>
    <x v="16"/>
    <x v="1"/>
    <x v="0"/>
  </r>
  <r>
    <s v="C018"/>
    <n v="25"/>
    <x v="0"/>
    <n v="96.42"/>
    <n v="14.69"/>
    <x v="0"/>
    <x v="2"/>
    <n v="2"/>
    <n v="1.2"/>
    <x v="3"/>
    <x v="17"/>
    <x v="0"/>
    <x v="1"/>
  </r>
  <r>
    <s v="C019"/>
    <n v="57"/>
    <x v="0"/>
    <n v="109.26"/>
    <n v="20.61"/>
    <x v="2"/>
    <x v="0"/>
    <n v="1"/>
    <n v="2"/>
    <x v="2"/>
    <x v="18"/>
    <x v="0"/>
    <x v="2"/>
  </r>
  <r>
    <s v="C020"/>
    <n v="34"/>
    <x v="1"/>
    <n v="98.22"/>
    <n v="15.49"/>
    <x v="0"/>
    <x v="0"/>
    <n v="0"/>
    <n v="0.8"/>
    <x v="1"/>
    <x v="19"/>
    <x v="0"/>
    <x v="1"/>
  </r>
  <r>
    <s v="C021"/>
    <n v="35"/>
    <x v="0"/>
    <n v="101.02"/>
    <n v="16.760000000000002"/>
    <x v="2"/>
    <x v="0"/>
    <n v="2"/>
    <n v="1.9"/>
    <x v="0"/>
    <x v="20"/>
    <x v="0"/>
    <x v="1"/>
  </r>
  <r>
    <s v="C022"/>
    <n v="56"/>
    <x v="1"/>
    <n v="111.44"/>
    <n v="21.87"/>
    <x v="4"/>
    <x v="1"/>
    <n v="2"/>
    <n v="1.9"/>
    <x v="2"/>
    <x v="21"/>
    <x v="0"/>
    <x v="2"/>
  </r>
  <r>
    <s v="C023"/>
    <n v="46"/>
    <x v="1"/>
    <n v="103.85"/>
    <n v="19.47"/>
    <x v="3"/>
    <x v="4"/>
    <n v="3"/>
    <n v="2.9"/>
    <x v="2"/>
    <x v="22"/>
    <x v="0"/>
    <x v="0"/>
  </r>
  <r>
    <s v="C024"/>
    <n v="35"/>
    <x v="0"/>
    <n v="102.67"/>
    <n v="13.79"/>
    <x v="4"/>
    <x v="1"/>
    <n v="1"/>
    <n v="2"/>
    <x v="1"/>
    <x v="23"/>
    <x v="0"/>
    <x v="1"/>
  </r>
  <r>
    <s v="C025"/>
    <n v="52"/>
    <x v="1"/>
    <n v="107.91"/>
    <n v="19.27"/>
    <x v="4"/>
    <x v="3"/>
    <n v="0"/>
    <n v="0.8"/>
    <x v="2"/>
    <x v="24"/>
    <x v="0"/>
    <x v="2"/>
  </r>
  <r>
    <s v="C026"/>
    <n v="30"/>
    <x v="0"/>
    <n v="96.67"/>
    <n v="15.72"/>
    <x v="2"/>
    <x v="1"/>
    <n v="2"/>
    <n v="1.2"/>
    <x v="3"/>
    <x v="25"/>
    <x v="0"/>
    <x v="1"/>
  </r>
  <r>
    <s v="C027"/>
    <n v="35"/>
    <x v="1"/>
    <n v="101.41"/>
    <n v="19.45"/>
    <x v="1"/>
    <x v="4"/>
    <n v="2"/>
    <n v="1.9"/>
    <x v="0"/>
    <x v="26"/>
    <x v="1"/>
    <x v="1"/>
  </r>
  <r>
    <s v="C028"/>
    <n v="32"/>
    <x v="0"/>
    <n v="102.28"/>
    <n v="11.75"/>
    <x v="3"/>
    <x v="1"/>
    <n v="1"/>
    <n v="1.3"/>
    <x v="2"/>
    <x v="27"/>
    <x v="0"/>
    <x v="1"/>
  </r>
  <r>
    <s v="C029"/>
    <n v="46"/>
    <x v="1"/>
    <n v="105.06"/>
    <n v="17.260000000000002"/>
    <x v="4"/>
    <x v="1"/>
    <n v="2"/>
    <n v="0.8"/>
    <x v="1"/>
    <x v="28"/>
    <x v="0"/>
    <x v="0"/>
  </r>
  <r>
    <s v="C030"/>
    <n v="43"/>
    <x v="1"/>
    <n v="103.22"/>
    <n v="20.74"/>
    <x v="3"/>
    <x v="0"/>
    <n v="3"/>
    <n v="2.1"/>
    <x v="0"/>
    <x v="29"/>
    <x v="1"/>
    <x v="0"/>
  </r>
  <r>
    <s v="C031"/>
    <n v="46"/>
    <x v="0"/>
    <n v="105.42"/>
    <n v="20.23"/>
    <x v="4"/>
    <x v="3"/>
    <n v="2"/>
    <n v="2.2999999999999998"/>
    <x v="4"/>
    <x v="30"/>
    <x v="0"/>
    <x v="0"/>
  </r>
  <r>
    <s v="C032"/>
    <n v="32"/>
    <x v="1"/>
    <n v="97.29"/>
    <n v="12.89"/>
    <x v="4"/>
    <x v="0"/>
    <n v="2"/>
    <n v="1.3"/>
    <x v="1"/>
    <x v="31"/>
    <x v="0"/>
    <x v="1"/>
  </r>
  <r>
    <s v="C033"/>
    <n v="46"/>
    <x v="1"/>
    <n v="106.22"/>
    <n v="19.48"/>
    <x v="4"/>
    <x v="2"/>
    <n v="0"/>
    <n v="0.7"/>
    <x v="0"/>
    <x v="32"/>
    <x v="0"/>
    <x v="0"/>
  </r>
  <r>
    <s v="C034"/>
    <n v="56"/>
    <x v="0"/>
    <n v="114.63"/>
    <n v="20.11"/>
    <x v="3"/>
    <x v="1"/>
    <n v="0"/>
    <n v="0.8"/>
    <x v="4"/>
    <x v="33"/>
    <x v="0"/>
    <x v="2"/>
  </r>
  <r>
    <s v="C035"/>
    <n v="30"/>
    <x v="0"/>
    <n v="93.15"/>
    <n v="14.24"/>
    <x v="0"/>
    <x v="1"/>
    <n v="2"/>
    <n v="1.3"/>
    <x v="1"/>
    <x v="34"/>
    <x v="0"/>
    <x v="1"/>
  </r>
  <r>
    <s v="C036"/>
    <n v="44"/>
    <x v="0"/>
    <n v="102.36"/>
    <n v="19.600000000000001"/>
    <x v="0"/>
    <x v="0"/>
    <n v="0"/>
    <n v="0.9"/>
    <x v="4"/>
    <x v="35"/>
    <x v="1"/>
    <x v="0"/>
  </r>
  <r>
    <s v="C037"/>
    <n v="43"/>
    <x v="0"/>
    <n v="105.34"/>
    <n v="14.14"/>
    <x v="4"/>
    <x v="2"/>
    <n v="0"/>
    <n v="0.8"/>
    <x v="2"/>
    <x v="36"/>
    <x v="0"/>
    <x v="0"/>
  </r>
  <r>
    <s v="C038"/>
    <n v="31"/>
    <x v="0"/>
    <n v="96.26"/>
    <n v="17.63"/>
    <x v="2"/>
    <x v="2"/>
    <n v="2"/>
    <n v="1.7"/>
    <x v="2"/>
    <x v="37"/>
    <x v="1"/>
    <x v="1"/>
  </r>
  <r>
    <s v="C039"/>
    <n v="28"/>
    <x v="1"/>
    <n v="97.25"/>
    <n v="14.98"/>
    <x v="2"/>
    <x v="4"/>
    <n v="3"/>
    <n v="3.2"/>
    <x v="1"/>
    <x v="38"/>
    <x v="0"/>
    <x v="1"/>
  </r>
  <r>
    <s v="C040"/>
    <n v="48"/>
    <x v="1"/>
    <n v="108.23"/>
    <n v="21"/>
    <x v="2"/>
    <x v="4"/>
    <n v="0"/>
    <n v="0.6"/>
    <x v="1"/>
    <x v="39"/>
    <x v="0"/>
    <x v="2"/>
  </r>
  <r>
    <s v="C041"/>
    <n v="27"/>
    <x v="1"/>
    <n v="97"/>
    <n v="15.12"/>
    <x v="4"/>
    <x v="3"/>
    <n v="1"/>
    <n v="1.7"/>
    <x v="3"/>
    <x v="40"/>
    <x v="0"/>
    <x v="1"/>
  </r>
  <r>
    <s v="C042"/>
    <n v="45"/>
    <x v="1"/>
    <n v="107.27"/>
    <n v="22.7"/>
    <x v="4"/>
    <x v="3"/>
    <n v="0"/>
    <n v="0.8"/>
    <x v="0"/>
    <x v="41"/>
    <x v="1"/>
    <x v="0"/>
  </r>
  <r>
    <s v="C043"/>
    <n v="54"/>
    <x v="1"/>
    <n v="112.46"/>
    <n v="21.36"/>
    <x v="3"/>
    <x v="3"/>
    <n v="1"/>
    <n v="1"/>
    <x v="1"/>
    <x v="42"/>
    <x v="0"/>
    <x v="2"/>
  </r>
  <r>
    <s v="C044"/>
    <n v="40"/>
    <x v="1"/>
    <n v="103.32"/>
    <n v="17.41"/>
    <x v="0"/>
    <x v="3"/>
    <n v="2"/>
    <n v="2"/>
    <x v="2"/>
    <x v="43"/>
    <x v="0"/>
    <x v="0"/>
  </r>
  <r>
    <s v="C045"/>
    <n v="52"/>
    <x v="0"/>
    <n v="107.31"/>
    <n v="17.34"/>
    <x v="0"/>
    <x v="2"/>
    <n v="0"/>
    <n v="0.5"/>
    <x v="3"/>
    <x v="44"/>
    <x v="0"/>
    <x v="2"/>
  </r>
  <r>
    <s v="C046"/>
    <n v="34"/>
    <x v="1"/>
    <n v="99.12"/>
    <n v="17.43"/>
    <x v="2"/>
    <x v="4"/>
    <n v="3"/>
    <n v="1.6"/>
    <x v="0"/>
    <x v="45"/>
    <x v="0"/>
    <x v="1"/>
  </r>
  <r>
    <s v="C047"/>
    <n v="27"/>
    <x v="1"/>
    <n v="93.16"/>
    <n v="15.53"/>
    <x v="3"/>
    <x v="0"/>
    <n v="0"/>
    <n v="0.8"/>
    <x v="1"/>
    <x v="46"/>
    <x v="0"/>
    <x v="1"/>
  </r>
  <r>
    <s v="C048"/>
    <n v="55"/>
    <x v="1"/>
    <n v="111.49"/>
    <n v="20.23"/>
    <x v="0"/>
    <x v="3"/>
    <n v="1"/>
    <n v="1.6"/>
    <x v="3"/>
    <x v="47"/>
    <x v="0"/>
    <x v="2"/>
  </r>
  <r>
    <s v="C049"/>
    <n v="42"/>
    <x v="0"/>
    <n v="108.71"/>
    <n v="16.2"/>
    <x v="3"/>
    <x v="1"/>
    <n v="3"/>
    <n v="1.1000000000000001"/>
    <x v="3"/>
    <x v="48"/>
    <x v="0"/>
    <x v="0"/>
  </r>
  <r>
    <s v="C050"/>
    <n v="36"/>
    <x v="0"/>
    <n v="97.21"/>
    <n v="13.41"/>
    <x v="4"/>
    <x v="2"/>
    <n v="1"/>
    <n v="0.9"/>
    <x v="1"/>
    <x v="49"/>
    <x v="0"/>
    <x v="0"/>
  </r>
  <r>
    <s v="C051"/>
    <n v="34"/>
    <x v="0"/>
    <n v="98.46"/>
    <n v="15.38"/>
    <x v="2"/>
    <x v="0"/>
    <n v="2"/>
    <n v="1.2"/>
    <x v="0"/>
    <x v="50"/>
    <x v="0"/>
    <x v="1"/>
  </r>
  <r>
    <s v="C052"/>
    <n v="40"/>
    <x v="0"/>
    <n v="100.6"/>
    <n v="17.309999999999999"/>
    <x v="1"/>
    <x v="2"/>
    <n v="0"/>
    <n v="0.6"/>
    <x v="4"/>
    <x v="51"/>
    <x v="0"/>
    <x v="0"/>
  </r>
  <r>
    <s v="C053"/>
    <n v="39"/>
    <x v="0"/>
    <n v="96.54"/>
    <n v="18.239999999999998"/>
    <x v="4"/>
    <x v="2"/>
    <n v="1"/>
    <n v="1.9"/>
    <x v="4"/>
    <x v="52"/>
    <x v="1"/>
    <x v="0"/>
  </r>
  <r>
    <s v="C054"/>
    <n v="57"/>
    <x v="1"/>
    <n v="110.58"/>
    <n v="21.99"/>
    <x v="2"/>
    <x v="3"/>
    <n v="0"/>
    <n v="0.9"/>
    <x v="0"/>
    <x v="53"/>
    <x v="0"/>
    <x v="2"/>
  </r>
  <r>
    <s v="C055"/>
    <n v="50"/>
    <x v="0"/>
    <n v="114.47"/>
    <n v="18.010000000000002"/>
    <x v="0"/>
    <x v="2"/>
    <n v="0"/>
    <n v="0.6"/>
    <x v="3"/>
    <x v="54"/>
    <x v="0"/>
    <x v="2"/>
  </r>
  <r>
    <s v="C056"/>
    <n v="31"/>
    <x v="0"/>
    <n v="96.28"/>
    <n v="16.84"/>
    <x v="4"/>
    <x v="0"/>
    <n v="3"/>
    <n v="0.5"/>
    <x v="2"/>
    <x v="55"/>
    <x v="0"/>
    <x v="1"/>
  </r>
  <r>
    <s v="C057"/>
    <n v="44"/>
    <x v="0"/>
    <n v="104.76"/>
    <n v="18.399999999999999"/>
    <x v="4"/>
    <x v="0"/>
    <n v="1"/>
    <n v="0.7"/>
    <x v="0"/>
    <x v="56"/>
    <x v="0"/>
    <x v="0"/>
  </r>
  <r>
    <s v="C058"/>
    <n v="42"/>
    <x v="1"/>
    <n v="105.35"/>
    <n v="19.88"/>
    <x v="0"/>
    <x v="0"/>
    <n v="2"/>
    <n v="2.8"/>
    <x v="2"/>
    <x v="57"/>
    <x v="0"/>
    <x v="0"/>
  </r>
  <r>
    <s v="C059"/>
    <n v="59"/>
    <x v="1"/>
    <n v="110.75"/>
    <n v="24.56"/>
    <x v="4"/>
    <x v="4"/>
    <n v="1"/>
    <n v="1.7"/>
    <x v="0"/>
    <x v="58"/>
    <x v="1"/>
    <x v="2"/>
  </r>
  <r>
    <s v="C060"/>
    <n v="56"/>
    <x v="1"/>
    <n v="108"/>
    <n v="22.24"/>
    <x v="3"/>
    <x v="4"/>
    <n v="2"/>
    <n v="1.1000000000000001"/>
    <x v="1"/>
    <x v="59"/>
    <x v="1"/>
    <x v="2"/>
  </r>
  <r>
    <s v="C061"/>
    <n v="32"/>
    <x v="0"/>
    <n v="98.63"/>
    <n v="17.96"/>
    <x v="1"/>
    <x v="3"/>
    <n v="2"/>
    <n v="2.6"/>
    <x v="3"/>
    <x v="60"/>
    <x v="0"/>
    <x v="1"/>
  </r>
  <r>
    <s v="C062"/>
    <n v="47"/>
    <x v="0"/>
    <n v="103.57"/>
    <n v="22.13"/>
    <x v="2"/>
    <x v="0"/>
    <n v="0"/>
    <n v="0.6"/>
    <x v="0"/>
    <x v="61"/>
    <x v="1"/>
    <x v="0"/>
  </r>
  <r>
    <s v="C063"/>
    <n v="28"/>
    <x v="1"/>
    <n v="92.72"/>
    <n v="15.7"/>
    <x v="4"/>
    <x v="3"/>
    <n v="1"/>
    <n v="0.5"/>
    <x v="3"/>
    <x v="62"/>
    <x v="0"/>
    <x v="1"/>
  </r>
  <r>
    <s v="C064"/>
    <n v="56"/>
    <x v="1"/>
    <n v="113.3"/>
    <n v="20.45"/>
    <x v="3"/>
    <x v="0"/>
    <n v="2"/>
    <n v="0.5"/>
    <x v="4"/>
    <x v="63"/>
    <x v="0"/>
    <x v="2"/>
  </r>
  <r>
    <s v="C065"/>
    <n v="38"/>
    <x v="1"/>
    <n v="104.84"/>
    <n v="19.829999999999998"/>
    <x v="4"/>
    <x v="3"/>
    <n v="0"/>
    <n v="0.8"/>
    <x v="3"/>
    <x v="64"/>
    <x v="0"/>
    <x v="0"/>
  </r>
  <r>
    <s v="C066"/>
    <n v="50"/>
    <x v="0"/>
    <n v="104.56"/>
    <n v="21.62"/>
    <x v="4"/>
    <x v="1"/>
    <n v="1"/>
    <n v="2"/>
    <x v="0"/>
    <x v="65"/>
    <x v="1"/>
    <x v="2"/>
  </r>
  <r>
    <s v="C067"/>
    <n v="27"/>
    <x v="1"/>
    <n v="97.32"/>
    <n v="16.28"/>
    <x v="3"/>
    <x v="4"/>
    <n v="0"/>
    <n v="0.8"/>
    <x v="0"/>
    <x v="66"/>
    <x v="0"/>
    <x v="1"/>
  </r>
  <r>
    <s v="C068"/>
    <n v="32"/>
    <x v="0"/>
    <n v="103.58"/>
    <n v="15.12"/>
    <x v="4"/>
    <x v="3"/>
    <n v="2"/>
    <n v="1.8"/>
    <x v="2"/>
    <x v="67"/>
    <x v="0"/>
    <x v="1"/>
  </r>
  <r>
    <s v="C069"/>
    <n v="53"/>
    <x v="1"/>
    <n v="105.92"/>
    <n v="22.98"/>
    <x v="3"/>
    <x v="3"/>
    <n v="0"/>
    <n v="0.8"/>
    <x v="4"/>
    <x v="68"/>
    <x v="1"/>
    <x v="2"/>
  </r>
  <r>
    <s v="C070"/>
    <n v="33"/>
    <x v="1"/>
    <n v="104.76"/>
    <n v="13.89"/>
    <x v="2"/>
    <x v="4"/>
    <n v="0"/>
    <n v="0.5"/>
    <x v="2"/>
    <x v="69"/>
    <x v="0"/>
    <x v="1"/>
  </r>
  <r>
    <s v="C071"/>
    <n v="49"/>
    <x v="1"/>
    <n v="108.22"/>
    <n v="19.55"/>
    <x v="0"/>
    <x v="1"/>
    <n v="2"/>
    <n v="1.6"/>
    <x v="2"/>
    <x v="70"/>
    <x v="0"/>
    <x v="2"/>
  </r>
  <r>
    <s v="C072"/>
    <n v="32"/>
    <x v="0"/>
    <n v="97.69"/>
    <n v="18.04"/>
    <x v="2"/>
    <x v="0"/>
    <n v="2"/>
    <n v="2.2000000000000002"/>
    <x v="0"/>
    <x v="71"/>
    <x v="1"/>
    <x v="1"/>
  </r>
  <r>
    <s v="C073"/>
    <n v="52"/>
    <x v="0"/>
    <n v="104.99"/>
    <n v="22.77"/>
    <x v="2"/>
    <x v="0"/>
    <n v="1"/>
    <n v="1.1000000000000001"/>
    <x v="1"/>
    <x v="72"/>
    <x v="1"/>
    <x v="2"/>
  </r>
  <r>
    <s v="C074"/>
    <n v="25"/>
    <x v="1"/>
    <n v="88.93"/>
    <n v="15.5"/>
    <x v="2"/>
    <x v="3"/>
    <n v="3"/>
    <n v="3.8"/>
    <x v="1"/>
    <x v="73"/>
    <x v="1"/>
    <x v="1"/>
  </r>
  <r>
    <s v="C075"/>
    <n v="41"/>
    <x v="0"/>
    <n v="105.5"/>
    <n v="20.18"/>
    <x v="0"/>
    <x v="4"/>
    <n v="3"/>
    <n v="1.9"/>
    <x v="3"/>
    <x v="74"/>
    <x v="0"/>
    <x v="0"/>
  </r>
  <r>
    <s v="C076"/>
    <n v="38"/>
    <x v="1"/>
    <n v="101.47"/>
    <n v="15.96"/>
    <x v="0"/>
    <x v="1"/>
    <n v="0"/>
    <n v="0.8"/>
    <x v="0"/>
    <x v="75"/>
    <x v="0"/>
    <x v="0"/>
  </r>
  <r>
    <s v="C077"/>
    <n v="46"/>
    <x v="1"/>
    <n v="103.84"/>
    <n v="17.13"/>
    <x v="1"/>
    <x v="4"/>
    <n v="1"/>
    <n v="0.7"/>
    <x v="2"/>
    <x v="76"/>
    <x v="0"/>
    <x v="0"/>
  </r>
  <r>
    <s v="C078"/>
    <n v="45"/>
    <x v="1"/>
    <n v="103.74"/>
    <n v="18.21"/>
    <x v="0"/>
    <x v="2"/>
    <n v="0"/>
    <n v="0.5"/>
    <x v="2"/>
    <x v="77"/>
    <x v="0"/>
    <x v="0"/>
  </r>
  <r>
    <s v="C079"/>
    <n v="48"/>
    <x v="1"/>
    <n v="101.32"/>
    <n v="21.93"/>
    <x v="4"/>
    <x v="0"/>
    <n v="2"/>
    <n v="2.8"/>
    <x v="1"/>
    <x v="78"/>
    <x v="1"/>
    <x v="2"/>
  </r>
  <r>
    <s v="C080"/>
    <n v="54"/>
    <x v="0"/>
    <n v="109.83"/>
    <n v="21.35"/>
    <x v="2"/>
    <x v="0"/>
    <n v="1"/>
    <n v="0.7"/>
    <x v="3"/>
    <x v="79"/>
    <x v="0"/>
    <x v="2"/>
  </r>
  <r>
    <s v="C081"/>
    <n v="49"/>
    <x v="1"/>
    <n v="112.98"/>
    <n v="18.22"/>
    <x v="2"/>
    <x v="1"/>
    <n v="1"/>
    <n v="1.7"/>
    <x v="0"/>
    <x v="80"/>
    <x v="0"/>
    <x v="2"/>
  </r>
  <r>
    <s v="C082"/>
    <n v="45"/>
    <x v="0"/>
    <n v="104.87"/>
    <n v="19.66"/>
    <x v="0"/>
    <x v="4"/>
    <n v="2"/>
    <n v="1.1000000000000001"/>
    <x v="4"/>
    <x v="81"/>
    <x v="0"/>
    <x v="0"/>
  </r>
  <r>
    <s v="C083"/>
    <n v="30"/>
    <x v="1"/>
    <n v="100.81"/>
    <n v="14.39"/>
    <x v="3"/>
    <x v="4"/>
    <n v="2"/>
    <n v="2.6"/>
    <x v="0"/>
    <x v="82"/>
    <x v="0"/>
    <x v="1"/>
  </r>
  <r>
    <s v="C084"/>
    <n v="29"/>
    <x v="0"/>
    <n v="101.16"/>
    <n v="14.14"/>
    <x v="3"/>
    <x v="0"/>
    <n v="3"/>
    <n v="1.3"/>
    <x v="0"/>
    <x v="83"/>
    <x v="0"/>
    <x v="1"/>
  </r>
  <r>
    <s v="C085"/>
    <n v="57"/>
    <x v="0"/>
    <n v="115.19"/>
    <n v="20.76"/>
    <x v="0"/>
    <x v="4"/>
    <n v="0"/>
    <n v="1"/>
    <x v="0"/>
    <x v="84"/>
    <x v="0"/>
    <x v="2"/>
  </r>
  <r>
    <s v="C086"/>
    <n v="56"/>
    <x v="1"/>
    <n v="110.72"/>
    <n v="20.149999999999999"/>
    <x v="1"/>
    <x v="1"/>
    <n v="1"/>
    <n v="2"/>
    <x v="4"/>
    <x v="85"/>
    <x v="0"/>
    <x v="2"/>
  </r>
  <r>
    <s v="C087"/>
    <n v="56"/>
    <x v="0"/>
    <n v="106.73"/>
    <n v="24.09"/>
    <x v="1"/>
    <x v="1"/>
    <n v="3"/>
    <n v="1.7"/>
    <x v="4"/>
    <x v="86"/>
    <x v="1"/>
    <x v="2"/>
  </r>
  <r>
    <s v="C088"/>
    <n v="25"/>
    <x v="0"/>
    <n v="99.72"/>
    <n v="14.9"/>
    <x v="4"/>
    <x v="0"/>
    <n v="3"/>
    <n v="2.2000000000000002"/>
    <x v="1"/>
    <x v="87"/>
    <x v="0"/>
    <x v="1"/>
  </r>
  <r>
    <s v="C089"/>
    <n v="30"/>
    <x v="0"/>
    <n v="96.45"/>
    <n v="14.77"/>
    <x v="4"/>
    <x v="0"/>
    <n v="0"/>
    <n v="0.6"/>
    <x v="3"/>
    <x v="88"/>
    <x v="0"/>
    <x v="1"/>
  </r>
  <r>
    <s v="C090"/>
    <n v="53"/>
    <x v="1"/>
    <n v="106.44"/>
    <n v="20.73"/>
    <x v="4"/>
    <x v="2"/>
    <n v="2"/>
    <n v="2"/>
    <x v="0"/>
    <x v="89"/>
    <x v="0"/>
    <x v="2"/>
  </r>
  <r>
    <s v="C091"/>
    <n v="29"/>
    <x v="0"/>
    <n v="97.77"/>
    <n v="15.72"/>
    <x v="3"/>
    <x v="3"/>
    <n v="0"/>
    <n v="0.9"/>
    <x v="0"/>
    <x v="90"/>
    <x v="0"/>
    <x v="1"/>
  </r>
  <r>
    <s v="C092"/>
    <n v="58"/>
    <x v="1"/>
    <n v="113.49"/>
    <n v="25.26"/>
    <x v="1"/>
    <x v="4"/>
    <n v="3"/>
    <n v="3"/>
    <x v="4"/>
    <x v="91"/>
    <x v="1"/>
    <x v="2"/>
  </r>
  <r>
    <s v="C093"/>
    <n v="26"/>
    <x v="1"/>
    <n v="92.08"/>
    <n v="15.29"/>
    <x v="4"/>
    <x v="1"/>
    <n v="2"/>
    <n v="2.6"/>
    <x v="2"/>
    <x v="92"/>
    <x v="0"/>
    <x v="1"/>
  </r>
  <r>
    <s v="C094"/>
    <n v="25"/>
    <x v="0"/>
    <n v="96.42"/>
    <n v="15.34"/>
    <x v="4"/>
    <x v="2"/>
    <n v="2"/>
    <n v="0.9"/>
    <x v="2"/>
    <x v="93"/>
    <x v="0"/>
    <x v="1"/>
  </r>
  <r>
    <s v="C095"/>
    <n v="59"/>
    <x v="0"/>
    <n v="108.1"/>
    <n v="19.25"/>
    <x v="0"/>
    <x v="3"/>
    <n v="1"/>
    <n v="1"/>
    <x v="0"/>
    <x v="94"/>
    <x v="0"/>
    <x v="2"/>
  </r>
  <r>
    <s v="C096"/>
    <n v="50"/>
    <x v="0"/>
    <n v="109.15"/>
    <n v="22.09"/>
    <x v="0"/>
    <x v="4"/>
    <n v="0"/>
    <n v="0.6"/>
    <x v="1"/>
    <x v="95"/>
    <x v="1"/>
    <x v="2"/>
  </r>
  <r>
    <s v="C097"/>
    <n v="48"/>
    <x v="1"/>
    <n v="107.71"/>
    <n v="19.079999999999998"/>
    <x v="1"/>
    <x v="0"/>
    <n v="2"/>
    <n v="1.8"/>
    <x v="2"/>
    <x v="96"/>
    <x v="0"/>
    <x v="2"/>
  </r>
  <r>
    <s v="C098"/>
    <n v="57"/>
    <x v="1"/>
    <n v="112.41"/>
    <n v="21.55"/>
    <x v="3"/>
    <x v="4"/>
    <n v="0"/>
    <n v="0.9"/>
    <x v="0"/>
    <x v="97"/>
    <x v="0"/>
    <x v="2"/>
  </r>
  <r>
    <s v="C099"/>
    <n v="45"/>
    <x v="1"/>
    <n v="110.12"/>
    <n v="18.510000000000002"/>
    <x v="1"/>
    <x v="0"/>
    <n v="0"/>
    <n v="0.9"/>
    <x v="3"/>
    <x v="98"/>
    <x v="0"/>
    <x v="0"/>
  </r>
  <r>
    <s v="C100"/>
    <n v="49"/>
    <x v="1"/>
    <n v="106.6"/>
    <n v="21.21"/>
    <x v="1"/>
    <x v="3"/>
    <n v="2"/>
    <n v="2.5"/>
    <x v="3"/>
    <x v="99"/>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56BA16-693A-45D7-99D1-9A273E8A5265}"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Group">
  <location ref="A3:D8" firstHeaderRow="1" firstDataRow="2" firstDataCol="1"/>
  <pivotFields count="13">
    <pivotField dataField="1" showAll="0"/>
    <pivotField showAll="0"/>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numFmtId="2" showAll="0"/>
    <pivotField axis="axisCol" showAll="0">
      <items count="3">
        <item x="1"/>
        <item x="0"/>
        <item t="default"/>
      </items>
    </pivotField>
    <pivotField axis="axisRow" showAll="0">
      <items count="4">
        <item x="1"/>
        <item x="0"/>
        <item x="2"/>
        <item t="default"/>
      </items>
    </pivotField>
  </pivotFields>
  <rowFields count="1">
    <field x="12"/>
  </rowFields>
  <rowItems count="4">
    <i>
      <x/>
    </i>
    <i>
      <x v="1"/>
    </i>
    <i>
      <x v="2"/>
    </i>
    <i t="grand">
      <x/>
    </i>
  </rowItems>
  <colFields count="1">
    <field x="11"/>
  </colFields>
  <colItems count="3">
    <i>
      <x/>
    </i>
    <i>
      <x v="1"/>
    </i>
    <i t="grand">
      <x/>
    </i>
  </colItems>
  <dataFields count="1">
    <dataField name="Count of ChildID" fld="0" subtotal="count" baseField="0" baseItem="0"/>
  </dataFields>
  <chartFormats count="4">
    <chartFormat chart="7" format="0" series="1">
      <pivotArea type="data" outline="0" fieldPosition="0">
        <references count="2">
          <reference field="4294967294" count="1" selected="0">
            <x v="0"/>
          </reference>
          <reference field="11" count="1" selected="0">
            <x v="0"/>
          </reference>
        </references>
      </pivotArea>
    </chartFormat>
    <chartFormat chart="7" format="1" series="1">
      <pivotArea type="data" outline="0" fieldPosition="0">
        <references count="2">
          <reference field="4294967294" count="1" selected="0">
            <x v="0"/>
          </reference>
          <reference field="11" count="1" selected="0">
            <x v="1"/>
          </reference>
        </references>
      </pivotArea>
    </chartFormat>
    <chartFormat chart="13" format="4" series="1">
      <pivotArea type="data" outline="0" fieldPosition="0">
        <references count="2">
          <reference field="4294967294" count="1" selected="0">
            <x v="0"/>
          </reference>
          <reference field="11" count="1" selected="0">
            <x v="0"/>
          </reference>
        </references>
      </pivotArea>
    </chartFormat>
    <chartFormat chart="1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440D60-AFFF-4245-9962-1B7A768B52CA}"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Fruit Servings" colHeaderCaption="Veggie servings">
  <location ref="A3:G10" firstHeaderRow="1" firstDataRow="2" firstDataCol="1"/>
  <pivotFields count="13">
    <pivotField showAll="0"/>
    <pivotField showAll="0"/>
    <pivotField showAll="0">
      <items count="3">
        <item x="0"/>
        <item x="1"/>
        <item t="default"/>
      </items>
    </pivotField>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x="1"/>
        <item x="2"/>
        <item x="3"/>
        <item x="0"/>
        <item x="4"/>
        <item t="default"/>
      </items>
    </pivotField>
    <pivotField dataField="1" numFmtId="2" showAll="0">
      <items count="101">
        <item x="27"/>
        <item x="69"/>
        <item x="36"/>
        <item x="23"/>
        <item x="31"/>
        <item x="48"/>
        <item x="54"/>
        <item x="83"/>
        <item x="67"/>
        <item x="82"/>
        <item x="49"/>
        <item x="80"/>
        <item x="9"/>
        <item x="10"/>
        <item x="87"/>
        <item x="4"/>
        <item x="44"/>
        <item x="98"/>
        <item x="33"/>
        <item x="75"/>
        <item x="28"/>
        <item x="84"/>
        <item x="17"/>
        <item x="38"/>
        <item x="50"/>
        <item x="88"/>
        <item x="76"/>
        <item x="0"/>
        <item x="63"/>
        <item x="19"/>
        <item x="40"/>
        <item x="47"/>
        <item x="43"/>
        <item x="12"/>
        <item x="34"/>
        <item x="20"/>
        <item x="85"/>
        <item x="90"/>
        <item x="96"/>
        <item x="94"/>
        <item x="93"/>
        <item x="1"/>
        <item x="24"/>
        <item x="70"/>
        <item x="56"/>
        <item x="25"/>
        <item x="42"/>
        <item x="77"/>
        <item x="97"/>
        <item x="15"/>
        <item x="51"/>
        <item x="13"/>
        <item x="66"/>
        <item x="18"/>
        <item x="32"/>
        <item x="21"/>
        <item x="14"/>
        <item x="6"/>
        <item x="79"/>
        <item x="45"/>
        <item x="81"/>
        <item x="46"/>
        <item x="57"/>
        <item x="39"/>
        <item x="11"/>
        <item x="53"/>
        <item x="92"/>
        <item x="64"/>
        <item x="22"/>
        <item x="74"/>
        <item x="55"/>
        <item x="5"/>
        <item x="30"/>
        <item x="62"/>
        <item x="89"/>
        <item x="60"/>
        <item x="95"/>
        <item x="7"/>
        <item x="99"/>
        <item x="35"/>
        <item x="71"/>
        <item x="26"/>
        <item x="37"/>
        <item x="59"/>
        <item x="2"/>
        <item x="29"/>
        <item x="52"/>
        <item x="8"/>
        <item x="73"/>
        <item x="91"/>
        <item x="41"/>
        <item x="3"/>
        <item x="65"/>
        <item x="16"/>
        <item x="58"/>
        <item x="68"/>
        <item x="61"/>
        <item x="72"/>
        <item x="86"/>
        <item x="78"/>
        <item t="default"/>
      </items>
    </pivotField>
    <pivotField showAll="0">
      <items count="3">
        <item x="1"/>
        <item x="0"/>
        <item t="default"/>
      </items>
    </pivotField>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Average of BMI" fld="10" subtotal="average" baseField="5" baseItem="0" numFmtId="2"/>
  </dataFields>
  <chartFormats count="10">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4"/>
          </reference>
        </references>
      </pivotArea>
    </chartFormat>
    <chartFormat chart="7" format="10" series="1">
      <pivotArea type="data" outline="0" fieldPosition="0">
        <references count="2">
          <reference field="4294967294" count="1" selected="0">
            <x v="0"/>
          </reference>
          <reference field="6" count="1" selected="0">
            <x v="0"/>
          </reference>
        </references>
      </pivotArea>
    </chartFormat>
    <chartFormat chart="7" format="11" series="1">
      <pivotArea type="data" outline="0" fieldPosition="0">
        <references count="2">
          <reference field="4294967294" count="1" selected="0">
            <x v="0"/>
          </reference>
          <reference field="6" count="1" selected="0">
            <x v="1"/>
          </reference>
        </references>
      </pivotArea>
    </chartFormat>
    <chartFormat chart="7" format="12" series="1">
      <pivotArea type="data" outline="0" fieldPosition="0">
        <references count="2">
          <reference field="4294967294" count="1" selected="0">
            <x v="0"/>
          </reference>
          <reference field="6" count="1" selected="0">
            <x v="2"/>
          </reference>
        </references>
      </pivotArea>
    </chartFormat>
    <chartFormat chart="7" format="13" series="1">
      <pivotArea type="data" outline="0" fieldPosition="0">
        <references count="2">
          <reference field="4294967294" count="1" selected="0">
            <x v="0"/>
          </reference>
          <reference field="6" count="1" selected="0">
            <x v="3"/>
          </reference>
        </references>
      </pivotArea>
    </chartFormat>
    <chartFormat chart="7"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AF0F5-4D22-4EED-8B46-14329DD1B150}"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Health Status">
  <location ref="A3:C6" firstHeaderRow="0" firstDataRow="1" firstDataCol="1"/>
  <pivotFields count="13">
    <pivotField showAll="0"/>
    <pivotField showAll="0"/>
    <pivotField showAll="0">
      <items count="3">
        <item x="0"/>
        <item x="1"/>
        <item t="default"/>
      </items>
    </pivotField>
    <pivotField showAll="0"/>
    <pivotField showAll="0"/>
    <pivotField showAll="0"/>
    <pivotField showAll="0"/>
    <pivotField dataField="1" showAll="0"/>
    <pivotField dataField="1" showAll="0"/>
    <pivotField showAll="0">
      <items count="6">
        <item x="1"/>
        <item x="2"/>
        <item x="3"/>
        <item x="0"/>
        <item x="4"/>
        <item t="default"/>
      </items>
    </pivotField>
    <pivotField numFmtId="2" showAll="0"/>
    <pivotField axis="axisRow" showAll="0">
      <items count="3">
        <item x="1"/>
        <item x="0"/>
        <item t="default"/>
      </items>
    </pivotField>
    <pivotField showAll="0"/>
  </pivotFields>
  <rowFields count="1">
    <field x="11"/>
  </rowFields>
  <rowItems count="3">
    <i>
      <x/>
    </i>
    <i>
      <x v="1"/>
    </i>
    <i t="grand">
      <x/>
    </i>
  </rowItems>
  <colFields count="1">
    <field x="-2"/>
  </colFields>
  <colItems count="2">
    <i>
      <x/>
    </i>
    <i i="1">
      <x v="1"/>
    </i>
  </colItems>
  <dataFields count="2">
    <dataField name="Average of Daily Sugar Drinks" fld="7" subtotal="average" baseField="11" baseItem="0"/>
    <dataField name="Average of ScreenTime Hours" fld="8" subtotal="average" baseField="11" baseItem="0"/>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826BEA-1F81-4065-B54F-7C9E18EB1EC1}"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9" firstHeaderRow="0" firstDataRow="1" firstDataCol="1"/>
  <pivotFields count="13">
    <pivotField showAll="0"/>
    <pivotField showAll="0"/>
    <pivotField showAll="0">
      <items count="3">
        <item x="0"/>
        <item x="1"/>
        <item t="default"/>
      </items>
    </pivotField>
    <pivotField showAll="0"/>
    <pivotField showAll="0"/>
    <pivotField dataField="1" showAll="0"/>
    <pivotField showAll="0"/>
    <pivotField showAll="0"/>
    <pivotField showAll="0"/>
    <pivotField axis="axisRow" showAll="0">
      <items count="6">
        <item x="1"/>
        <item x="2"/>
        <item x="3"/>
        <item x="0"/>
        <item x="4"/>
        <item t="default"/>
      </items>
    </pivotField>
    <pivotField dataField="1" numFmtId="2" showAll="0"/>
    <pivotField showAll="0">
      <items count="3">
        <item x="1"/>
        <item x="0"/>
        <item t="default"/>
      </items>
    </pivotField>
    <pivotField showAll="0"/>
  </pivotFields>
  <rowFields count="1">
    <field x="9"/>
  </rowFields>
  <rowItems count="6">
    <i>
      <x/>
    </i>
    <i>
      <x v="1"/>
    </i>
    <i>
      <x v="2"/>
    </i>
    <i>
      <x v="3"/>
    </i>
    <i>
      <x v="4"/>
    </i>
    <i t="grand">
      <x/>
    </i>
  </rowItems>
  <colFields count="1">
    <field x="-2"/>
  </colFields>
  <colItems count="2">
    <i>
      <x/>
    </i>
    <i i="1">
      <x v="1"/>
    </i>
  </colItems>
  <dataFields count="2">
    <dataField name="Average of Daily Fruit Servings" fld="5" subtotal="average" baseField="9" baseItem="0"/>
    <dataField name="Average of BMI" fld="10" subtotal="average" baseField="9" baseItem="0" numFmtId="2"/>
  </dataFields>
  <conditionalFormats count="5">
    <conditionalFormat type="all" priority="5">
      <pivotAreas count="1">
        <pivotArea type="data" collapsedLevelsAreSubtotals="1" fieldPosition="0">
          <references count="1">
            <reference field="9" count="5">
              <x v="0"/>
              <x v="1"/>
              <x v="2"/>
              <x v="3"/>
              <x v="4"/>
            </reference>
          </references>
        </pivotArea>
      </pivotAreas>
    </conditionalFormat>
    <conditionalFormat type="all" priority="4">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 type="all" priority="3">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 type="all" priority="2">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 type="all" priority="1">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75A36A-9271-4CF6-92C0-CD4A02C4B997}" autoFormatId="16" applyNumberFormats="0" applyBorderFormats="0" applyFontFormats="0" applyPatternFormats="0" applyAlignmentFormats="0" applyWidthHeightFormats="0">
  <queryTableRefresh nextId="14" unboundColumnsRight="1">
    <queryTableFields count="13">
      <queryTableField id="1" name="ChildID" tableColumnId="1"/>
      <queryTableField id="2" name="Age Months" tableColumnId="2"/>
      <queryTableField id="3" name="Gender" tableColumnId="3"/>
      <queryTableField id="4" name="Height cm" tableColumnId="4"/>
      <queryTableField id="5" name="Weight kg" tableColumnId="5"/>
      <queryTableField id="6" name="Daily Fruit Servings" tableColumnId="6"/>
      <queryTableField id="7" name="Daily Veggie Servings" tableColumnId="7"/>
      <queryTableField id="8" name="Daily Sugar Drinks" tableColumnId="8"/>
      <queryTableField id="9" name="ScreenTime Hours" tableColumnId="9"/>
      <queryTableField id="10" name="Region" tableColumnId="10"/>
      <queryTableField id="11" name="BMI" tableColumnId="11"/>
      <queryTableField id="12" name="Health Status"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582089-5C95-48A0-9FE0-ECE10751806C}" sourceName="Region">
  <pivotTables>
    <pivotTable tabId="5" name="PivotTable3"/>
    <pivotTable tabId="4" name="PivotTable2"/>
    <pivotTable tabId="6" name="PivotTable4"/>
    <pivotTable tabId="7" name="PivotTable5"/>
  </pivotTables>
  <data>
    <tabular pivotCacheId="137338665">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12A9FA4D-4FAB-4495-8B3A-64F70F8B40D9}" sourceName="Health Status">
  <pivotTables>
    <pivotTable tabId="6" name="PivotTable4"/>
    <pivotTable tabId="4" name="PivotTable2"/>
    <pivotTable tabId="5" name="PivotTable3"/>
    <pivotTable tabId="7" name="PivotTable5"/>
  </pivotTables>
  <data>
    <tabular pivotCacheId="13733866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0519B89-F9B8-4336-BBE8-FD76EFB5F01C}" sourceName="Gender">
  <pivotTables>
    <pivotTable tabId="7" name="PivotTable5"/>
    <pivotTable tabId="4" name="PivotTable2"/>
    <pivotTable tabId="5" name="PivotTable3"/>
  </pivotTables>
  <data>
    <tabular pivotCacheId="13733866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E14514-5D1C-4C43-B8B6-57786CDCBF90}"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lth Status" xr10:uid="{3BE269C5-242C-48F9-AA65-1B97A776480B}" cache="Slicer_Health_Status" caption="Health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04DE10F-88E0-4FB4-8F66-3D3A7C472D7A}" cache="Slicer_Gender"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D0BF027-8F01-4FD3-8942-8C90CAE2B31C}" cache="Slicer_Region" caption="Region" rowHeight="234950"/>
  <slicer name="Health Status 1" xr10:uid="{EF4DE953-651A-4EE3-ADBE-AF2A3B225DA8}" cache="Slicer_Health_Status" caption="Health Status" rowHeight="234950"/>
  <slicer name="Gender 1" xr10:uid="{1B0CCF3D-10B4-4DDD-B135-721F754CD847}"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AB3B6C-A667-4315-A6A8-714A6200E89C}" name="Child_Health_Data" displayName="Child_Health_Data" ref="A1:M101" tableType="queryTable" totalsRowShown="0">
  <autoFilter ref="A1:M101" xr:uid="{D8AB3B6C-A667-4315-A6A8-714A6200E89C}"/>
  <tableColumns count="13">
    <tableColumn id="1" xr3:uid="{E57F34F0-795A-4BB0-B4E6-F4F9515D26B1}" uniqueName="1" name="ChildID" queryTableFieldId="1" dataDxfId="8"/>
    <tableColumn id="2" xr3:uid="{A25F85CB-8FCB-4CBE-8BD3-4BB3D760FF48}" uniqueName="2" name="Age Months" queryTableFieldId="2"/>
    <tableColumn id="3" xr3:uid="{6B095646-3058-48DF-B2A3-F154DFAB0398}" uniqueName="3" name="Gender" queryTableFieldId="3" dataDxfId="7"/>
    <tableColumn id="4" xr3:uid="{71B0AD52-2DA3-446C-B9C4-2734092C12B3}" uniqueName="4" name="Height cm" queryTableFieldId="4"/>
    <tableColumn id="5" xr3:uid="{23EF127C-6BA8-4373-BD08-A1CAC0391D07}" uniqueName="5" name="Weight kg" queryTableFieldId="5"/>
    <tableColumn id="6" xr3:uid="{3CF80751-F408-42AD-B1AE-D08E9FC5DAC2}" uniqueName="6" name="Daily Fruit Servings" queryTableFieldId="6"/>
    <tableColumn id="7" xr3:uid="{9CC32A3C-AC36-4C29-B448-E023BDEDE096}" uniqueName="7" name="Daily Veggie Servings" queryTableFieldId="7"/>
    <tableColumn id="8" xr3:uid="{D361C379-128C-434D-A3BF-A1FCED3C9813}" uniqueName="8" name="Daily Sugar Drinks" queryTableFieldId="8"/>
    <tableColumn id="9" xr3:uid="{5A23424C-6681-4183-B0E3-EB3643285CDB}" uniqueName="9" name="ScreenTime Hours" queryTableFieldId="9"/>
    <tableColumn id="10" xr3:uid="{431018E3-A7B8-4420-ABDE-8F8B69945627}" uniqueName="10" name="Region" queryTableFieldId="10" dataDxfId="6"/>
    <tableColumn id="11" xr3:uid="{04A689AB-D385-4264-A71A-9E28C771988A}" uniqueName="11" name="BMI" queryTableFieldId="11"/>
    <tableColumn id="12" xr3:uid="{723B9BE0-F621-4CC7-AE59-357778C7BE02}" uniqueName="12" name="Health Status" queryTableFieldId="12"/>
    <tableColumn id="13" xr3:uid="{47490A34-111A-43BF-B5CC-8F81569BF4EA}" uniqueName="13" name="Age Group" queryTableFieldId="13" dataDxfId="5">
      <calculatedColumnFormula>FLOOR(Child_Health_Data[[#This Row],[Age Months]],12)&amp;"-"&amp;FLOOR(Child_Health_Data[[#This Row],[Age Months]],12)+12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8694-B02C-4EF7-9308-9A2E88B1A460}">
  <dimension ref="A3:D8"/>
  <sheetViews>
    <sheetView workbookViewId="0">
      <selection activeCell="C19" sqref="C19"/>
    </sheetView>
  </sheetViews>
  <sheetFormatPr defaultRowHeight="14.4" x14ac:dyDescent="0.3"/>
  <cols>
    <col min="1" max="1" width="14.88671875" bestFit="1" customWidth="1"/>
    <col min="2" max="2" width="15.5546875" bestFit="1" customWidth="1"/>
    <col min="3" max="3" width="12.6640625" bestFit="1" customWidth="1"/>
    <col min="4" max="4" width="10.77734375" bestFit="1" customWidth="1"/>
  </cols>
  <sheetData>
    <row r="3" spans="1:4" x14ac:dyDescent="0.3">
      <c r="A3" s="3" t="s">
        <v>128</v>
      </c>
      <c r="B3" s="3" t="s">
        <v>127</v>
      </c>
    </row>
    <row r="4" spans="1:4" x14ac:dyDescent="0.3">
      <c r="A4" s="3" t="s">
        <v>121</v>
      </c>
      <c r="B4" t="s">
        <v>120</v>
      </c>
      <c r="C4" t="s">
        <v>119</v>
      </c>
      <c r="D4" t="s">
        <v>126</v>
      </c>
    </row>
    <row r="5" spans="1:4" x14ac:dyDescent="0.3">
      <c r="A5" s="4" t="s">
        <v>123</v>
      </c>
      <c r="B5" s="1">
        <v>6</v>
      </c>
      <c r="C5" s="1">
        <v>32</v>
      </c>
      <c r="D5" s="1">
        <v>38</v>
      </c>
    </row>
    <row r="6" spans="1:4" x14ac:dyDescent="0.3">
      <c r="A6" s="4" t="s">
        <v>124</v>
      </c>
      <c r="B6" s="1">
        <v>7</v>
      </c>
      <c r="C6" s="1">
        <v>21</v>
      </c>
      <c r="D6" s="1">
        <v>28</v>
      </c>
    </row>
    <row r="7" spans="1:4" x14ac:dyDescent="0.3">
      <c r="A7" s="4" t="s">
        <v>125</v>
      </c>
      <c r="B7" s="1">
        <v>11</v>
      </c>
      <c r="C7" s="1">
        <v>23</v>
      </c>
      <c r="D7" s="1">
        <v>34</v>
      </c>
    </row>
    <row r="8" spans="1:4" x14ac:dyDescent="0.3">
      <c r="A8" s="4" t="s">
        <v>126</v>
      </c>
      <c r="B8" s="1">
        <v>24</v>
      </c>
      <c r="C8" s="1">
        <v>76</v>
      </c>
      <c r="D8" s="1">
        <v>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40F1-9324-4710-A483-375F22CE558F}">
  <dimension ref="A3:G10"/>
  <sheetViews>
    <sheetView workbookViewId="0">
      <selection activeCell="E5" sqref="E5"/>
    </sheetView>
  </sheetViews>
  <sheetFormatPr defaultRowHeight="14.4" x14ac:dyDescent="0.3"/>
  <cols>
    <col min="1" max="1" width="14.44140625" bestFit="1" customWidth="1"/>
    <col min="2" max="2" width="16.21875" bestFit="1" customWidth="1"/>
    <col min="3" max="6" width="5.5546875" bestFit="1" customWidth="1"/>
    <col min="7" max="7" width="10.77734375" bestFit="1" customWidth="1"/>
  </cols>
  <sheetData>
    <row r="3" spans="1:7" x14ac:dyDescent="0.3">
      <c r="A3" s="3" t="s">
        <v>129</v>
      </c>
      <c r="B3" s="3" t="s">
        <v>131</v>
      </c>
    </row>
    <row r="4" spans="1:7" x14ac:dyDescent="0.3">
      <c r="A4" s="3" t="s">
        <v>130</v>
      </c>
      <c r="B4">
        <v>0</v>
      </c>
      <c r="C4">
        <v>1</v>
      </c>
      <c r="D4">
        <v>2</v>
      </c>
      <c r="E4">
        <v>3</v>
      </c>
      <c r="F4">
        <v>4</v>
      </c>
      <c r="G4" t="s">
        <v>126</v>
      </c>
    </row>
    <row r="5" spans="1:7" x14ac:dyDescent="0.3">
      <c r="A5" s="4">
        <v>0</v>
      </c>
      <c r="B5" s="2">
        <v>19.016420427584645</v>
      </c>
      <c r="C5" s="2">
        <v>17.280117596560103</v>
      </c>
      <c r="D5" s="2">
        <v>16.27305047255906</v>
      </c>
      <c r="E5" s="2">
        <v>17.104134635526798</v>
      </c>
      <c r="F5" s="2">
        <v>18.137073212360072</v>
      </c>
      <c r="G5" s="2">
        <v>17.566529534524921</v>
      </c>
    </row>
    <row r="6" spans="1:7" x14ac:dyDescent="0.3">
      <c r="A6" s="4">
        <v>1</v>
      </c>
      <c r="B6" s="2">
        <v>16.35248862763348</v>
      </c>
      <c r="C6" s="2">
        <v>16.201722814253078</v>
      </c>
      <c r="D6" s="2">
        <v>17.145357431721354</v>
      </c>
      <c r="E6" s="2">
        <v>15.486892118792989</v>
      </c>
      <c r="F6" s="2">
        <v>17.548662976364966</v>
      </c>
      <c r="G6" s="2">
        <v>16.468003433538151</v>
      </c>
    </row>
    <row r="7" spans="1:7" x14ac:dyDescent="0.3">
      <c r="A7" s="4">
        <v>2</v>
      </c>
      <c r="B7" s="2">
        <v>18.304030863042058</v>
      </c>
      <c r="C7" s="2">
        <v>13.414804870225169</v>
      </c>
      <c r="D7" s="2">
        <v>17.219114471226323</v>
      </c>
      <c r="E7" s="2"/>
      <c r="F7" s="2">
        <v>17.104693630968079</v>
      </c>
      <c r="G7" s="2">
        <v>16.87382757410969</v>
      </c>
    </row>
    <row r="8" spans="1:7" x14ac:dyDescent="0.3">
      <c r="A8" s="4">
        <v>3</v>
      </c>
      <c r="B8" s="2">
        <v>18.791232347431109</v>
      </c>
      <c r="C8" s="2">
        <v>15.547827345547695</v>
      </c>
      <c r="D8" s="2">
        <v>18.37904051788599</v>
      </c>
      <c r="E8" s="2">
        <v>19.105850849662808</v>
      </c>
      <c r="F8" s="2">
        <v>15.747317770125974</v>
      </c>
      <c r="G8" s="2">
        <v>17.50835442521058</v>
      </c>
    </row>
    <row r="9" spans="1:7" x14ac:dyDescent="0.3">
      <c r="A9" s="4">
        <v>4</v>
      </c>
      <c r="B9" s="2">
        <v>17.326942725016981</v>
      </c>
      <c r="C9" s="2">
        <v>16.827714126941665</v>
      </c>
      <c r="D9" s="2">
        <v>16.79563742079436</v>
      </c>
      <c r="E9" s="2">
        <v>16.427913820241738</v>
      </c>
      <c r="F9" s="2">
        <v>20.023541521230683</v>
      </c>
      <c r="G9" s="2">
        <v>17.004575438549672</v>
      </c>
    </row>
    <row r="10" spans="1:7" x14ac:dyDescent="0.3">
      <c r="A10" s="4" t="s">
        <v>126</v>
      </c>
      <c r="B10" s="2">
        <v>17.801185141707748</v>
      </c>
      <c r="C10" s="2">
        <v>16.198132313610472</v>
      </c>
      <c r="D10" s="2">
        <v>17.352645060732396</v>
      </c>
      <c r="E10" s="2">
        <v>16.453644797937383</v>
      </c>
      <c r="F10" s="2">
        <v>17.160526114957836</v>
      </c>
      <c r="G10" s="2">
        <v>17.058049606125383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8DC77-D7B4-40C0-82F0-5128D3A97196}">
  <dimension ref="A3:C6"/>
  <sheetViews>
    <sheetView workbookViewId="0">
      <selection activeCell="A4" sqref="A4"/>
    </sheetView>
  </sheetViews>
  <sheetFormatPr defaultRowHeight="14.4" x14ac:dyDescent="0.3"/>
  <cols>
    <col min="1" max="1" width="14.33203125" bestFit="1" customWidth="1"/>
    <col min="2" max="2" width="26" bestFit="1" customWidth="1"/>
    <col min="3" max="3" width="26.109375" bestFit="1" customWidth="1"/>
  </cols>
  <sheetData>
    <row r="3" spans="1:3" x14ac:dyDescent="0.3">
      <c r="A3" s="3" t="s">
        <v>118</v>
      </c>
      <c r="B3" t="s">
        <v>132</v>
      </c>
      <c r="C3" t="s">
        <v>133</v>
      </c>
    </row>
    <row r="4" spans="1:3" x14ac:dyDescent="0.3">
      <c r="A4" s="4" t="s">
        <v>120</v>
      </c>
      <c r="B4" s="1">
        <v>1.5833333333333333</v>
      </c>
      <c r="C4" s="1">
        <v>1.6875000000000002</v>
      </c>
    </row>
    <row r="5" spans="1:3" x14ac:dyDescent="0.3">
      <c r="A5" s="4" t="s">
        <v>119</v>
      </c>
      <c r="B5" s="1">
        <v>1.3026315789473684</v>
      </c>
      <c r="C5" s="1">
        <v>1.2986842105263157</v>
      </c>
    </row>
    <row r="6" spans="1:3" x14ac:dyDescent="0.3">
      <c r="A6" s="4" t="s">
        <v>126</v>
      </c>
      <c r="B6" s="1">
        <v>1.37</v>
      </c>
      <c r="C6" s="1">
        <v>1.3919999999999999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D2FB-CB56-4246-8A0B-0A9C8A89394A}">
  <dimension ref="A3:C9"/>
  <sheetViews>
    <sheetView workbookViewId="0">
      <selection activeCell="B4" sqref="B4"/>
    </sheetView>
  </sheetViews>
  <sheetFormatPr defaultRowHeight="14.4" x14ac:dyDescent="0.3"/>
  <cols>
    <col min="1" max="1" width="12.5546875" bestFit="1" customWidth="1"/>
    <col min="2" max="2" width="26.77734375" bestFit="1" customWidth="1"/>
    <col min="3" max="3" width="14.109375" bestFit="1" customWidth="1"/>
  </cols>
  <sheetData>
    <row r="3" spans="1:3" x14ac:dyDescent="0.3">
      <c r="A3" s="3" t="s">
        <v>122</v>
      </c>
      <c r="B3" t="s">
        <v>134</v>
      </c>
      <c r="C3" t="s">
        <v>129</v>
      </c>
    </row>
    <row r="4" spans="1:3" x14ac:dyDescent="0.3">
      <c r="A4" s="4" t="s">
        <v>14</v>
      </c>
      <c r="B4" s="1">
        <v>2.3333333333333335</v>
      </c>
      <c r="C4" s="2">
        <v>17.280514841003029</v>
      </c>
    </row>
    <row r="5" spans="1:3" x14ac:dyDescent="0.3">
      <c r="A5" s="4" t="s">
        <v>20</v>
      </c>
      <c r="B5" s="1">
        <v>2.1428571428571428</v>
      </c>
      <c r="C5" s="2">
        <v>16.371172019628016</v>
      </c>
    </row>
    <row r="6" spans="1:3" x14ac:dyDescent="0.3">
      <c r="A6" s="4" t="s">
        <v>24</v>
      </c>
      <c r="B6" s="1">
        <v>2</v>
      </c>
      <c r="C6" s="2">
        <v>16.789441132947946</v>
      </c>
    </row>
    <row r="7" spans="1:3" x14ac:dyDescent="0.3">
      <c r="A7" s="4" t="s">
        <v>12</v>
      </c>
      <c r="B7" s="1">
        <v>2.5</v>
      </c>
      <c r="C7" s="2">
        <v>17.188810268120474</v>
      </c>
    </row>
    <row r="8" spans="1:3" x14ac:dyDescent="0.3">
      <c r="A8" s="4" t="s">
        <v>27</v>
      </c>
      <c r="B8" s="1">
        <v>1.5833333333333333</v>
      </c>
      <c r="C8" s="2">
        <v>17.912368815419139</v>
      </c>
    </row>
    <row r="9" spans="1:3" x14ac:dyDescent="0.3">
      <c r="A9" s="4" t="s">
        <v>126</v>
      </c>
      <c r="B9" s="1">
        <v>2.19</v>
      </c>
      <c r="C9" s="2">
        <v>17.058049606125373</v>
      </c>
    </row>
  </sheetData>
  <conditionalFormatting pivot="1" sqref="B4:C8">
    <cfRule type="top10" dxfId="3" priority="5" rank="1"/>
  </conditionalFormatting>
  <conditionalFormatting pivot="1" sqref="C4:C8">
    <cfRule type="top10" dxfId="2" priority="4" bottom="1" rank="1"/>
  </conditionalFormatting>
  <conditionalFormatting pivot="1" sqref="B4:B8">
    <cfRule type="top10" dxfId="1" priority="3" bottom="1" rank="1"/>
  </conditionalFormatting>
  <conditionalFormatting pivot="1" sqref="B4:B8">
    <cfRule type="top10" priority="2" rank="1"/>
  </conditionalFormatting>
  <conditionalFormatting pivot="1" sqref="B4:B8">
    <cfRule type="top10" dxfId="0"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7ADE-7C20-4529-BEA7-6CFDC95A6F6B}">
  <dimension ref="A1:A6"/>
  <sheetViews>
    <sheetView workbookViewId="0">
      <selection activeCell="C1" sqref="C1"/>
    </sheetView>
  </sheetViews>
  <sheetFormatPr defaultRowHeight="14.4" x14ac:dyDescent="0.3"/>
  <sheetData>
    <row r="1" spans="1:1" x14ac:dyDescent="0.3">
      <c r="A1" t="s">
        <v>9</v>
      </c>
    </row>
    <row r="2" spans="1:1" x14ac:dyDescent="0.3">
      <c r="A2" t="s">
        <v>24</v>
      </c>
    </row>
    <row r="3" spans="1:1" x14ac:dyDescent="0.3">
      <c r="A3" t="s">
        <v>12</v>
      </c>
    </row>
    <row r="4" spans="1:1" x14ac:dyDescent="0.3">
      <c r="A4" t="s">
        <v>20</v>
      </c>
    </row>
    <row r="5" spans="1:1" x14ac:dyDescent="0.3">
      <c r="A5" t="s">
        <v>27</v>
      </c>
    </row>
    <row r="6" spans="1:1" x14ac:dyDescent="0.3">
      <c r="A6"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27FF-E79E-43A8-BB58-D22F086BF300}">
  <dimension ref="A1:M101"/>
  <sheetViews>
    <sheetView topLeftCell="A2" workbookViewId="0">
      <selection activeCell="J1" sqref="J1:J101"/>
    </sheetView>
  </sheetViews>
  <sheetFormatPr defaultRowHeight="14.4" x14ac:dyDescent="0.3"/>
  <cols>
    <col min="1" max="1" width="9.21875" bestFit="1" customWidth="1"/>
    <col min="2" max="2" width="13.44140625" bestFit="1" customWidth="1"/>
    <col min="3" max="3" width="9.33203125" bestFit="1" customWidth="1"/>
    <col min="4" max="5" width="11.6640625" bestFit="1" customWidth="1"/>
    <col min="6" max="6" width="19.109375" bestFit="1" customWidth="1"/>
    <col min="7" max="7" width="21.109375" bestFit="1" customWidth="1"/>
    <col min="8" max="8" width="18.33203125" bestFit="1" customWidth="1"/>
    <col min="9" max="9" width="18.44140625" bestFit="1" customWidth="1"/>
    <col min="10" max="10" width="9" bestFit="1" customWidth="1"/>
    <col min="11" max="11" width="12" bestFit="1" customWidth="1"/>
    <col min="12" max="12" width="14.33203125" bestFit="1" customWidth="1"/>
  </cols>
  <sheetData>
    <row r="1" spans="1:13" x14ac:dyDescent="0.3">
      <c r="A1" t="s">
        <v>0</v>
      </c>
      <c r="B1" t="s">
        <v>1</v>
      </c>
      <c r="C1" t="s">
        <v>2</v>
      </c>
      <c r="D1" t="s">
        <v>3</v>
      </c>
      <c r="E1" t="s">
        <v>4</v>
      </c>
      <c r="F1" t="s">
        <v>5</v>
      </c>
      <c r="G1" t="s">
        <v>6</v>
      </c>
      <c r="H1" t="s">
        <v>7</v>
      </c>
      <c r="I1" t="s">
        <v>8</v>
      </c>
      <c r="J1" t="s">
        <v>9</v>
      </c>
      <c r="K1" t="s">
        <v>117</v>
      </c>
      <c r="L1" t="s">
        <v>118</v>
      </c>
      <c r="M1" t="s">
        <v>121</v>
      </c>
    </row>
    <row r="2" spans="1:13" x14ac:dyDescent="0.3">
      <c r="A2" s="1" t="s">
        <v>10</v>
      </c>
      <c r="B2">
        <v>47</v>
      </c>
      <c r="C2" s="1" t="s">
        <v>11</v>
      </c>
      <c r="D2">
        <v>104.41</v>
      </c>
      <c r="E2">
        <v>17.34</v>
      </c>
      <c r="F2">
        <v>1</v>
      </c>
      <c r="G2">
        <v>2</v>
      </c>
      <c r="H2">
        <v>3</v>
      </c>
      <c r="I2">
        <v>1.2</v>
      </c>
      <c r="J2" s="1" t="s">
        <v>12</v>
      </c>
      <c r="K2" s="2">
        <v>15.90614369846883</v>
      </c>
      <c r="L2" t="s">
        <v>119</v>
      </c>
      <c r="M2" t="str">
        <f>FLOOR(Child_Health_Data[[#This Row],[Age Months]],12)&amp;"-"&amp;FLOOR(Child_Health_Data[[#This Row],[Age Months]],12)+12</f>
        <v>36-48</v>
      </c>
    </row>
    <row r="3" spans="1:13" x14ac:dyDescent="0.3">
      <c r="A3" s="1" t="s">
        <v>13</v>
      </c>
      <c r="B3">
        <v>34</v>
      </c>
      <c r="C3" s="1" t="s">
        <v>11</v>
      </c>
      <c r="D3">
        <v>99.08</v>
      </c>
      <c r="E3">
        <v>16.21</v>
      </c>
      <c r="F3">
        <v>0</v>
      </c>
      <c r="G3">
        <v>1</v>
      </c>
      <c r="H3">
        <v>1</v>
      </c>
      <c r="I3">
        <v>1.4</v>
      </c>
      <c r="J3" s="1" t="s">
        <v>14</v>
      </c>
      <c r="K3" s="2">
        <v>16.512431120446177</v>
      </c>
      <c r="L3" t="s">
        <v>119</v>
      </c>
      <c r="M3" t="str">
        <f>FLOOR(Child_Health_Data[[#This Row],[Age Months]],12)&amp;"-"&amp;FLOOR(Child_Health_Data[[#This Row],[Age Months]],12)+12</f>
        <v>24-36</v>
      </c>
    </row>
    <row r="4" spans="1:13" x14ac:dyDescent="0.3">
      <c r="A4" s="1" t="s">
        <v>15</v>
      </c>
      <c r="B4">
        <v>35</v>
      </c>
      <c r="C4" s="1" t="s">
        <v>11</v>
      </c>
      <c r="D4">
        <v>94.96</v>
      </c>
      <c r="E4">
        <v>17.3</v>
      </c>
      <c r="F4">
        <v>3</v>
      </c>
      <c r="G4">
        <v>3</v>
      </c>
      <c r="H4">
        <v>2</v>
      </c>
      <c r="I4">
        <v>0.6</v>
      </c>
      <c r="J4" s="1" t="s">
        <v>14</v>
      </c>
      <c r="K4" s="2">
        <v>19.185127564907393</v>
      </c>
      <c r="L4" t="s">
        <v>120</v>
      </c>
      <c r="M4" t="str">
        <f>FLOOR(Child_Health_Data[[#This Row],[Age Months]],12)&amp;"-"&amp;FLOOR(Child_Health_Data[[#This Row],[Age Months]],12)+12</f>
        <v>24-36</v>
      </c>
    </row>
    <row r="5" spans="1:13" x14ac:dyDescent="0.3">
      <c r="A5" s="1" t="s">
        <v>16</v>
      </c>
      <c r="B5">
        <v>39</v>
      </c>
      <c r="C5" s="1" t="s">
        <v>11</v>
      </c>
      <c r="D5">
        <v>100.65</v>
      </c>
      <c r="E5">
        <v>20.010000000000002</v>
      </c>
      <c r="F5">
        <v>2</v>
      </c>
      <c r="G5">
        <v>0</v>
      </c>
      <c r="H5">
        <v>1</v>
      </c>
      <c r="I5">
        <v>1.5</v>
      </c>
      <c r="J5" s="1" t="s">
        <v>14</v>
      </c>
      <c r="K5" s="2">
        <v>19.75238446372795</v>
      </c>
      <c r="L5" t="s">
        <v>120</v>
      </c>
      <c r="M5" t="str">
        <f>FLOOR(Child_Health_Data[[#This Row],[Age Months]],12)&amp;"-"&amp;FLOOR(Child_Health_Data[[#This Row],[Age Months]],12)+12</f>
        <v>36-48</v>
      </c>
    </row>
    <row r="6" spans="1:13" x14ac:dyDescent="0.3">
      <c r="A6" s="1" t="s">
        <v>17</v>
      </c>
      <c r="B6">
        <v>26</v>
      </c>
      <c r="C6" s="1" t="s">
        <v>11</v>
      </c>
      <c r="D6">
        <v>90.06</v>
      </c>
      <c r="E6">
        <v>12.16</v>
      </c>
      <c r="F6">
        <v>0</v>
      </c>
      <c r="G6">
        <v>1</v>
      </c>
      <c r="H6">
        <v>0</v>
      </c>
      <c r="I6">
        <v>0.9</v>
      </c>
      <c r="J6" s="1" t="s">
        <v>12</v>
      </c>
      <c r="K6" s="2">
        <v>14.992349216790304</v>
      </c>
      <c r="L6" t="s">
        <v>119</v>
      </c>
      <c r="M6" t="str">
        <f>FLOOR(Child_Health_Data[[#This Row],[Age Months]],12)&amp;"-"&amp;FLOOR(Child_Health_Data[[#This Row],[Age Months]],12)+12</f>
        <v>24-36</v>
      </c>
    </row>
    <row r="7" spans="1:13" x14ac:dyDescent="0.3">
      <c r="A7" s="1" t="s">
        <v>18</v>
      </c>
      <c r="B7">
        <v>51</v>
      </c>
      <c r="C7" s="1" t="s">
        <v>19</v>
      </c>
      <c r="D7">
        <v>108.82</v>
      </c>
      <c r="E7">
        <v>21.54</v>
      </c>
      <c r="F7">
        <v>0</v>
      </c>
      <c r="G7">
        <v>1</v>
      </c>
      <c r="H7">
        <v>1</v>
      </c>
      <c r="I7">
        <v>0.9</v>
      </c>
      <c r="J7" s="1" t="s">
        <v>20</v>
      </c>
      <c r="K7" s="2">
        <v>18.189813900132215</v>
      </c>
      <c r="L7" t="s">
        <v>119</v>
      </c>
      <c r="M7" t="str">
        <f>FLOOR(Child_Health_Data[[#This Row],[Age Months]],12)&amp;"-"&amp;FLOOR(Child_Health_Data[[#This Row],[Age Months]],12)+12</f>
        <v>48-60</v>
      </c>
    </row>
    <row r="8" spans="1:13" x14ac:dyDescent="0.3">
      <c r="A8" s="1" t="s">
        <v>21</v>
      </c>
      <c r="B8">
        <v>52</v>
      </c>
      <c r="C8" s="1" t="s">
        <v>19</v>
      </c>
      <c r="D8">
        <v>110.28</v>
      </c>
      <c r="E8">
        <v>21.49</v>
      </c>
      <c r="F8">
        <v>4</v>
      </c>
      <c r="G8">
        <v>0</v>
      </c>
      <c r="H8">
        <v>2</v>
      </c>
      <c r="I8">
        <v>2.8</v>
      </c>
      <c r="J8" s="1" t="s">
        <v>12</v>
      </c>
      <c r="K8" s="2">
        <v>17.67025840775398</v>
      </c>
      <c r="L8" t="s">
        <v>119</v>
      </c>
      <c r="M8" t="str">
        <f>FLOOR(Child_Health_Data[[#This Row],[Age Months]],12)&amp;"-"&amp;FLOOR(Child_Health_Data[[#This Row],[Age Months]],12)+12</f>
        <v>48-60</v>
      </c>
    </row>
    <row r="9" spans="1:13" x14ac:dyDescent="0.3">
      <c r="A9" s="1" t="s">
        <v>22</v>
      </c>
      <c r="B9">
        <v>52</v>
      </c>
      <c r="C9" s="1" t="s">
        <v>11</v>
      </c>
      <c r="D9">
        <v>102.65</v>
      </c>
      <c r="E9">
        <v>19.55</v>
      </c>
      <c r="F9">
        <v>2</v>
      </c>
      <c r="G9">
        <v>2</v>
      </c>
      <c r="H9">
        <v>1</v>
      </c>
      <c r="I9">
        <v>1.3</v>
      </c>
      <c r="J9" s="1" t="s">
        <v>14</v>
      </c>
      <c r="K9" s="2">
        <v>18.553628408784363</v>
      </c>
      <c r="L9" t="s">
        <v>120</v>
      </c>
      <c r="M9" t="str">
        <f>FLOOR(Child_Health_Data[[#This Row],[Age Months]],12)&amp;"-"&amp;FLOOR(Child_Health_Data[[#This Row],[Age Months]],12)+12</f>
        <v>48-60</v>
      </c>
    </row>
    <row r="10" spans="1:13" x14ac:dyDescent="0.3">
      <c r="A10" s="1" t="s">
        <v>23</v>
      </c>
      <c r="B10">
        <v>28</v>
      </c>
      <c r="C10" s="1" t="s">
        <v>19</v>
      </c>
      <c r="D10">
        <v>91.47</v>
      </c>
      <c r="E10">
        <v>16.39</v>
      </c>
      <c r="F10">
        <v>3</v>
      </c>
      <c r="G10">
        <v>2</v>
      </c>
      <c r="H10">
        <v>3</v>
      </c>
      <c r="I10">
        <v>0.8</v>
      </c>
      <c r="J10" s="1" t="s">
        <v>24</v>
      </c>
      <c r="K10" s="2">
        <v>19.589420799631078</v>
      </c>
      <c r="L10" t="s">
        <v>120</v>
      </c>
      <c r="M10" t="str">
        <f>FLOOR(Child_Health_Data[[#This Row],[Age Months]],12)&amp;"-"&amp;FLOOR(Child_Health_Data[[#This Row],[Age Months]],12)+12</f>
        <v>24-36</v>
      </c>
    </row>
    <row r="11" spans="1:13" x14ac:dyDescent="0.3">
      <c r="A11" s="1" t="s">
        <v>25</v>
      </c>
      <c r="B11">
        <v>44</v>
      </c>
      <c r="C11" s="1" t="s">
        <v>11</v>
      </c>
      <c r="D11">
        <v>111.89</v>
      </c>
      <c r="E11">
        <v>17.95</v>
      </c>
      <c r="F11">
        <v>1</v>
      </c>
      <c r="G11">
        <v>3</v>
      </c>
      <c r="H11">
        <v>0</v>
      </c>
      <c r="I11">
        <v>0.8</v>
      </c>
      <c r="J11" s="1" t="s">
        <v>14</v>
      </c>
      <c r="K11" s="2">
        <v>14.337779767724934</v>
      </c>
      <c r="L11" t="s">
        <v>119</v>
      </c>
      <c r="M11" t="str">
        <f>FLOOR(Child_Health_Data[[#This Row],[Age Months]],12)&amp;"-"&amp;FLOOR(Child_Health_Data[[#This Row],[Age Months]],12)+12</f>
        <v>36-48</v>
      </c>
    </row>
    <row r="12" spans="1:13" x14ac:dyDescent="0.3">
      <c r="A12" s="1" t="s">
        <v>26</v>
      </c>
      <c r="B12">
        <v>25</v>
      </c>
      <c r="C12" s="1" t="s">
        <v>19</v>
      </c>
      <c r="D12">
        <v>96.25</v>
      </c>
      <c r="E12">
        <v>13.5</v>
      </c>
      <c r="F12">
        <v>3</v>
      </c>
      <c r="G12">
        <v>4</v>
      </c>
      <c r="H12">
        <v>0</v>
      </c>
      <c r="I12">
        <v>0.6</v>
      </c>
      <c r="J12" s="1" t="s">
        <v>27</v>
      </c>
      <c r="K12" s="2">
        <v>14.572440546466519</v>
      </c>
      <c r="L12" t="s">
        <v>119</v>
      </c>
      <c r="M12" t="str">
        <f>FLOOR(Child_Health_Data[[#This Row],[Age Months]],12)&amp;"-"&amp;FLOOR(Child_Health_Data[[#This Row],[Age Months]],12)+12</f>
        <v>24-36</v>
      </c>
    </row>
    <row r="13" spans="1:13" x14ac:dyDescent="0.3">
      <c r="A13" s="1" t="s">
        <v>28</v>
      </c>
      <c r="B13">
        <v>32</v>
      </c>
      <c r="C13" s="1" t="s">
        <v>11</v>
      </c>
      <c r="D13">
        <v>96.02</v>
      </c>
      <c r="E13">
        <v>16.55</v>
      </c>
      <c r="F13">
        <v>2</v>
      </c>
      <c r="G13">
        <v>0</v>
      </c>
      <c r="H13">
        <v>2</v>
      </c>
      <c r="I13">
        <v>1</v>
      </c>
      <c r="J13" s="1" t="s">
        <v>24</v>
      </c>
      <c r="K13" s="2">
        <v>17.950419185130364</v>
      </c>
      <c r="L13" t="s">
        <v>119</v>
      </c>
      <c r="M13" t="str">
        <f>FLOOR(Child_Health_Data[[#This Row],[Age Months]],12)&amp;"-"&amp;FLOOR(Child_Health_Data[[#This Row],[Age Months]],12)+12</f>
        <v>24-36</v>
      </c>
    </row>
    <row r="14" spans="1:13" x14ac:dyDescent="0.3">
      <c r="A14" s="1" t="s">
        <v>29</v>
      </c>
      <c r="B14">
        <v>34</v>
      </c>
      <c r="C14" s="1" t="s">
        <v>19</v>
      </c>
      <c r="D14">
        <v>97.37</v>
      </c>
      <c r="E14">
        <v>15.55</v>
      </c>
      <c r="F14">
        <v>0</v>
      </c>
      <c r="G14">
        <v>1</v>
      </c>
      <c r="H14">
        <v>2</v>
      </c>
      <c r="I14">
        <v>1.3</v>
      </c>
      <c r="J14" s="1" t="s">
        <v>20</v>
      </c>
      <c r="K14" s="2">
        <v>16.401367255945466</v>
      </c>
      <c r="L14" t="s">
        <v>119</v>
      </c>
      <c r="M14" t="str">
        <f>FLOOR(Child_Health_Data[[#This Row],[Age Months]],12)&amp;"-"&amp;FLOOR(Child_Health_Data[[#This Row],[Age Months]],12)+12</f>
        <v>24-36</v>
      </c>
    </row>
    <row r="15" spans="1:13" x14ac:dyDescent="0.3">
      <c r="A15" s="1" t="s">
        <v>30</v>
      </c>
      <c r="B15">
        <v>49</v>
      </c>
      <c r="C15" s="1" t="s">
        <v>19</v>
      </c>
      <c r="D15">
        <v>108.39</v>
      </c>
      <c r="E15">
        <v>20.100000000000001</v>
      </c>
      <c r="F15">
        <v>0</v>
      </c>
      <c r="G15">
        <v>2</v>
      </c>
      <c r="H15">
        <v>3</v>
      </c>
      <c r="I15">
        <v>0.6</v>
      </c>
      <c r="J15" s="1" t="s">
        <v>20</v>
      </c>
      <c r="K15" s="2">
        <v>17.108724180222072</v>
      </c>
      <c r="L15" t="s">
        <v>119</v>
      </c>
      <c r="M15" t="str">
        <f>FLOOR(Child_Health_Data[[#This Row],[Age Months]],12)&amp;"-"&amp;FLOOR(Child_Health_Data[[#This Row],[Age Months]],12)+12</f>
        <v>48-60</v>
      </c>
    </row>
    <row r="16" spans="1:13" x14ac:dyDescent="0.3">
      <c r="A16" s="1" t="s">
        <v>31</v>
      </c>
      <c r="B16">
        <v>25</v>
      </c>
      <c r="C16" s="1" t="s">
        <v>19</v>
      </c>
      <c r="D16">
        <v>92.58</v>
      </c>
      <c r="E16">
        <v>15.13</v>
      </c>
      <c r="F16">
        <v>2</v>
      </c>
      <c r="G16">
        <v>2</v>
      </c>
      <c r="H16">
        <v>2</v>
      </c>
      <c r="I16">
        <v>1.6</v>
      </c>
      <c r="J16" s="1" t="s">
        <v>14</v>
      </c>
      <c r="K16" s="2">
        <v>17.652433135313405</v>
      </c>
      <c r="L16" t="s">
        <v>119</v>
      </c>
      <c r="M16" t="str">
        <f>FLOOR(Child_Health_Data[[#This Row],[Age Months]],12)&amp;"-"&amp;FLOOR(Child_Health_Data[[#This Row],[Age Months]],12)+12</f>
        <v>24-36</v>
      </c>
    </row>
    <row r="17" spans="1:13" x14ac:dyDescent="0.3">
      <c r="A17" s="1" t="s">
        <v>32</v>
      </c>
      <c r="B17">
        <v>38</v>
      </c>
      <c r="C17" s="1" t="s">
        <v>19</v>
      </c>
      <c r="D17">
        <v>99.65</v>
      </c>
      <c r="E17">
        <v>16.940000000000001</v>
      </c>
      <c r="F17">
        <v>1</v>
      </c>
      <c r="G17">
        <v>3</v>
      </c>
      <c r="H17">
        <v>3</v>
      </c>
      <c r="I17">
        <v>2.1</v>
      </c>
      <c r="J17" s="1" t="s">
        <v>14</v>
      </c>
      <c r="K17" s="2">
        <v>17.059205462973896</v>
      </c>
      <c r="L17" t="s">
        <v>119</v>
      </c>
      <c r="M17" t="str">
        <f>FLOOR(Child_Health_Data[[#This Row],[Age Months]],12)&amp;"-"&amp;FLOOR(Child_Health_Data[[#This Row],[Age Months]],12)+12</f>
        <v>36-48</v>
      </c>
    </row>
    <row r="18" spans="1:13" x14ac:dyDescent="0.3">
      <c r="A18" s="1" t="s">
        <v>33</v>
      </c>
      <c r="B18">
        <v>38</v>
      </c>
      <c r="C18" s="1" t="s">
        <v>11</v>
      </c>
      <c r="D18">
        <v>98.91</v>
      </c>
      <c r="E18">
        <v>19.489999999999998</v>
      </c>
      <c r="F18">
        <v>0</v>
      </c>
      <c r="G18">
        <v>0</v>
      </c>
      <c r="H18">
        <v>3</v>
      </c>
      <c r="I18">
        <v>3.1</v>
      </c>
      <c r="J18" s="1" t="s">
        <v>14</v>
      </c>
      <c r="K18" s="2">
        <v>19.92193117497148</v>
      </c>
      <c r="L18" t="s">
        <v>120</v>
      </c>
      <c r="M18" t="str">
        <f>FLOOR(Child_Health_Data[[#This Row],[Age Months]],12)&amp;"-"&amp;FLOOR(Child_Health_Data[[#This Row],[Age Months]],12)+12</f>
        <v>36-48</v>
      </c>
    </row>
    <row r="19" spans="1:13" x14ac:dyDescent="0.3">
      <c r="A19" s="1" t="s">
        <v>34</v>
      </c>
      <c r="B19">
        <v>25</v>
      </c>
      <c r="C19" s="1" t="s">
        <v>11</v>
      </c>
      <c r="D19">
        <v>96.42</v>
      </c>
      <c r="E19">
        <v>14.69</v>
      </c>
      <c r="F19">
        <v>1</v>
      </c>
      <c r="G19">
        <v>3</v>
      </c>
      <c r="H19">
        <v>2</v>
      </c>
      <c r="I19">
        <v>1.2</v>
      </c>
      <c r="J19" s="1" t="s">
        <v>24</v>
      </c>
      <c r="K19" s="2">
        <v>15.801108000799067</v>
      </c>
      <c r="L19" t="s">
        <v>119</v>
      </c>
      <c r="M19" t="str">
        <f>FLOOR(Child_Health_Data[[#This Row],[Age Months]],12)&amp;"-"&amp;FLOOR(Child_Health_Data[[#This Row],[Age Months]],12)+12</f>
        <v>24-36</v>
      </c>
    </row>
    <row r="20" spans="1:13" x14ac:dyDescent="0.3">
      <c r="A20" s="1" t="s">
        <v>35</v>
      </c>
      <c r="B20">
        <v>57</v>
      </c>
      <c r="C20" s="1" t="s">
        <v>11</v>
      </c>
      <c r="D20">
        <v>109.26</v>
      </c>
      <c r="E20">
        <v>20.61</v>
      </c>
      <c r="F20">
        <v>3</v>
      </c>
      <c r="G20">
        <v>2</v>
      </c>
      <c r="H20">
        <v>1</v>
      </c>
      <c r="I20">
        <v>2</v>
      </c>
      <c r="J20" s="1" t="s">
        <v>20</v>
      </c>
      <c r="K20" s="2">
        <v>17.264563375422682</v>
      </c>
      <c r="L20" t="s">
        <v>119</v>
      </c>
      <c r="M20" t="str">
        <f>FLOOR(Child_Health_Data[[#This Row],[Age Months]],12)&amp;"-"&amp;FLOOR(Child_Health_Data[[#This Row],[Age Months]],12)+12</f>
        <v>48-60</v>
      </c>
    </row>
    <row r="21" spans="1:13" x14ac:dyDescent="0.3">
      <c r="A21" s="1" t="s">
        <v>36</v>
      </c>
      <c r="B21">
        <v>34</v>
      </c>
      <c r="C21" s="1" t="s">
        <v>19</v>
      </c>
      <c r="D21">
        <v>98.22</v>
      </c>
      <c r="E21">
        <v>15.49</v>
      </c>
      <c r="F21">
        <v>1</v>
      </c>
      <c r="G21">
        <v>2</v>
      </c>
      <c r="H21">
        <v>0</v>
      </c>
      <c r="I21">
        <v>0.8</v>
      </c>
      <c r="J21" s="1" t="s">
        <v>14</v>
      </c>
      <c r="K21" s="2">
        <v>16.056524938447225</v>
      </c>
      <c r="L21" t="s">
        <v>119</v>
      </c>
      <c r="M21" t="str">
        <f>FLOOR(Child_Health_Data[[#This Row],[Age Months]],12)&amp;"-"&amp;FLOOR(Child_Health_Data[[#This Row],[Age Months]],12)+12</f>
        <v>24-36</v>
      </c>
    </row>
    <row r="22" spans="1:13" x14ac:dyDescent="0.3">
      <c r="A22" s="1" t="s">
        <v>37</v>
      </c>
      <c r="B22">
        <v>35</v>
      </c>
      <c r="C22" s="1" t="s">
        <v>11</v>
      </c>
      <c r="D22">
        <v>101.02</v>
      </c>
      <c r="E22">
        <v>16.760000000000002</v>
      </c>
      <c r="F22">
        <v>3</v>
      </c>
      <c r="G22">
        <v>2</v>
      </c>
      <c r="H22">
        <v>2</v>
      </c>
      <c r="I22">
        <v>1.9</v>
      </c>
      <c r="J22" s="1" t="s">
        <v>12</v>
      </c>
      <c r="K22" s="2">
        <v>16.423256883921791</v>
      </c>
      <c r="L22" t="s">
        <v>119</v>
      </c>
      <c r="M22" t="str">
        <f>FLOOR(Child_Health_Data[[#This Row],[Age Months]],12)&amp;"-"&amp;FLOOR(Child_Health_Data[[#This Row],[Age Months]],12)+12</f>
        <v>24-36</v>
      </c>
    </row>
    <row r="23" spans="1:13" x14ac:dyDescent="0.3">
      <c r="A23" s="1" t="s">
        <v>38</v>
      </c>
      <c r="B23">
        <v>56</v>
      </c>
      <c r="C23" s="1" t="s">
        <v>19</v>
      </c>
      <c r="D23">
        <v>111.44</v>
      </c>
      <c r="E23">
        <v>21.87</v>
      </c>
      <c r="F23">
        <v>4</v>
      </c>
      <c r="G23">
        <v>1</v>
      </c>
      <c r="H23">
        <v>2</v>
      </c>
      <c r="I23">
        <v>1.9</v>
      </c>
      <c r="J23" s="1" t="s">
        <v>20</v>
      </c>
      <c r="K23" s="2">
        <v>17.610292772445963</v>
      </c>
      <c r="L23" t="s">
        <v>119</v>
      </c>
      <c r="M23" t="str">
        <f>FLOOR(Child_Health_Data[[#This Row],[Age Months]],12)&amp;"-"&amp;FLOOR(Child_Health_Data[[#This Row],[Age Months]],12)+12</f>
        <v>48-60</v>
      </c>
    </row>
    <row r="24" spans="1:13" x14ac:dyDescent="0.3">
      <c r="A24" s="1" t="s">
        <v>39</v>
      </c>
      <c r="B24">
        <v>46</v>
      </c>
      <c r="C24" s="1" t="s">
        <v>19</v>
      </c>
      <c r="D24">
        <v>103.85</v>
      </c>
      <c r="E24">
        <v>19.47</v>
      </c>
      <c r="F24">
        <v>2</v>
      </c>
      <c r="G24">
        <v>4</v>
      </c>
      <c r="H24">
        <v>3</v>
      </c>
      <c r="I24">
        <v>2.9</v>
      </c>
      <c r="J24" s="1" t="s">
        <v>20</v>
      </c>
      <c r="K24" s="2">
        <v>18.053148301698982</v>
      </c>
      <c r="L24" t="s">
        <v>119</v>
      </c>
      <c r="M24" t="str">
        <f>FLOOR(Child_Health_Data[[#This Row],[Age Months]],12)&amp;"-"&amp;FLOOR(Child_Health_Data[[#This Row],[Age Months]],12)+12</f>
        <v>36-48</v>
      </c>
    </row>
    <row r="25" spans="1:13" x14ac:dyDescent="0.3">
      <c r="A25" s="1" t="s">
        <v>40</v>
      </c>
      <c r="B25">
        <v>35</v>
      </c>
      <c r="C25" s="1" t="s">
        <v>11</v>
      </c>
      <c r="D25">
        <v>102.67</v>
      </c>
      <c r="E25">
        <v>13.79</v>
      </c>
      <c r="F25">
        <v>4</v>
      </c>
      <c r="G25">
        <v>1</v>
      </c>
      <c r="H25">
        <v>1</v>
      </c>
      <c r="I25">
        <v>2</v>
      </c>
      <c r="J25" s="1" t="s">
        <v>14</v>
      </c>
      <c r="K25" s="2">
        <v>13.082090287312587</v>
      </c>
      <c r="L25" t="s">
        <v>119</v>
      </c>
      <c r="M25" t="str">
        <f>FLOOR(Child_Health_Data[[#This Row],[Age Months]],12)&amp;"-"&amp;FLOOR(Child_Health_Data[[#This Row],[Age Months]],12)+12</f>
        <v>24-36</v>
      </c>
    </row>
    <row r="26" spans="1:13" x14ac:dyDescent="0.3">
      <c r="A26" s="1" t="s">
        <v>41</v>
      </c>
      <c r="B26">
        <v>52</v>
      </c>
      <c r="C26" s="1" t="s">
        <v>19</v>
      </c>
      <c r="D26">
        <v>107.91</v>
      </c>
      <c r="E26">
        <v>19.27</v>
      </c>
      <c r="F26">
        <v>4</v>
      </c>
      <c r="G26">
        <v>0</v>
      </c>
      <c r="H26">
        <v>0</v>
      </c>
      <c r="I26">
        <v>0.8</v>
      </c>
      <c r="J26" s="1" t="s">
        <v>20</v>
      </c>
      <c r="K26" s="2">
        <v>16.548488389191526</v>
      </c>
      <c r="L26" t="s">
        <v>119</v>
      </c>
      <c r="M26" t="str">
        <f>FLOOR(Child_Health_Data[[#This Row],[Age Months]],12)&amp;"-"&amp;FLOOR(Child_Health_Data[[#This Row],[Age Months]],12)+12</f>
        <v>48-60</v>
      </c>
    </row>
    <row r="27" spans="1:13" x14ac:dyDescent="0.3">
      <c r="A27" s="1" t="s">
        <v>42</v>
      </c>
      <c r="B27">
        <v>30</v>
      </c>
      <c r="C27" s="1" t="s">
        <v>11</v>
      </c>
      <c r="D27">
        <v>96.67</v>
      </c>
      <c r="E27">
        <v>15.72</v>
      </c>
      <c r="F27">
        <v>3</v>
      </c>
      <c r="G27">
        <v>1</v>
      </c>
      <c r="H27">
        <v>2</v>
      </c>
      <c r="I27">
        <v>1.2</v>
      </c>
      <c r="J27" s="1" t="s">
        <v>24</v>
      </c>
      <c r="K27" s="2">
        <v>16.821669829165565</v>
      </c>
      <c r="L27" t="s">
        <v>119</v>
      </c>
      <c r="M27" t="str">
        <f>FLOOR(Child_Health_Data[[#This Row],[Age Months]],12)&amp;"-"&amp;FLOOR(Child_Health_Data[[#This Row],[Age Months]],12)+12</f>
        <v>24-36</v>
      </c>
    </row>
    <row r="28" spans="1:13" x14ac:dyDescent="0.3">
      <c r="A28" s="1" t="s">
        <v>43</v>
      </c>
      <c r="B28">
        <v>35</v>
      </c>
      <c r="C28" s="1" t="s">
        <v>19</v>
      </c>
      <c r="D28">
        <v>101.41</v>
      </c>
      <c r="E28">
        <v>19.45</v>
      </c>
      <c r="F28">
        <v>0</v>
      </c>
      <c r="G28">
        <v>4</v>
      </c>
      <c r="H28">
        <v>2</v>
      </c>
      <c r="I28">
        <v>1.9</v>
      </c>
      <c r="J28" s="1" t="s">
        <v>12</v>
      </c>
      <c r="K28" s="2">
        <v>18.912896252767929</v>
      </c>
      <c r="L28" t="s">
        <v>120</v>
      </c>
      <c r="M28" t="str">
        <f>FLOOR(Child_Health_Data[[#This Row],[Age Months]],12)&amp;"-"&amp;FLOOR(Child_Health_Data[[#This Row],[Age Months]],12)+12</f>
        <v>24-36</v>
      </c>
    </row>
    <row r="29" spans="1:13" x14ac:dyDescent="0.3">
      <c r="A29" s="1" t="s">
        <v>44</v>
      </c>
      <c r="B29">
        <v>32</v>
      </c>
      <c r="C29" s="1" t="s">
        <v>11</v>
      </c>
      <c r="D29">
        <v>102.28</v>
      </c>
      <c r="E29">
        <v>11.75</v>
      </c>
      <c r="F29">
        <v>2</v>
      </c>
      <c r="G29">
        <v>1</v>
      </c>
      <c r="H29">
        <v>1</v>
      </c>
      <c r="I29">
        <v>1.3</v>
      </c>
      <c r="J29" s="1" t="s">
        <v>20</v>
      </c>
      <c r="K29" s="2">
        <v>11.23198275256877</v>
      </c>
      <c r="L29" t="s">
        <v>119</v>
      </c>
      <c r="M29" t="str">
        <f>FLOOR(Child_Health_Data[[#This Row],[Age Months]],12)&amp;"-"&amp;FLOOR(Child_Health_Data[[#This Row],[Age Months]],12)+12</f>
        <v>24-36</v>
      </c>
    </row>
    <row r="30" spans="1:13" x14ac:dyDescent="0.3">
      <c r="A30" s="1" t="s">
        <v>45</v>
      </c>
      <c r="B30">
        <v>46</v>
      </c>
      <c r="C30" s="1" t="s">
        <v>19</v>
      </c>
      <c r="D30">
        <v>105.06</v>
      </c>
      <c r="E30">
        <v>17.260000000000002</v>
      </c>
      <c r="F30">
        <v>4</v>
      </c>
      <c r="G30">
        <v>1</v>
      </c>
      <c r="H30">
        <v>2</v>
      </c>
      <c r="I30">
        <v>0.8</v>
      </c>
      <c r="J30" s="1" t="s">
        <v>14</v>
      </c>
      <c r="K30" s="2">
        <v>15.637452318001349</v>
      </c>
      <c r="L30" t="s">
        <v>119</v>
      </c>
      <c r="M30" t="str">
        <f>FLOOR(Child_Health_Data[[#This Row],[Age Months]],12)&amp;"-"&amp;FLOOR(Child_Health_Data[[#This Row],[Age Months]],12)+12</f>
        <v>36-48</v>
      </c>
    </row>
    <row r="31" spans="1:13" x14ac:dyDescent="0.3">
      <c r="A31" s="1" t="s">
        <v>46</v>
      </c>
      <c r="B31">
        <v>43</v>
      </c>
      <c r="C31" s="1" t="s">
        <v>19</v>
      </c>
      <c r="D31">
        <v>103.22</v>
      </c>
      <c r="E31">
        <v>20.74</v>
      </c>
      <c r="F31">
        <v>2</v>
      </c>
      <c r="G31">
        <v>2</v>
      </c>
      <c r="H31">
        <v>3</v>
      </c>
      <c r="I31">
        <v>2.1</v>
      </c>
      <c r="J31" s="1" t="s">
        <v>12</v>
      </c>
      <c r="K31" s="2">
        <v>19.466193791459283</v>
      </c>
      <c r="L31" t="s">
        <v>120</v>
      </c>
      <c r="M31" t="str">
        <f>FLOOR(Child_Health_Data[[#This Row],[Age Months]],12)&amp;"-"&amp;FLOOR(Child_Health_Data[[#This Row],[Age Months]],12)+12</f>
        <v>36-48</v>
      </c>
    </row>
    <row r="32" spans="1:13" x14ac:dyDescent="0.3">
      <c r="A32" s="1" t="s">
        <v>47</v>
      </c>
      <c r="B32">
        <v>46</v>
      </c>
      <c r="C32" s="1" t="s">
        <v>11</v>
      </c>
      <c r="D32">
        <v>105.42</v>
      </c>
      <c r="E32">
        <v>20.23</v>
      </c>
      <c r="F32">
        <v>4</v>
      </c>
      <c r="G32">
        <v>0</v>
      </c>
      <c r="H32">
        <v>2</v>
      </c>
      <c r="I32">
        <v>2.2999999999999998</v>
      </c>
      <c r="J32" s="1" t="s">
        <v>27</v>
      </c>
      <c r="K32" s="2">
        <v>18.203288786295403</v>
      </c>
      <c r="L32" t="s">
        <v>119</v>
      </c>
      <c r="M32" t="str">
        <f>FLOOR(Child_Health_Data[[#This Row],[Age Months]],12)&amp;"-"&amp;FLOOR(Child_Health_Data[[#This Row],[Age Months]],12)+12</f>
        <v>36-48</v>
      </c>
    </row>
    <row r="33" spans="1:13" x14ac:dyDescent="0.3">
      <c r="A33" s="1" t="s">
        <v>48</v>
      </c>
      <c r="B33">
        <v>32</v>
      </c>
      <c r="C33" s="1" t="s">
        <v>19</v>
      </c>
      <c r="D33">
        <v>97.29</v>
      </c>
      <c r="E33">
        <v>12.89</v>
      </c>
      <c r="F33">
        <v>4</v>
      </c>
      <c r="G33">
        <v>2</v>
      </c>
      <c r="H33">
        <v>2</v>
      </c>
      <c r="I33">
        <v>1.3</v>
      </c>
      <c r="J33" s="1" t="s">
        <v>14</v>
      </c>
      <c r="K33" s="2">
        <v>13.618099737124188</v>
      </c>
      <c r="L33" t="s">
        <v>119</v>
      </c>
      <c r="M33" t="str">
        <f>FLOOR(Child_Health_Data[[#This Row],[Age Months]],12)&amp;"-"&amp;FLOOR(Child_Health_Data[[#This Row],[Age Months]],12)+12</f>
        <v>24-36</v>
      </c>
    </row>
    <row r="34" spans="1:13" x14ac:dyDescent="0.3">
      <c r="A34" s="1" t="s">
        <v>49</v>
      </c>
      <c r="B34">
        <v>46</v>
      </c>
      <c r="C34" s="1" t="s">
        <v>19</v>
      </c>
      <c r="D34">
        <v>106.22</v>
      </c>
      <c r="E34">
        <v>19.48</v>
      </c>
      <c r="F34">
        <v>4</v>
      </c>
      <c r="G34">
        <v>3</v>
      </c>
      <c r="H34">
        <v>0</v>
      </c>
      <c r="I34">
        <v>0.7</v>
      </c>
      <c r="J34" s="1" t="s">
        <v>12</v>
      </c>
      <c r="K34" s="2">
        <v>17.26538862847617</v>
      </c>
      <c r="L34" t="s">
        <v>119</v>
      </c>
      <c r="M34" t="str">
        <f>FLOOR(Child_Health_Data[[#This Row],[Age Months]],12)&amp;"-"&amp;FLOOR(Child_Health_Data[[#This Row],[Age Months]],12)+12</f>
        <v>36-48</v>
      </c>
    </row>
    <row r="35" spans="1:13" x14ac:dyDescent="0.3">
      <c r="A35" s="1" t="s">
        <v>50</v>
      </c>
      <c r="B35">
        <v>56</v>
      </c>
      <c r="C35" s="1" t="s">
        <v>11</v>
      </c>
      <c r="D35">
        <v>114.63</v>
      </c>
      <c r="E35">
        <v>20.11</v>
      </c>
      <c r="F35">
        <v>2</v>
      </c>
      <c r="G35">
        <v>1</v>
      </c>
      <c r="H35">
        <v>0</v>
      </c>
      <c r="I35">
        <v>0.8</v>
      </c>
      <c r="J35" s="1" t="s">
        <v>27</v>
      </c>
      <c r="K35" s="2">
        <v>15.304371025015923</v>
      </c>
      <c r="L35" t="s">
        <v>119</v>
      </c>
      <c r="M35" t="str">
        <f>FLOOR(Child_Health_Data[[#This Row],[Age Months]],12)&amp;"-"&amp;FLOOR(Child_Health_Data[[#This Row],[Age Months]],12)+12</f>
        <v>48-60</v>
      </c>
    </row>
    <row r="36" spans="1:13" x14ac:dyDescent="0.3">
      <c r="A36" s="1" t="s">
        <v>51</v>
      </c>
      <c r="B36">
        <v>30</v>
      </c>
      <c r="C36" s="1" t="s">
        <v>11</v>
      </c>
      <c r="D36">
        <v>93.15</v>
      </c>
      <c r="E36">
        <v>14.24</v>
      </c>
      <c r="F36">
        <v>1</v>
      </c>
      <c r="G36">
        <v>1</v>
      </c>
      <c r="H36">
        <v>2</v>
      </c>
      <c r="I36">
        <v>1.3</v>
      </c>
      <c r="J36" s="1" t="s">
        <v>14</v>
      </c>
      <c r="K36" s="2">
        <v>16.411348608910586</v>
      </c>
      <c r="L36" t="s">
        <v>119</v>
      </c>
      <c r="M36" t="str">
        <f>FLOOR(Child_Health_Data[[#This Row],[Age Months]],12)&amp;"-"&amp;FLOOR(Child_Health_Data[[#This Row],[Age Months]],12)+12</f>
        <v>24-36</v>
      </c>
    </row>
    <row r="37" spans="1:13" x14ac:dyDescent="0.3">
      <c r="A37" s="1" t="s">
        <v>52</v>
      </c>
      <c r="B37">
        <v>44</v>
      </c>
      <c r="C37" s="1" t="s">
        <v>11</v>
      </c>
      <c r="D37">
        <v>102.36</v>
      </c>
      <c r="E37">
        <v>19.600000000000001</v>
      </c>
      <c r="F37">
        <v>1</v>
      </c>
      <c r="G37">
        <v>2</v>
      </c>
      <c r="H37">
        <v>0</v>
      </c>
      <c r="I37">
        <v>0.9</v>
      </c>
      <c r="J37" s="1" t="s">
        <v>27</v>
      </c>
      <c r="K37" s="2">
        <v>18.706628300517327</v>
      </c>
      <c r="L37" t="s">
        <v>120</v>
      </c>
      <c r="M37" t="str">
        <f>FLOOR(Child_Health_Data[[#This Row],[Age Months]],12)&amp;"-"&amp;FLOOR(Child_Health_Data[[#This Row],[Age Months]],12)+12</f>
        <v>36-48</v>
      </c>
    </row>
    <row r="38" spans="1:13" x14ac:dyDescent="0.3">
      <c r="A38" s="1" t="s">
        <v>53</v>
      </c>
      <c r="B38">
        <v>43</v>
      </c>
      <c r="C38" s="1" t="s">
        <v>11</v>
      </c>
      <c r="D38">
        <v>105.34</v>
      </c>
      <c r="E38">
        <v>14.14</v>
      </c>
      <c r="F38">
        <v>4</v>
      </c>
      <c r="G38">
        <v>3</v>
      </c>
      <c r="H38">
        <v>0</v>
      </c>
      <c r="I38">
        <v>0.8</v>
      </c>
      <c r="J38" s="1" t="s">
        <v>20</v>
      </c>
      <c r="K38" s="2">
        <v>12.742738810730817</v>
      </c>
      <c r="L38" t="s">
        <v>119</v>
      </c>
      <c r="M38" t="str">
        <f>FLOOR(Child_Health_Data[[#This Row],[Age Months]],12)&amp;"-"&amp;FLOOR(Child_Health_Data[[#This Row],[Age Months]],12)+12</f>
        <v>36-48</v>
      </c>
    </row>
    <row r="39" spans="1:13" x14ac:dyDescent="0.3">
      <c r="A39" s="1" t="s">
        <v>54</v>
      </c>
      <c r="B39">
        <v>31</v>
      </c>
      <c r="C39" s="1" t="s">
        <v>11</v>
      </c>
      <c r="D39">
        <v>96.26</v>
      </c>
      <c r="E39">
        <v>17.63</v>
      </c>
      <c r="F39">
        <v>3</v>
      </c>
      <c r="G39">
        <v>3</v>
      </c>
      <c r="H39">
        <v>2</v>
      </c>
      <c r="I39">
        <v>1.7</v>
      </c>
      <c r="J39" s="1" t="s">
        <v>20</v>
      </c>
      <c r="K39" s="2">
        <v>19.026574134418222</v>
      </c>
      <c r="L39" t="s">
        <v>120</v>
      </c>
      <c r="M39" t="str">
        <f>FLOOR(Child_Health_Data[[#This Row],[Age Months]],12)&amp;"-"&amp;FLOOR(Child_Health_Data[[#This Row],[Age Months]],12)+12</f>
        <v>24-36</v>
      </c>
    </row>
    <row r="40" spans="1:13" x14ac:dyDescent="0.3">
      <c r="A40" s="1" t="s">
        <v>55</v>
      </c>
      <c r="B40">
        <v>28</v>
      </c>
      <c r="C40" s="1" t="s">
        <v>19</v>
      </c>
      <c r="D40">
        <v>97.25</v>
      </c>
      <c r="E40">
        <v>14.98</v>
      </c>
      <c r="F40">
        <v>3</v>
      </c>
      <c r="G40">
        <v>4</v>
      </c>
      <c r="H40">
        <v>3</v>
      </c>
      <c r="I40">
        <v>3.2</v>
      </c>
      <c r="J40" s="1" t="s">
        <v>14</v>
      </c>
      <c r="K40" s="2">
        <v>15.839176320537135</v>
      </c>
      <c r="L40" t="s">
        <v>119</v>
      </c>
      <c r="M40" t="str">
        <f>FLOOR(Child_Health_Data[[#This Row],[Age Months]],12)&amp;"-"&amp;FLOOR(Child_Health_Data[[#This Row],[Age Months]],12)+12</f>
        <v>24-36</v>
      </c>
    </row>
    <row r="41" spans="1:13" x14ac:dyDescent="0.3">
      <c r="A41" s="1" t="s">
        <v>56</v>
      </c>
      <c r="B41">
        <v>48</v>
      </c>
      <c r="C41" s="1" t="s">
        <v>19</v>
      </c>
      <c r="D41">
        <v>108.23</v>
      </c>
      <c r="E41">
        <v>21</v>
      </c>
      <c r="F41">
        <v>3</v>
      </c>
      <c r="G41">
        <v>4</v>
      </c>
      <c r="H41">
        <v>0</v>
      </c>
      <c r="I41">
        <v>0.6</v>
      </c>
      <c r="J41" s="1" t="s">
        <v>14</v>
      </c>
      <c r="K41" s="2">
        <v>17.927675301525785</v>
      </c>
      <c r="L41" t="s">
        <v>119</v>
      </c>
      <c r="M41" t="str">
        <f>FLOOR(Child_Health_Data[[#This Row],[Age Months]],12)&amp;"-"&amp;FLOOR(Child_Health_Data[[#This Row],[Age Months]],12)+12</f>
        <v>48-60</v>
      </c>
    </row>
    <row r="42" spans="1:13" x14ac:dyDescent="0.3">
      <c r="A42" s="1" t="s">
        <v>57</v>
      </c>
      <c r="B42">
        <v>27</v>
      </c>
      <c r="C42" s="1" t="s">
        <v>19</v>
      </c>
      <c r="D42">
        <v>97</v>
      </c>
      <c r="E42">
        <v>15.12</v>
      </c>
      <c r="F42">
        <v>4</v>
      </c>
      <c r="G42">
        <v>0</v>
      </c>
      <c r="H42">
        <v>1</v>
      </c>
      <c r="I42">
        <v>1.7</v>
      </c>
      <c r="J42" s="1" t="s">
        <v>24</v>
      </c>
      <c r="K42" s="2">
        <v>16.069720480391116</v>
      </c>
      <c r="L42" t="s">
        <v>119</v>
      </c>
      <c r="M42" t="str">
        <f>FLOOR(Child_Health_Data[[#This Row],[Age Months]],12)&amp;"-"&amp;FLOOR(Child_Health_Data[[#This Row],[Age Months]],12)+12</f>
        <v>24-36</v>
      </c>
    </row>
    <row r="43" spans="1:13" x14ac:dyDescent="0.3">
      <c r="A43" s="1" t="s">
        <v>58</v>
      </c>
      <c r="B43">
        <v>45</v>
      </c>
      <c r="C43" s="1" t="s">
        <v>19</v>
      </c>
      <c r="D43">
        <v>107.27</v>
      </c>
      <c r="E43">
        <v>22.7</v>
      </c>
      <c r="F43">
        <v>4</v>
      </c>
      <c r="G43">
        <v>0</v>
      </c>
      <c r="H43">
        <v>0</v>
      </c>
      <c r="I43">
        <v>0.8</v>
      </c>
      <c r="J43" s="1" t="s">
        <v>12</v>
      </c>
      <c r="K43" s="2">
        <v>19.727374806364303</v>
      </c>
      <c r="L43" t="s">
        <v>120</v>
      </c>
      <c r="M43" t="str">
        <f>FLOOR(Child_Health_Data[[#This Row],[Age Months]],12)&amp;"-"&amp;FLOOR(Child_Health_Data[[#This Row],[Age Months]],12)+12</f>
        <v>36-48</v>
      </c>
    </row>
    <row r="44" spans="1:13" x14ac:dyDescent="0.3">
      <c r="A44" s="1" t="s">
        <v>59</v>
      </c>
      <c r="B44">
        <v>54</v>
      </c>
      <c r="C44" s="1" t="s">
        <v>19</v>
      </c>
      <c r="D44">
        <v>112.46</v>
      </c>
      <c r="E44">
        <v>21.36</v>
      </c>
      <c r="F44">
        <v>2</v>
      </c>
      <c r="G44">
        <v>0</v>
      </c>
      <c r="H44">
        <v>1</v>
      </c>
      <c r="I44">
        <v>1</v>
      </c>
      <c r="J44" s="1" t="s">
        <v>14</v>
      </c>
      <c r="K44" s="2">
        <v>16.889044889405064</v>
      </c>
      <c r="L44" t="s">
        <v>119</v>
      </c>
      <c r="M44" t="str">
        <f>FLOOR(Child_Health_Data[[#This Row],[Age Months]],12)&amp;"-"&amp;FLOOR(Child_Health_Data[[#This Row],[Age Months]],12)+12</f>
        <v>48-60</v>
      </c>
    </row>
    <row r="45" spans="1:13" x14ac:dyDescent="0.3">
      <c r="A45" s="1" t="s">
        <v>60</v>
      </c>
      <c r="B45">
        <v>40</v>
      </c>
      <c r="C45" s="1" t="s">
        <v>19</v>
      </c>
      <c r="D45">
        <v>103.32</v>
      </c>
      <c r="E45">
        <v>17.41</v>
      </c>
      <c r="F45">
        <v>1</v>
      </c>
      <c r="G45">
        <v>0</v>
      </c>
      <c r="H45">
        <v>2</v>
      </c>
      <c r="I45">
        <v>2</v>
      </c>
      <c r="J45" s="1" t="s">
        <v>20</v>
      </c>
      <c r="K45" s="2">
        <v>16.309099267089127</v>
      </c>
      <c r="L45" t="s">
        <v>119</v>
      </c>
      <c r="M45" t="str">
        <f>FLOOR(Child_Health_Data[[#This Row],[Age Months]],12)&amp;"-"&amp;FLOOR(Child_Health_Data[[#This Row],[Age Months]],12)+12</f>
        <v>36-48</v>
      </c>
    </row>
    <row r="46" spans="1:13" x14ac:dyDescent="0.3">
      <c r="A46" s="1" t="s">
        <v>61</v>
      </c>
      <c r="B46">
        <v>52</v>
      </c>
      <c r="C46" s="1" t="s">
        <v>11</v>
      </c>
      <c r="D46">
        <v>107.31</v>
      </c>
      <c r="E46">
        <v>17.34</v>
      </c>
      <c r="F46">
        <v>1</v>
      </c>
      <c r="G46">
        <v>3</v>
      </c>
      <c r="H46">
        <v>0</v>
      </c>
      <c r="I46">
        <v>0.5</v>
      </c>
      <c r="J46" s="1" t="s">
        <v>24</v>
      </c>
      <c r="K46" s="2">
        <v>15.058048908803379</v>
      </c>
      <c r="L46" t="s">
        <v>119</v>
      </c>
      <c r="M46" t="str">
        <f>FLOOR(Child_Health_Data[[#This Row],[Age Months]],12)&amp;"-"&amp;FLOOR(Child_Health_Data[[#This Row],[Age Months]],12)+12</f>
        <v>48-60</v>
      </c>
    </row>
    <row r="47" spans="1:13" x14ac:dyDescent="0.3">
      <c r="A47" s="1" t="s">
        <v>62</v>
      </c>
      <c r="B47">
        <v>34</v>
      </c>
      <c r="C47" s="1" t="s">
        <v>19</v>
      </c>
      <c r="D47">
        <v>99.12</v>
      </c>
      <c r="E47">
        <v>17.43</v>
      </c>
      <c r="F47">
        <v>3</v>
      </c>
      <c r="G47">
        <v>4</v>
      </c>
      <c r="H47">
        <v>3</v>
      </c>
      <c r="I47">
        <v>1.6</v>
      </c>
      <c r="J47" s="1" t="s">
        <v>12</v>
      </c>
      <c r="K47" s="2">
        <v>17.740865378038603</v>
      </c>
      <c r="L47" t="s">
        <v>119</v>
      </c>
      <c r="M47" t="str">
        <f>FLOOR(Child_Health_Data[[#This Row],[Age Months]],12)&amp;"-"&amp;FLOOR(Child_Health_Data[[#This Row],[Age Months]],12)+12</f>
        <v>24-36</v>
      </c>
    </row>
    <row r="48" spans="1:13" x14ac:dyDescent="0.3">
      <c r="A48" s="1" t="s">
        <v>63</v>
      </c>
      <c r="B48">
        <v>27</v>
      </c>
      <c r="C48" s="1" t="s">
        <v>19</v>
      </c>
      <c r="D48">
        <v>93.16</v>
      </c>
      <c r="E48">
        <v>15.53</v>
      </c>
      <c r="F48">
        <v>2</v>
      </c>
      <c r="G48">
        <v>2</v>
      </c>
      <c r="H48">
        <v>0</v>
      </c>
      <c r="I48">
        <v>0.8</v>
      </c>
      <c r="J48" s="1" t="s">
        <v>14</v>
      </c>
      <c r="K48" s="2">
        <v>17.89420860909388</v>
      </c>
      <c r="L48" t="s">
        <v>119</v>
      </c>
      <c r="M48" t="str">
        <f>FLOOR(Child_Health_Data[[#This Row],[Age Months]],12)&amp;"-"&amp;FLOOR(Child_Health_Data[[#This Row],[Age Months]],12)+12</f>
        <v>24-36</v>
      </c>
    </row>
    <row r="49" spans="1:13" x14ac:dyDescent="0.3">
      <c r="A49" s="1" t="s">
        <v>64</v>
      </c>
      <c r="B49">
        <v>55</v>
      </c>
      <c r="C49" s="1" t="s">
        <v>19</v>
      </c>
      <c r="D49">
        <v>111.49</v>
      </c>
      <c r="E49">
        <v>20.23</v>
      </c>
      <c r="F49">
        <v>1</v>
      </c>
      <c r="G49">
        <v>0</v>
      </c>
      <c r="H49">
        <v>1</v>
      </c>
      <c r="I49">
        <v>1.6</v>
      </c>
      <c r="J49" s="1" t="s">
        <v>24</v>
      </c>
      <c r="K49" s="2">
        <v>16.27511447065158</v>
      </c>
      <c r="L49" t="s">
        <v>119</v>
      </c>
      <c r="M49" t="str">
        <f>FLOOR(Child_Health_Data[[#This Row],[Age Months]],12)&amp;"-"&amp;FLOOR(Child_Health_Data[[#This Row],[Age Months]],12)+12</f>
        <v>48-60</v>
      </c>
    </row>
    <row r="50" spans="1:13" x14ac:dyDescent="0.3">
      <c r="A50" s="1" t="s">
        <v>65</v>
      </c>
      <c r="B50">
        <v>42</v>
      </c>
      <c r="C50" s="1" t="s">
        <v>11</v>
      </c>
      <c r="D50">
        <v>108.71</v>
      </c>
      <c r="E50">
        <v>16.2</v>
      </c>
      <c r="F50">
        <v>2</v>
      </c>
      <c r="G50">
        <v>1</v>
      </c>
      <c r="H50">
        <v>3</v>
      </c>
      <c r="I50">
        <v>1.1000000000000001</v>
      </c>
      <c r="J50" s="1" t="s">
        <v>24</v>
      </c>
      <c r="K50" s="2">
        <v>13.708060833090812</v>
      </c>
      <c r="L50" t="s">
        <v>119</v>
      </c>
      <c r="M50" t="str">
        <f>FLOOR(Child_Health_Data[[#This Row],[Age Months]],12)&amp;"-"&amp;FLOOR(Child_Health_Data[[#This Row],[Age Months]],12)+12</f>
        <v>36-48</v>
      </c>
    </row>
    <row r="51" spans="1:13" x14ac:dyDescent="0.3">
      <c r="A51" s="1" t="s">
        <v>66</v>
      </c>
      <c r="B51">
        <v>36</v>
      </c>
      <c r="C51" s="1" t="s">
        <v>11</v>
      </c>
      <c r="D51">
        <v>97.21</v>
      </c>
      <c r="E51">
        <v>13.41</v>
      </c>
      <c r="F51">
        <v>4</v>
      </c>
      <c r="G51">
        <v>3</v>
      </c>
      <c r="H51">
        <v>1</v>
      </c>
      <c r="I51">
        <v>0.9</v>
      </c>
      <c r="J51" s="1" t="s">
        <v>14</v>
      </c>
      <c r="K51" s="2">
        <v>14.190800401461026</v>
      </c>
      <c r="L51" t="s">
        <v>119</v>
      </c>
      <c r="M51" t="str">
        <f>FLOOR(Child_Health_Data[[#This Row],[Age Months]],12)&amp;"-"&amp;FLOOR(Child_Health_Data[[#This Row],[Age Months]],12)+12</f>
        <v>36-48</v>
      </c>
    </row>
    <row r="52" spans="1:13" x14ac:dyDescent="0.3">
      <c r="A52" s="1" t="s">
        <v>67</v>
      </c>
      <c r="B52">
        <v>34</v>
      </c>
      <c r="C52" s="1" t="s">
        <v>11</v>
      </c>
      <c r="D52">
        <v>98.46</v>
      </c>
      <c r="E52">
        <v>15.38</v>
      </c>
      <c r="F52">
        <v>3</v>
      </c>
      <c r="G52">
        <v>2</v>
      </c>
      <c r="H52">
        <v>2</v>
      </c>
      <c r="I52">
        <v>1.2</v>
      </c>
      <c r="J52" s="1" t="s">
        <v>12</v>
      </c>
      <c r="K52" s="2">
        <v>15.864875656303504</v>
      </c>
      <c r="L52" t="s">
        <v>119</v>
      </c>
      <c r="M52" t="str">
        <f>FLOOR(Child_Health_Data[[#This Row],[Age Months]],12)&amp;"-"&amp;FLOOR(Child_Health_Data[[#This Row],[Age Months]],12)+12</f>
        <v>24-36</v>
      </c>
    </row>
    <row r="53" spans="1:13" x14ac:dyDescent="0.3">
      <c r="A53" s="1" t="s">
        <v>68</v>
      </c>
      <c r="B53">
        <v>40</v>
      </c>
      <c r="C53" s="1" t="s">
        <v>11</v>
      </c>
      <c r="D53">
        <v>100.6</v>
      </c>
      <c r="E53">
        <v>17.309999999999999</v>
      </c>
      <c r="F53">
        <v>0</v>
      </c>
      <c r="G53">
        <v>3</v>
      </c>
      <c r="H53">
        <v>0</v>
      </c>
      <c r="I53">
        <v>0.6</v>
      </c>
      <c r="J53" s="1" t="s">
        <v>27</v>
      </c>
      <c r="K53" s="2">
        <v>17.104134635526798</v>
      </c>
      <c r="L53" t="s">
        <v>119</v>
      </c>
      <c r="M53" t="str">
        <f>FLOOR(Child_Health_Data[[#This Row],[Age Months]],12)&amp;"-"&amp;FLOOR(Child_Health_Data[[#This Row],[Age Months]],12)+12</f>
        <v>36-48</v>
      </c>
    </row>
    <row r="54" spans="1:13" x14ac:dyDescent="0.3">
      <c r="A54" s="1" t="s">
        <v>69</v>
      </c>
      <c r="B54">
        <v>39</v>
      </c>
      <c r="C54" s="1" t="s">
        <v>11</v>
      </c>
      <c r="D54">
        <v>96.54</v>
      </c>
      <c r="E54">
        <v>18.239999999999998</v>
      </c>
      <c r="F54">
        <v>4</v>
      </c>
      <c r="G54">
        <v>3</v>
      </c>
      <c r="H54">
        <v>1</v>
      </c>
      <c r="I54">
        <v>1.9</v>
      </c>
      <c r="J54" s="1" t="s">
        <v>27</v>
      </c>
      <c r="K54" s="2">
        <v>19.570875087215928</v>
      </c>
      <c r="L54" t="s">
        <v>120</v>
      </c>
      <c r="M54" t="str">
        <f>FLOOR(Child_Health_Data[[#This Row],[Age Months]],12)&amp;"-"&amp;FLOOR(Child_Health_Data[[#This Row],[Age Months]],12)+12</f>
        <v>36-48</v>
      </c>
    </row>
    <row r="55" spans="1:13" x14ac:dyDescent="0.3">
      <c r="A55" s="1" t="s">
        <v>70</v>
      </c>
      <c r="B55">
        <v>57</v>
      </c>
      <c r="C55" s="1" t="s">
        <v>19</v>
      </c>
      <c r="D55">
        <v>110.58</v>
      </c>
      <c r="E55">
        <v>21.99</v>
      </c>
      <c r="F55">
        <v>3</v>
      </c>
      <c r="G55">
        <v>0</v>
      </c>
      <c r="H55">
        <v>0</v>
      </c>
      <c r="I55">
        <v>0.9</v>
      </c>
      <c r="J55" s="1" t="s">
        <v>12</v>
      </c>
      <c r="K55" s="2">
        <v>17.983410512341237</v>
      </c>
      <c r="L55" t="s">
        <v>119</v>
      </c>
      <c r="M55" t="str">
        <f>FLOOR(Child_Health_Data[[#This Row],[Age Months]],12)&amp;"-"&amp;FLOOR(Child_Health_Data[[#This Row],[Age Months]],12)+12</f>
        <v>48-60</v>
      </c>
    </row>
    <row r="56" spans="1:13" x14ac:dyDescent="0.3">
      <c r="A56" s="1" t="s">
        <v>71</v>
      </c>
      <c r="B56">
        <v>50</v>
      </c>
      <c r="C56" s="1" t="s">
        <v>11</v>
      </c>
      <c r="D56">
        <v>114.47</v>
      </c>
      <c r="E56">
        <v>18.010000000000002</v>
      </c>
      <c r="F56">
        <v>1</v>
      </c>
      <c r="G56">
        <v>3</v>
      </c>
      <c r="H56">
        <v>0</v>
      </c>
      <c r="I56">
        <v>0.6</v>
      </c>
      <c r="J56" s="1" t="s">
        <v>24</v>
      </c>
      <c r="K56" s="2">
        <v>13.744544356487417</v>
      </c>
      <c r="L56" t="s">
        <v>119</v>
      </c>
      <c r="M56" t="str">
        <f>FLOOR(Child_Health_Data[[#This Row],[Age Months]],12)&amp;"-"&amp;FLOOR(Child_Health_Data[[#This Row],[Age Months]],12)+12</f>
        <v>48-60</v>
      </c>
    </row>
    <row r="57" spans="1:13" x14ac:dyDescent="0.3">
      <c r="A57" s="1" t="s">
        <v>72</v>
      </c>
      <c r="B57">
        <v>31</v>
      </c>
      <c r="C57" s="1" t="s">
        <v>11</v>
      </c>
      <c r="D57">
        <v>96.28</v>
      </c>
      <c r="E57">
        <v>16.84</v>
      </c>
      <c r="F57">
        <v>4</v>
      </c>
      <c r="G57">
        <v>2</v>
      </c>
      <c r="H57">
        <v>3</v>
      </c>
      <c r="I57">
        <v>0.5</v>
      </c>
      <c r="J57" s="1" t="s">
        <v>20</v>
      </c>
      <c r="K57" s="2">
        <v>18.166443980296357</v>
      </c>
      <c r="L57" t="s">
        <v>119</v>
      </c>
      <c r="M57" t="str">
        <f>FLOOR(Child_Health_Data[[#This Row],[Age Months]],12)&amp;"-"&amp;FLOOR(Child_Health_Data[[#This Row],[Age Months]],12)+12</f>
        <v>24-36</v>
      </c>
    </row>
    <row r="58" spans="1:13" x14ac:dyDescent="0.3">
      <c r="A58" s="1" t="s">
        <v>73</v>
      </c>
      <c r="B58">
        <v>44</v>
      </c>
      <c r="C58" s="1" t="s">
        <v>11</v>
      </c>
      <c r="D58">
        <v>104.76</v>
      </c>
      <c r="E58">
        <v>18.399999999999999</v>
      </c>
      <c r="F58">
        <v>4</v>
      </c>
      <c r="G58">
        <v>2</v>
      </c>
      <c r="H58">
        <v>1</v>
      </c>
      <c r="I58">
        <v>0.7</v>
      </c>
      <c r="J58" s="1" t="s">
        <v>12</v>
      </c>
      <c r="K58" s="2">
        <v>16.765898919707524</v>
      </c>
      <c r="L58" t="s">
        <v>119</v>
      </c>
      <c r="M58" t="str">
        <f>FLOOR(Child_Health_Data[[#This Row],[Age Months]],12)&amp;"-"&amp;FLOOR(Child_Health_Data[[#This Row],[Age Months]],12)+12</f>
        <v>36-48</v>
      </c>
    </row>
    <row r="59" spans="1:13" x14ac:dyDescent="0.3">
      <c r="A59" s="1" t="s">
        <v>74</v>
      </c>
      <c r="B59">
        <v>42</v>
      </c>
      <c r="C59" s="1" t="s">
        <v>19</v>
      </c>
      <c r="D59">
        <v>105.35</v>
      </c>
      <c r="E59">
        <v>19.88</v>
      </c>
      <c r="F59">
        <v>1</v>
      </c>
      <c r="G59">
        <v>2</v>
      </c>
      <c r="H59">
        <v>2</v>
      </c>
      <c r="I59">
        <v>2.8</v>
      </c>
      <c r="J59" s="1" t="s">
        <v>20</v>
      </c>
      <c r="K59" s="2">
        <v>17.912132789452027</v>
      </c>
      <c r="L59" t="s">
        <v>119</v>
      </c>
      <c r="M59" t="str">
        <f>FLOOR(Child_Health_Data[[#This Row],[Age Months]],12)&amp;"-"&amp;FLOOR(Child_Health_Data[[#This Row],[Age Months]],12)+12</f>
        <v>36-48</v>
      </c>
    </row>
    <row r="60" spans="1:13" x14ac:dyDescent="0.3">
      <c r="A60" s="1" t="s">
        <v>75</v>
      </c>
      <c r="B60">
        <v>59</v>
      </c>
      <c r="C60" s="1" t="s">
        <v>19</v>
      </c>
      <c r="D60">
        <v>110.75</v>
      </c>
      <c r="E60">
        <v>24.56</v>
      </c>
      <c r="F60">
        <v>4</v>
      </c>
      <c r="G60">
        <v>4</v>
      </c>
      <c r="H60">
        <v>1</v>
      </c>
      <c r="I60">
        <v>1.7</v>
      </c>
      <c r="J60" s="1" t="s">
        <v>12</v>
      </c>
      <c r="K60" s="2">
        <v>20.023541521230683</v>
      </c>
      <c r="L60" t="s">
        <v>120</v>
      </c>
      <c r="M60" t="str">
        <f>FLOOR(Child_Health_Data[[#This Row],[Age Months]],12)&amp;"-"&amp;FLOOR(Child_Health_Data[[#This Row],[Age Months]],12)+12</f>
        <v>48-60</v>
      </c>
    </row>
    <row r="61" spans="1:13" x14ac:dyDescent="0.3">
      <c r="A61" s="1" t="s">
        <v>76</v>
      </c>
      <c r="B61">
        <v>56</v>
      </c>
      <c r="C61" s="1" t="s">
        <v>19</v>
      </c>
      <c r="D61">
        <v>108</v>
      </c>
      <c r="E61">
        <v>22.24</v>
      </c>
      <c r="F61">
        <v>2</v>
      </c>
      <c r="G61">
        <v>4</v>
      </c>
      <c r="H61">
        <v>2</v>
      </c>
      <c r="I61">
        <v>1.1000000000000001</v>
      </c>
      <c r="J61" s="1" t="s">
        <v>14</v>
      </c>
      <c r="K61" s="2">
        <v>19.067215363511657</v>
      </c>
      <c r="L61" t="s">
        <v>120</v>
      </c>
      <c r="M61" t="str">
        <f>FLOOR(Child_Health_Data[[#This Row],[Age Months]],12)&amp;"-"&amp;FLOOR(Child_Health_Data[[#This Row],[Age Months]],12)+12</f>
        <v>48-60</v>
      </c>
    </row>
    <row r="62" spans="1:13" x14ac:dyDescent="0.3">
      <c r="A62" s="1" t="s">
        <v>77</v>
      </c>
      <c r="B62">
        <v>32</v>
      </c>
      <c r="C62" s="1" t="s">
        <v>11</v>
      </c>
      <c r="D62">
        <v>98.63</v>
      </c>
      <c r="E62">
        <v>17.96</v>
      </c>
      <c r="F62">
        <v>0</v>
      </c>
      <c r="G62">
        <v>0</v>
      </c>
      <c r="H62">
        <v>2</v>
      </c>
      <c r="I62">
        <v>2.6</v>
      </c>
      <c r="J62" s="1" t="s">
        <v>24</v>
      </c>
      <c r="K62" s="2">
        <v>18.462404679483562</v>
      </c>
      <c r="L62" t="s">
        <v>119</v>
      </c>
      <c r="M62" t="str">
        <f>FLOOR(Child_Health_Data[[#This Row],[Age Months]],12)&amp;"-"&amp;FLOOR(Child_Health_Data[[#This Row],[Age Months]],12)+12</f>
        <v>24-36</v>
      </c>
    </row>
    <row r="63" spans="1:13" x14ac:dyDescent="0.3">
      <c r="A63" s="1" t="s">
        <v>78</v>
      </c>
      <c r="B63">
        <v>47</v>
      </c>
      <c r="C63" s="1" t="s">
        <v>11</v>
      </c>
      <c r="D63">
        <v>103.57</v>
      </c>
      <c r="E63">
        <v>22.13</v>
      </c>
      <c r="F63">
        <v>3</v>
      </c>
      <c r="G63">
        <v>2</v>
      </c>
      <c r="H63">
        <v>0</v>
      </c>
      <c r="I63">
        <v>0.6</v>
      </c>
      <c r="J63" s="1" t="s">
        <v>12</v>
      </c>
      <c r="K63" s="2">
        <v>20.630676133633052</v>
      </c>
      <c r="L63" t="s">
        <v>120</v>
      </c>
      <c r="M63" t="str">
        <f>FLOOR(Child_Health_Data[[#This Row],[Age Months]],12)&amp;"-"&amp;FLOOR(Child_Health_Data[[#This Row],[Age Months]],12)+12</f>
        <v>36-48</v>
      </c>
    </row>
    <row r="64" spans="1:13" x14ac:dyDescent="0.3">
      <c r="A64" s="1" t="s">
        <v>79</v>
      </c>
      <c r="B64">
        <v>28</v>
      </c>
      <c r="C64" s="1" t="s">
        <v>19</v>
      </c>
      <c r="D64">
        <v>92.72</v>
      </c>
      <c r="E64">
        <v>15.7</v>
      </c>
      <c r="F64">
        <v>4</v>
      </c>
      <c r="G64">
        <v>0</v>
      </c>
      <c r="H64">
        <v>1</v>
      </c>
      <c r="I64">
        <v>0.5</v>
      </c>
      <c r="J64" s="1" t="s">
        <v>24</v>
      </c>
      <c r="K64" s="2">
        <v>18.26218788176115</v>
      </c>
      <c r="L64" t="s">
        <v>119</v>
      </c>
      <c r="M64" t="str">
        <f>FLOOR(Child_Health_Data[[#This Row],[Age Months]],12)&amp;"-"&amp;FLOOR(Child_Health_Data[[#This Row],[Age Months]],12)+12</f>
        <v>24-36</v>
      </c>
    </row>
    <row r="65" spans="1:13" x14ac:dyDescent="0.3">
      <c r="A65" s="1" t="s">
        <v>80</v>
      </c>
      <c r="B65">
        <v>56</v>
      </c>
      <c r="C65" s="1" t="s">
        <v>19</v>
      </c>
      <c r="D65">
        <v>113.3</v>
      </c>
      <c r="E65">
        <v>20.45</v>
      </c>
      <c r="F65">
        <v>2</v>
      </c>
      <c r="G65">
        <v>2</v>
      </c>
      <c r="H65">
        <v>2</v>
      </c>
      <c r="I65">
        <v>0.5</v>
      </c>
      <c r="J65" s="1" t="s">
        <v>27</v>
      </c>
      <c r="K65" s="2">
        <v>15.930649869244029</v>
      </c>
      <c r="L65" t="s">
        <v>119</v>
      </c>
      <c r="M65" t="str">
        <f>FLOOR(Child_Health_Data[[#This Row],[Age Months]],12)&amp;"-"&amp;FLOOR(Child_Health_Data[[#This Row],[Age Months]],12)+12</f>
        <v>48-60</v>
      </c>
    </row>
    <row r="66" spans="1:13" x14ac:dyDescent="0.3">
      <c r="A66" s="1" t="s">
        <v>81</v>
      </c>
      <c r="B66">
        <v>38</v>
      </c>
      <c r="C66" s="1" t="s">
        <v>19</v>
      </c>
      <c r="D66">
        <v>104.84</v>
      </c>
      <c r="E66">
        <v>19.829999999999998</v>
      </c>
      <c r="F66">
        <v>4</v>
      </c>
      <c r="G66">
        <v>0</v>
      </c>
      <c r="H66">
        <v>0</v>
      </c>
      <c r="I66">
        <v>0.8</v>
      </c>
      <c r="J66" s="1" t="s">
        <v>24</v>
      </c>
      <c r="K66" s="2">
        <v>18.041335784504604</v>
      </c>
      <c r="L66" t="s">
        <v>119</v>
      </c>
      <c r="M66" t="str">
        <f>FLOOR(Child_Health_Data[[#This Row],[Age Months]],12)&amp;"-"&amp;FLOOR(Child_Health_Data[[#This Row],[Age Months]],12)+12</f>
        <v>36-48</v>
      </c>
    </row>
    <row r="67" spans="1:13" x14ac:dyDescent="0.3">
      <c r="A67" s="1" t="s">
        <v>82</v>
      </c>
      <c r="B67">
        <v>50</v>
      </c>
      <c r="C67" s="1" t="s">
        <v>11</v>
      </c>
      <c r="D67">
        <v>104.56</v>
      </c>
      <c r="E67">
        <v>21.62</v>
      </c>
      <c r="F67">
        <v>4</v>
      </c>
      <c r="G67">
        <v>1</v>
      </c>
      <c r="H67">
        <v>1</v>
      </c>
      <c r="I67">
        <v>2</v>
      </c>
      <c r="J67" s="1" t="s">
        <v>12</v>
      </c>
      <c r="K67" s="2">
        <v>19.775366471749727</v>
      </c>
      <c r="L67" t="s">
        <v>120</v>
      </c>
      <c r="M67" t="str">
        <f>FLOOR(Child_Health_Data[[#This Row],[Age Months]],12)&amp;"-"&amp;FLOOR(Child_Health_Data[[#This Row],[Age Months]],12)+12</f>
        <v>48-60</v>
      </c>
    </row>
    <row r="68" spans="1:13" x14ac:dyDescent="0.3">
      <c r="A68" s="1" t="s">
        <v>83</v>
      </c>
      <c r="B68">
        <v>27</v>
      </c>
      <c r="C68" s="1" t="s">
        <v>19</v>
      </c>
      <c r="D68">
        <v>97.32</v>
      </c>
      <c r="E68">
        <v>16.28</v>
      </c>
      <c r="F68">
        <v>2</v>
      </c>
      <c r="G68">
        <v>4</v>
      </c>
      <c r="H68">
        <v>0</v>
      </c>
      <c r="I68">
        <v>0.8</v>
      </c>
      <c r="J68" s="1" t="s">
        <v>12</v>
      </c>
      <c r="K68" s="2">
        <v>17.188983711262917</v>
      </c>
      <c r="L68" t="s">
        <v>119</v>
      </c>
      <c r="M68" t="str">
        <f>FLOOR(Child_Health_Data[[#This Row],[Age Months]],12)&amp;"-"&amp;FLOOR(Child_Health_Data[[#This Row],[Age Months]],12)+12</f>
        <v>24-36</v>
      </c>
    </row>
    <row r="69" spans="1:13" x14ac:dyDescent="0.3">
      <c r="A69" s="1" t="s">
        <v>84</v>
      </c>
      <c r="B69">
        <v>32</v>
      </c>
      <c r="C69" s="1" t="s">
        <v>11</v>
      </c>
      <c r="D69">
        <v>103.58</v>
      </c>
      <c r="E69">
        <v>15.12</v>
      </c>
      <c r="F69">
        <v>4</v>
      </c>
      <c r="G69">
        <v>0</v>
      </c>
      <c r="H69">
        <v>2</v>
      </c>
      <c r="I69">
        <v>1.8</v>
      </c>
      <c r="J69" s="1" t="s">
        <v>20</v>
      </c>
      <c r="K69" s="2">
        <v>14.092887263873765</v>
      </c>
      <c r="L69" t="s">
        <v>119</v>
      </c>
      <c r="M69" t="str">
        <f>FLOOR(Child_Health_Data[[#This Row],[Age Months]],12)&amp;"-"&amp;FLOOR(Child_Health_Data[[#This Row],[Age Months]],12)+12</f>
        <v>24-36</v>
      </c>
    </row>
    <row r="70" spans="1:13" x14ac:dyDescent="0.3">
      <c r="A70" s="1" t="s">
        <v>85</v>
      </c>
      <c r="B70">
        <v>53</v>
      </c>
      <c r="C70" s="1" t="s">
        <v>19</v>
      </c>
      <c r="D70">
        <v>105.92</v>
      </c>
      <c r="E70">
        <v>22.98</v>
      </c>
      <c r="F70">
        <v>2</v>
      </c>
      <c r="G70">
        <v>0</v>
      </c>
      <c r="H70">
        <v>0</v>
      </c>
      <c r="I70">
        <v>0.8</v>
      </c>
      <c r="J70" s="1" t="s">
        <v>27</v>
      </c>
      <c r="K70" s="2">
        <v>20.483024296966988</v>
      </c>
      <c r="L70" t="s">
        <v>120</v>
      </c>
      <c r="M70" t="str">
        <f>FLOOR(Child_Health_Data[[#This Row],[Age Months]],12)&amp;"-"&amp;FLOOR(Child_Health_Data[[#This Row],[Age Months]],12)+12</f>
        <v>48-60</v>
      </c>
    </row>
    <row r="71" spans="1:13" x14ac:dyDescent="0.3">
      <c r="A71" s="1" t="s">
        <v>86</v>
      </c>
      <c r="B71">
        <v>33</v>
      </c>
      <c r="C71" s="1" t="s">
        <v>19</v>
      </c>
      <c r="D71">
        <v>104.76</v>
      </c>
      <c r="E71">
        <v>13.89</v>
      </c>
      <c r="F71">
        <v>3</v>
      </c>
      <c r="G71">
        <v>4</v>
      </c>
      <c r="H71">
        <v>0</v>
      </c>
      <c r="I71">
        <v>0.5</v>
      </c>
      <c r="J71" s="1" t="s">
        <v>20</v>
      </c>
      <c r="K71" s="2">
        <v>12.656431304061822</v>
      </c>
      <c r="L71" t="s">
        <v>119</v>
      </c>
      <c r="M71" t="str">
        <f>FLOOR(Child_Health_Data[[#This Row],[Age Months]],12)&amp;"-"&amp;FLOOR(Child_Health_Data[[#This Row],[Age Months]],12)+12</f>
        <v>24-36</v>
      </c>
    </row>
    <row r="72" spans="1:13" x14ac:dyDescent="0.3">
      <c r="A72" s="1" t="s">
        <v>87</v>
      </c>
      <c r="B72">
        <v>49</v>
      </c>
      <c r="C72" s="1" t="s">
        <v>19</v>
      </c>
      <c r="D72">
        <v>108.22</v>
      </c>
      <c r="E72">
        <v>19.55</v>
      </c>
      <c r="F72">
        <v>1</v>
      </c>
      <c r="G72">
        <v>1</v>
      </c>
      <c r="H72">
        <v>2</v>
      </c>
      <c r="I72">
        <v>1.6</v>
      </c>
      <c r="J72" s="1" t="s">
        <v>20</v>
      </c>
      <c r="K72" s="2">
        <v>16.692896572247317</v>
      </c>
      <c r="L72" t="s">
        <v>119</v>
      </c>
      <c r="M72" t="str">
        <f>FLOOR(Child_Health_Data[[#This Row],[Age Months]],12)&amp;"-"&amp;FLOOR(Child_Health_Data[[#This Row],[Age Months]],12)+12</f>
        <v>48-60</v>
      </c>
    </row>
    <row r="73" spans="1:13" x14ac:dyDescent="0.3">
      <c r="A73" s="1" t="s">
        <v>88</v>
      </c>
      <c r="B73">
        <v>32</v>
      </c>
      <c r="C73" s="1" t="s">
        <v>11</v>
      </c>
      <c r="D73">
        <v>97.69</v>
      </c>
      <c r="E73">
        <v>18.04</v>
      </c>
      <c r="F73">
        <v>3</v>
      </c>
      <c r="G73">
        <v>2</v>
      </c>
      <c r="H73">
        <v>2</v>
      </c>
      <c r="I73">
        <v>2.2000000000000002</v>
      </c>
      <c r="J73" s="1" t="s">
        <v>12</v>
      </c>
      <c r="K73" s="2">
        <v>18.903242860743426</v>
      </c>
      <c r="L73" t="s">
        <v>120</v>
      </c>
      <c r="M73" t="str">
        <f>FLOOR(Child_Health_Data[[#This Row],[Age Months]],12)&amp;"-"&amp;FLOOR(Child_Health_Data[[#This Row],[Age Months]],12)+12</f>
        <v>24-36</v>
      </c>
    </row>
    <row r="74" spans="1:13" x14ac:dyDescent="0.3">
      <c r="A74" s="1" t="s">
        <v>89</v>
      </c>
      <c r="B74">
        <v>52</v>
      </c>
      <c r="C74" s="1" t="s">
        <v>11</v>
      </c>
      <c r="D74">
        <v>104.99</v>
      </c>
      <c r="E74">
        <v>22.77</v>
      </c>
      <c r="F74">
        <v>3</v>
      </c>
      <c r="G74">
        <v>2</v>
      </c>
      <c r="H74">
        <v>1</v>
      </c>
      <c r="I74">
        <v>1.1000000000000001</v>
      </c>
      <c r="J74" s="1" t="s">
        <v>14</v>
      </c>
      <c r="K74" s="2">
        <v>20.656995702972939</v>
      </c>
      <c r="L74" t="s">
        <v>120</v>
      </c>
      <c r="M74" t="str">
        <f>FLOOR(Child_Health_Data[[#This Row],[Age Months]],12)&amp;"-"&amp;FLOOR(Child_Health_Data[[#This Row],[Age Months]],12)+12</f>
        <v>48-60</v>
      </c>
    </row>
    <row r="75" spans="1:13" x14ac:dyDescent="0.3">
      <c r="A75" s="1" t="s">
        <v>90</v>
      </c>
      <c r="B75">
        <v>25</v>
      </c>
      <c r="C75" s="1" t="s">
        <v>19</v>
      </c>
      <c r="D75">
        <v>88.93</v>
      </c>
      <c r="E75">
        <v>15.5</v>
      </c>
      <c r="F75">
        <v>3</v>
      </c>
      <c r="G75">
        <v>0</v>
      </c>
      <c r="H75">
        <v>3</v>
      </c>
      <c r="I75">
        <v>3.8</v>
      </c>
      <c r="J75" s="1" t="s">
        <v>14</v>
      </c>
      <c r="K75" s="2">
        <v>19.59905418252098</v>
      </c>
      <c r="L75" t="s">
        <v>120</v>
      </c>
      <c r="M75" t="str">
        <f>FLOOR(Child_Health_Data[[#This Row],[Age Months]],12)&amp;"-"&amp;FLOOR(Child_Health_Data[[#This Row],[Age Months]],12)+12</f>
        <v>24-36</v>
      </c>
    </row>
    <row r="76" spans="1:13" x14ac:dyDescent="0.3">
      <c r="A76" s="1" t="s">
        <v>91</v>
      </c>
      <c r="B76">
        <v>41</v>
      </c>
      <c r="C76" s="1" t="s">
        <v>11</v>
      </c>
      <c r="D76">
        <v>105.5</v>
      </c>
      <c r="E76">
        <v>20.18</v>
      </c>
      <c r="F76">
        <v>1</v>
      </c>
      <c r="G76">
        <v>4</v>
      </c>
      <c r="H76">
        <v>3</v>
      </c>
      <c r="I76">
        <v>1.9</v>
      </c>
      <c r="J76" s="1" t="s">
        <v>24</v>
      </c>
      <c r="K76" s="2">
        <v>18.130769749107163</v>
      </c>
      <c r="L76" t="s">
        <v>119</v>
      </c>
      <c r="M76" t="str">
        <f>FLOOR(Child_Health_Data[[#This Row],[Age Months]],12)&amp;"-"&amp;FLOOR(Child_Health_Data[[#This Row],[Age Months]],12)+12</f>
        <v>36-48</v>
      </c>
    </row>
    <row r="77" spans="1:13" x14ac:dyDescent="0.3">
      <c r="A77" s="1" t="s">
        <v>92</v>
      </c>
      <c r="B77">
        <v>38</v>
      </c>
      <c r="C77" s="1" t="s">
        <v>19</v>
      </c>
      <c r="D77">
        <v>101.47</v>
      </c>
      <c r="E77">
        <v>15.96</v>
      </c>
      <c r="F77">
        <v>1</v>
      </c>
      <c r="G77">
        <v>1</v>
      </c>
      <c r="H77">
        <v>0</v>
      </c>
      <c r="I77">
        <v>0.8</v>
      </c>
      <c r="J77" s="1" t="s">
        <v>12</v>
      </c>
      <c r="K77" s="2">
        <v>15.500923261601326</v>
      </c>
      <c r="L77" t="s">
        <v>119</v>
      </c>
      <c r="M77" t="str">
        <f>FLOOR(Child_Health_Data[[#This Row],[Age Months]],12)&amp;"-"&amp;FLOOR(Child_Health_Data[[#This Row],[Age Months]],12)+12</f>
        <v>36-48</v>
      </c>
    </row>
    <row r="78" spans="1:13" x14ac:dyDescent="0.3">
      <c r="A78" s="1" t="s">
        <v>93</v>
      </c>
      <c r="B78">
        <v>46</v>
      </c>
      <c r="C78" s="1" t="s">
        <v>19</v>
      </c>
      <c r="D78">
        <v>103.84</v>
      </c>
      <c r="E78">
        <v>17.13</v>
      </c>
      <c r="F78">
        <v>0</v>
      </c>
      <c r="G78">
        <v>4</v>
      </c>
      <c r="H78">
        <v>1</v>
      </c>
      <c r="I78">
        <v>0.7</v>
      </c>
      <c r="J78" s="1" t="s">
        <v>20</v>
      </c>
      <c r="K78" s="2">
        <v>15.886491841187462</v>
      </c>
      <c r="L78" t="s">
        <v>119</v>
      </c>
      <c r="M78" t="str">
        <f>FLOOR(Child_Health_Data[[#This Row],[Age Months]],12)&amp;"-"&amp;FLOOR(Child_Health_Data[[#This Row],[Age Months]],12)+12</f>
        <v>36-48</v>
      </c>
    </row>
    <row r="79" spans="1:13" x14ac:dyDescent="0.3">
      <c r="A79" s="1" t="s">
        <v>94</v>
      </c>
      <c r="B79">
        <v>45</v>
      </c>
      <c r="C79" s="1" t="s">
        <v>19</v>
      </c>
      <c r="D79">
        <v>103.74</v>
      </c>
      <c r="E79">
        <v>18.21</v>
      </c>
      <c r="F79">
        <v>1</v>
      </c>
      <c r="G79">
        <v>3</v>
      </c>
      <c r="H79">
        <v>0</v>
      </c>
      <c r="I79">
        <v>0.5</v>
      </c>
      <c r="J79" s="1" t="s">
        <v>20</v>
      </c>
      <c r="K79" s="2">
        <v>16.920666215969256</v>
      </c>
      <c r="L79" t="s">
        <v>119</v>
      </c>
      <c r="M79" t="str">
        <f>FLOOR(Child_Health_Data[[#This Row],[Age Months]],12)&amp;"-"&amp;FLOOR(Child_Health_Data[[#This Row],[Age Months]],12)+12</f>
        <v>36-48</v>
      </c>
    </row>
    <row r="80" spans="1:13" x14ac:dyDescent="0.3">
      <c r="A80" s="1" t="s">
        <v>95</v>
      </c>
      <c r="B80">
        <v>48</v>
      </c>
      <c r="C80" s="1" t="s">
        <v>19</v>
      </c>
      <c r="D80">
        <v>101.32</v>
      </c>
      <c r="E80">
        <v>21.93</v>
      </c>
      <c r="F80">
        <v>4</v>
      </c>
      <c r="G80">
        <v>2</v>
      </c>
      <c r="H80">
        <v>2</v>
      </c>
      <c r="I80">
        <v>2.8</v>
      </c>
      <c r="J80" s="1" t="s">
        <v>14</v>
      </c>
      <c r="K80" s="2">
        <v>21.36231277340449</v>
      </c>
      <c r="L80" t="s">
        <v>120</v>
      </c>
      <c r="M80" t="str">
        <f>FLOOR(Child_Health_Data[[#This Row],[Age Months]],12)&amp;"-"&amp;FLOOR(Child_Health_Data[[#This Row],[Age Months]],12)+12</f>
        <v>48-60</v>
      </c>
    </row>
    <row r="81" spans="1:13" x14ac:dyDescent="0.3">
      <c r="A81" s="1" t="s">
        <v>96</v>
      </c>
      <c r="B81">
        <v>54</v>
      </c>
      <c r="C81" s="1" t="s">
        <v>11</v>
      </c>
      <c r="D81">
        <v>109.83</v>
      </c>
      <c r="E81">
        <v>21.35</v>
      </c>
      <c r="F81">
        <v>3</v>
      </c>
      <c r="G81">
        <v>2</v>
      </c>
      <c r="H81">
        <v>1</v>
      </c>
      <c r="I81">
        <v>0.7</v>
      </c>
      <c r="J81" s="1" t="s">
        <v>24</v>
      </c>
      <c r="K81" s="2">
        <v>17.699292730459444</v>
      </c>
      <c r="L81" t="s">
        <v>119</v>
      </c>
      <c r="M81" t="str">
        <f>FLOOR(Child_Health_Data[[#This Row],[Age Months]],12)&amp;"-"&amp;FLOOR(Child_Health_Data[[#This Row],[Age Months]],12)+12</f>
        <v>48-60</v>
      </c>
    </row>
    <row r="82" spans="1:13" x14ac:dyDescent="0.3">
      <c r="A82" s="1" t="s">
        <v>97</v>
      </c>
      <c r="B82">
        <v>49</v>
      </c>
      <c r="C82" s="1" t="s">
        <v>19</v>
      </c>
      <c r="D82">
        <v>112.98</v>
      </c>
      <c r="E82">
        <v>18.22</v>
      </c>
      <c r="F82">
        <v>3</v>
      </c>
      <c r="G82">
        <v>1</v>
      </c>
      <c r="H82">
        <v>1</v>
      </c>
      <c r="I82">
        <v>1.7</v>
      </c>
      <c r="J82" s="1" t="s">
        <v>12</v>
      </c>
      <c r="K82" s="2">
        <v>14.273984861929826</v>
      </c>
      <c r="L82" t="s">
        <v>119</v>
      </c>
      <c r="M82" t="str">
        <f>FLOOR(Child_Health_Data[[#This Row],[Age Months]],12)&amp;"-"&amp;FLOOR(Child_Health_Data[[#This Row],[Age Months]],12)+12</f>
        <v>48-60</v>
      </c>
    </row>
    <row r="83" spans="1:13" x14ac:dyDescent="0.3">
      <c r="A83" s="1" t="s">
        <v>98</v>
      </c>
      <c r="B83">
        <v>45</v>
      </c>
      <c r="C83" s="1" t="s">
        <v>11</v>
      </c>
      <c r="D83">
        <v>104.87</v>
      </c>
      <c r="E83">
        <v>19.66</v>
      </c>
      <c r="F83">
        <v>1</v>
      </c>
      <c r="G83">
        <v>4</v>
      </c>
      <c r="H83">
        <v>2</v>
      </c>
      <c r="I83">
        <v>1.1000000000000001</v>
      </c>
      <c r="J83" s="1" t="s">
        <v>27</v>
      </c>
      <c r="K83" s="2">
        <v>17.876437608609475</v>
      </c>
      <c r="L83" t="s">
        <v>119</v>
      </c>
      <c r="M83" t="str">
        <f>FLOOR(Child_Health_Data[[#This Row],[Age Months]],12)&amp;"-"&amp;FLOOR(Child_Health_Data[[#This Row],[Age Months]],12)+12</f>
        <v>36-48</v>
      </c>
    </row>
    <row r="84" spans="1:13" x14ac:dyDescent="0.3">
      <c r="A84" s="1" t="s">
        <v>99</v>
      </c>
      <c r="B84">
        <v>30</v>
      </c>
      <c r="C84" s="1" t="s">
        <v>19</v>
      </c>
      <c r="D84">
        <v>100.81</v>
      </c>
      <c r="E84">
        <v>14.39</v>
      </c>
      <c r="F84">
        <v>2</v>
      </c>
      <c r="G84">
        <v>4</v>
      </c>
      <c r="H84">
        <v>2</v>
      </c>
      <c r="I84">
        <v>2.6</v>
      </c>
      <c r="J84" s="1" t="s">
        <v>12</v>
      </c>
      <c r="K84" s="2">
        <v>14.159684100694896</v>
      </c>
      <c r="L84" t="s">
        <v>119</v>
      </c>
      <c r="M84" t="str">
        <f>FLOOR(Child_Health_Data[[#This Row],[Age Months]],12)&amp;"-"&amp;FLOOR(Child_Health_Data[[#This Row],[Age Months]],12)+12</f>
        <v>24-36</v>
      </c>
    </row>
    <row r="85" spans="1:13" x14ac:dyDescent="0.3">
      <c r="A85" s="1" t="s">
        <v>100</v>
      </c>
      <c r="B85">
        <v>29</v>
      </c>
      <c r="C85" s="1" t="s">
        <v>11</v>
      </c>
      <c r="D85">
        <v>101.16</v>
      </c>
      <c r="E85">
        <v>14.14</v>
      </c>
      <c r="F85">
        <v>2</v>
      </c>
      <c r="G85">
        <v>2</v>
      </c>
      <c r="H85">
        <v>3</v>
      </c>
      <c r="I85">
        <v>1.3</v>
      </c>
      <c r="J85" s="1" t="s">
        <v>12</v>
      </c>
      <c r="K85" s="2">
        <v>13.817573013462967</v>
      </c>
      <c r="L85" t="s">
        <v>119</v>
      </c>
      <c r="M85" t="str">
        <f>FLOOR(Child_Health_Data[[#This Row],[Age Months]],12)&amp;"-"&amp;FLOOR(Child_Health_Data[[#This Row],[Age Months]],12)+12</f>
        <v>24-36</v>
      </c>
    </row>
    <row r="86" spans="1:13" x14ac:dyDescent="0.3">
      <c r="A86" s="1" t="s">
        <v>101</v>
      </c>
      <c r="B86">
        <v>57</v>
      </c>
      <c r="C86" s="1" t="s">
        <v>11</v>
      </c>
      <c r="D86">
        <v>115.19</v>
      </c>
      <c r="E86">
        <v>20.76</v>
      </c>
      <c r="F86">
        <v>1</v>
      </c>
      <c r="G86">
        <v>4</v>
      </c>
      <c r="H86">
        <v>0</v>
      </c>
      <c r="I86">
        <v>1</v>
      </c>
      <c r="J86" s="1" t="s">
        <v>12</v>
      </c>
      <c r="K86" s="2">
        <v>15.645800657682841</v>
      </c>
      <c r="L86" t="s">
        <v>119</v>
      </c>
      <c r="M86" t="str">
        <f>FLOOR(Child_Health_Data[[#This Row],[Age Months]],12)&amp;"-"&amp;FLOOR(Child_Health_Data[[#This Row],[Age Months]],12)+12</f>
        <v>48-60</v>
      </c>
    </row>
    <row r="87" spans="1:13" x14ac:dyDescent="0.3">
      <c r="A87" s="1" t="s">
        <v>102</v>
      </c>
      <c r="B87">
        <v>56</v>
      </c>
      <c r="C87" s="1" t="s">
        <v>19</v>
      </c>
      <c r="D87">
        <v>110.72</v>
      </c>
      <c r="E87">
        <v>20.149999999999999</v>
      </c>
      <c r="F87">
        <v>0</v>
      </c>
      <c r="G87">
        <v>1</v>
      </c>
      <c r="H87">
        <v>1</v>
      </c>
      <c r="I87">
        <v>2</v>
      </c>
      <c r="J87" s="1" t="s">
        <v>27</v>
      </c>
      <c r="K87" s="2">
        <v>16.43701290971967</v>
      </c>
      <c r="L87" t="s">
        <v>119</v>
      </c>
      <c r="M87" t="str">
        <f>FLOOR(Child_Health_Data[[#This Row],[Age Months]],12)&amp;"-"&amp;FLOOR(Child_Health_Data[[#This Row],[Age Months]],12)+12</f>
        <v>48-60</v>
      </c>
    </row>
    <row r="88" spans="1:13" x14ac:dyDescent="0.3">
      <c r="A88" s="1" t="s">
        <v>103</v>
      </c>
      <c r="B88">
        <v>56</v>
      </c>
      <c r="C88" s="1" t="s">
        <v>11</v>
      </c>
      <c r="D88">
        <v>106.73</v>
      </c>
      <c r="E88">
        <v>24.09</v>
      </c>
      <c r="F88">
        <v>0</v>
      </c>
      <c r="G88">
        <v>1</v>
      </c>
      <c r="H88">
        <v>3</v>
      </c>
      <c r="I88">
        <v>1.7</v>
      </c>
      <c r="J88" s="1" t="s">
        <v>27</v>
      </c>
      <c r="K88" s="2">
        <v>21.147731176326783</v>
      </c>
      <c r="L88" t="s">
        <v>120</v>
      </c>
      <c r="M88" t="str">
        <f>FLOOR(Child_Health_Data[[#This Row],[Age Months]],12)&amp;"-"&amp;FLOOR(Child_Health_Data[[#This Row],[Age Months]],12)+12</f>
        <v>48-60</v>
      </c>
    </row>
    <row r="89" spans="1:13" x14ac:dyDescent="0.3">
      <c r="A89" s="1" t="s">
        <v>104</v>
      </c>
      <c r="B89">
        <v>25</v>
      </c>
      <c r="C89" s="1" t="s">
        <v>11</v>
      </c>
      <c r="D89">
        <v>99.72</v>
      </c>
      <c r="E89">
        <v>14.9</v>
      </c>
      <c r="F89">
        <v>4</v>
      </c>
      <c r="G89">
        <v>2</v>
      </c>
      <c r="H89">
        <v>3</v>
      </c>
      <c r="I89">
        <v>2.2000000000000002</v>
      </c>
      <c r="J89" s="1" t="s">
        <v>14</v>
      </c>
      <c r="K89" s="2">
        <v>14.983791760933824</v>
      </c>
      <c r="L89" t="s">
        <v>119</v>
      </c>
      <c r="M89" t="str">
        <f>FLOOR(Child_Health_Data[[#This Row],[Age Months]],12)&amp;"-"&amp;FLOOR(Child_Health_Data[[#This Row],[Age Months]],12)+12</f>
        <v>24-36</v>
      </c>
    </row>
    <row r="90" spans="1:13" x14ac:dyDescent="0.3">
      <c r="A90" s="1" t="s">
        <v>105</v>
      </c>
      <c r="B90">
        <v>30</v>
      </c>
      <c r="C90" s="1" t="s">
        <v>11</v>
      </c>
      <c r="D90">
        <v>96.45</v>
      </c>
      <c r="E90">
        <v>14.77</v>
      </c>
      <c r="F90">
        <v>4</v>
      </c>
      <c r="G90">
        <v>2</v>
      </c>
      <c r="H90">
        <v>0</v>
      </c>
      <c r="I90">
        <v>0.6</v>
      </c>
      <c r="J90" s="1" t="s">
        <v>24</v>
      </c>
      <c r="K90" s="2">
        <v>15.877277353299789</v>
      </c>
      <c r="L90" t="s">
        <v>119</v>
      </c>
      <c r="M90" t="str">
        <f>FLOOR(Child_Health_Data[[#This Row],[Age Months]],12)&amp;"-"&amp;FLOOR(Child_Health_Data[[#This Row],[Age Months]],12)+12</f>
        <v>24-36</v>
      </c>
    </row>
    <row r="91" spans="1:13" x14ac:dyDescent="0.3">
      <c r="A91" s="1" t="s">
        <v>106</v>
      </c>
      <c r="B91">
        <v>53</v>
      </c>
      <c r="C91" s="1" t="s">
        <v>19</v>
      </c>
      <c r="D91">
        <v>106.44</v>
      </c>
      <c r="E91">
        <v>20.73</v>
      </c>
      <c r="F91">
        <v>4</v>
      </c>
      <c r="G91">
        <v>3</v>
      </c>
      <c r="H91">
        <v>2</v>
      </c>
      <c r="I91">
        <v>2</v>
      </c>
      <c r="J91" s="1" t="s">
        <v>12</v>
      </c>
      <c r="K91" s="2">
        <v>18.29740792193558</v>
      </c>
      <c r="L91" t="s">
        <v>119</v>
      </c>
      <c r="M91" t="str">
        <f>FLOOR(Child_Health_Data[[#This Row],[Age Months]],12)&amp;"-"&amp;FLOOR(Child_Health_Data[[#This Row],[Age Months]],12)+12</f>
        <v>48-60</v>
      </c>
    </row>
    <row r="92" spans="1:13" x14ac:dyDescent="0.3">
      <c r="A92" s="1" t="s">
        <v>107</v>
      </c>
      <c r="B92">
        <v>29</v>
      </c>
      <c r="C92" s="1" t="s">
        <v>11</v>
      </c>
      <c r="D92">
        <v>97.77</v>
      </c>
      <c r="E92">
        <v>15.72</v>
      </c>
      <c r="F92">
        <v>2</v>
      </c>
      <c r="G92">
        <v>0</v>
      </c>
      <c r="H92">
        <v>0</v>
      </c>
      <c r="I92">
        <v>0.9</v>
      </c>
      <c r="J92" s="1" t="s">
        <v>12</v>
      </c>
      <c r="K92" s="2">
        <v>16.445281479979926</v>
      </c>
      <c r="L92" t="s">
        <v>119</v>
      </c>
      <c r="M92" t="str">
        <f>FLOOR(Child_Health_Data[[#This Row],[Age Months]],12)&amp;"-"&amp;FLOOR(Child_Health_Data[[#This Row],[Age Months]],12)+12</f>
        <v>24-36</v>
      </c>
    </row>
    <row r="93" spans="1:13" x14ac:dyDescent="0.3">
      <c r="A93" s="1" t="s">
        <v>108</v>
      </c>
      <c r="B93">
        <v>58</v>
      </c>
      <c r="C93" s="1" t="s">
        <v>19</v>
      </c>
      <c r="D93">
        <v>113.49</v>
      </c>
      <c r="E93">
        <v>25.26</v>
      </c>
      <c r="F93">
        <v>0</v>
      </c>
      <c r="G93">
        <v>4</v>
      </c>
      <c r="H93">
        <v>3</v>
      </c>
      <c r="I93">
        <v>3</v>
      </c>
      <c r="J93" s="1" t="s">
        <v>27</v>
      </c>
      <c r="K93" s="2">
        <v>19.611831543124822</v>
      </c>
      <c r="L93" t="s">
        <v>120</v>
      </c>
      <c r="M93" t="str">
        <f>FLOOR(Child_Health_Data[[#This Row],[Age Months]],12)&amp;"-"&amp;FLOOR(Child_Health_Data[[#This Row],[Age Months]],12)+12</f>
        <v>48-60</v>
      </c>
    </row>
    <row r="94" spans="1:13" x14ac:dyDescent="0.3">
      <c r="A94" s="1" t="s">
        <v>109</v>
      </c>
      <c r="B94">
        <v>26</v>
      </c>
      <c r="C94" s="1" t="s">
        <v>19</v>
      </c>
      <c r="D94">
        <v>92.08</v>
      </c>
      <c r="E94">
        <v>15.29</v>
      </c>
      <c r="F94">
        <v>4</v>
      </c>
      <c r="G94">
        <v>1</v>
      </c>
      <c r="H94">
        <v>2</v>
      </c>
      <c r="I94">
        <v>2.6</v>
      </c>
      <c r="J94" s="1" t="s">
        <v>20</v>
      </c>
      <c r="K94" s="2">
        <v>18.033368785198682</v>
      </c>
      <c r="L94" t="s">
        <v>119</v>
      </c>
      <c r="M94" t="str">
        <f>FLOOR(Child_Health_Data[[#This Row],[Age Months]],12)&amp;"-"&amp;FLOOR(Child_Health_Data[[#This Row],[Age Months]],12)+12</f>
        <v>24-36</v>
      </c>
    </row>
    <row r="95" spans="1:13" x14ac:dyDescent="0.3">
      <c r="A95" s="1" t="s">
        <v>110</v>
      </c>
      <c r="B95">
        <v>25</v>
      </c>
      <c r="C95" s="1" t="s">
        <v>11</v>
      </c>
      <c r="D95">
        <v>96.42</v>
      </c>
      <c r="E95">
        <v>15.34</v>
      </c>
      <c r="F95">
        <v>4</v>
      </c>
      <c r="G95">
        <v>3</v>
      </c>
      <c r="H95">
        <v>2</v>
      </c>
      <c r="I95">
        <v>0.9</v>
      </c>
      <c r="J95" s="1" t="s">
        <v>20</v>
      </c>
      <c r="K95" s="2">
        <v>16.500272071630885</v>
      </c>
      <c r="L95" t="s">
        <v>119</v>
      </c>
      <c r="M95" t="str">
        <f>FLOOR(Child_Health_Data[[#This Row],[Age Months]],12)&amp;"-"&amp;FLOOR(Child_Health_Data[[#This Row],[Age Months]],12)+12</f>
        <v>24-36</v>
      </c>
    </row>
    <row r="96" spans="1:13" x14ac:dyDescent="0.3">
      <c r="A96" s="1" t="s">
        <v>111</v>
      </c>
      <c r="B96">
        <v>59</v>
      </c>
      <c r="C96" s="1" t="s">
        <v>11</v>
      </c>
      <c r="D96">
        <v>108.1</v>
      </c>
      <c r="E96">
        <v>19.25</v>
      </c>
      <c r="F96">
        <v>1</v>
      </c>
      <c r="G96">
        <v>0</v>
      </c>
      <c r="H96">
        <v>1</v>
      </c>
      <c r="I96">
        <v>1</v>
      </c>
      <c r="J96" s="1" t="s">
        <v>12</v>
      </c>
      <c r="K96" s="2">
        <v>16.47325214515973</v>
      </c>
      <c r="L96" t="s">
        <v>119</v>
      </c>
      <c r="M96" t="str">
        <f>FLOOR(Child_Health_Data[[#This Row],[Age Months]],12)&amp;"-"&amp;FLOOR(Child_Health_Data[[#This Row],[Age Months]],12)+12</f>
        <v>48-60</v>
      </c>
    </row>
    <row r="97" spans="1:13" x14ac:dyDescent="0.3">
      <c r="A97" s="1" t="s">
        <v>112</v>
      </c>
      <c r="B97">
        <v>50</v>
      </c>
      <c r="C97" s="1" t="s">
        <v>11</v>
      </c>
      <c r="D97">
        <v>109.15</v>
      </c>
      <c r="E97">
        <v>22.09</v>
      </c>
      <c r="F97">
        <v>1</v>
      </c>
      <c r="G97">
        <v>4</v>
      </c>
      <c r="H97">
        <v>0</v>
      </c>
      <c r="I97">
        <v>0.6</v>
      </c>
      <c r="J97" s="1" t="s">
        <v>14</v>
      </c>
      <c r="K97" s="2">
        <v>18.541643890060385</v>
      </c>
      <c r="L97" t="s">
        <v>120</v>
      </c>
      <c r="M97" t="str">
        <f>FLOOR(Child_Health_Data[[#This Row],[Age Months]],12)&amp;"-"&amp;FLOOR(Child_Health_Data[[#This Row],[Age Months]],12)+12</f>
        <v>48-60</v>
      </c>
    </row>
    <row r="98" spans="1:13" x14ac:dyDescent="0.3">
      <c r="A98" s="1" t="s">
        <v>113</v>
      </c>
      <c r="B98">
        <v>48</v>
      </c>
      <c r="C98" s="1" t="s">
        <v>19</v>
      </c>
      <c r="D98">
        <v>107.71</v>
      </c>
      <c r="E98">
        <v>19.079999999999998</v>
      </c>
      <c r="F98">
        <v>0</v>
      </c>
      <c r="G98">
        <v>2</v>
      </c>
      <c r="H98">
        <v>2</v>
      </c>
      <c r="I98">
        <v>1.8</v>
      </c>
      <c r="J98" s="1" t="s">
        <v>20</v>
      </c>
      <c r="K98" s="2">
        <v>16.446228448404973</v>
      </c>
      <c r="L98" t="s">
        <v>119</v>
      </c>
      <c r="M98" t="str">
        <f>FLOOR(Child_Health_Data[[#This Row],[Age Months]],12)&amp;"-"&amp;FLOOR(Child_Health_Data[[#This Row],[Age Months]],12)+12</f>
        <v>48-60</v>
      </c>
    </row>
    <row r="99" spans="1:13" x14ac:dyDescent="0.3">
      <c r="A99" s="1" t="s">
        <v>114</v>
      </c>
      <c r="B99">
        <v>57</v>
      </c>
      <c r="C99" s="1" t="s">
        <v>19</v>
      </c>
      <c r="D99">
        <v>112.41</v>
      </c>
      <c r="E99">
        <v>21.55</v>
      </c>
      <c r="F99">
        <v>2</v>
      </c>
      <c r="G99">
        <v>4</v>
      </c>
      <c r="H99">
        <v>0</v>
      </c>
      <c r="I99">
        <v>0.9</v>
      </c>
      <c r="J99" s="1" t="s">
        <v>12</v>
      </c>
      <c r="K99" s="2">
        <v>17.054436677671966</v>
      </c>
      <c r="L99" t="s">
        <v>119</v>
      </c>
      <c r="M99" t="str">
        <f>FLOOR(Child_Health_Data[[#This Row],[Age Months]],12)&amp;"-"&amp;FLOOR(Child_Health_Data[[#This Row],[Age Months]],12)+12</f>
        <v>48-60</v>
      </c>
    </row>
    <row r="100" spans="1:13" x14ac:dyDescent="0.3">
      <c r="A100" s="1" t="s">
        <v>115</v>
      </c>
      <c r="B100">
        <v>45</v>
      </c>
      <c r="C100" s="1" t="s">
        <v>19</v>
      </c>
      <c r="D100">
        <v>110.12</v>
      </c>
      <c r="E100">
        <v>18.510000000000002</v>
      </c>
      <c r="F100">
        <v>0</v>
      </c>
      <c r="G100">
        <v>2</v>
      </c>
      <c r="H100">
        <v>0</v>
      </c>
      <c r="I100">
        <v>0.9</v>
      </c>
      <c r="J100" s="1" t="s">
        <v>24</v>
      </c>
      <c r="K100" s="2">
        <v>15.264198789050129</v>
      </c>
      <c r="L100" t="s">
        <v>119</v>
      </c>
      <c r="M100" t="str">
        <f>FLOOR(Child_Health_Data[[#This Row],[Age Months]],12)&amp;"-"&amp;FLOOR(Child_Health_Data[[#This Row],[Age Months]],12)+12</f>
        <v>36-48</v>
      </c>
    </row>
    <row r="101" spans="1:13" x14ac:dyDescent="0.3">
      <c r="A101" s="1" t="s">
        <v>116</v>
      </c>
      <c r="B101">
        <v>49</v>
      </c>
      <c r="C101" s="1" t="s">
        <v>19</v>
      </c>
      <c r="D101">
        <v>106.6</v>
      </c>
      <c r="E101">
        <v>21.21</v>
      </c>
      <c r="F101">
        <v>0</v>
      </c>
      <c r="G101">
        <v>0</v>
      </c>
      <c r="H101">
        <v>2</v>
      </c>
      <c r="I101">
        <v>2.5</v>
      </c>
      <c r="J101" s="1" t="s">
        <v>24</v>
      </c>
      <c r="K101" s="2">
        <v>18.664925428298883</v>
      </c>
      <c r="L101" t="s">
        <v>120</v>
      </c>
      <c r="M101" t="str">
        <f>FLOOR(Child_Health_Data[[#This Row],[Age Months]],12)&amp;"-"&amp;FLOOR(Child_Health_Data[[#This Row],[Age Months]],12)+12</f>
        <v>48-60</v>
      </c>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STOP" error="Please select valid region from dropdown" xr:uid="{E02D12BB-3295-4052-BA38-A716300475DD}">
          <x14:formula1>
            <xm:f>Validation!$A$2:$A$6</xm:f>
          </x14:formula1>
          <xm:sqref>J2:J101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8C515-15F8-4639-8244-CF33710A77DC}">
  <dimension ref="A1"/>
  <sheetViews>
    <sheetView topLeftCell="A7" workbookViewId="0">
      <selection activeCell="Q17" sqref="Q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28C9-0EB2-44B7-B5CD-67CF9B082693}">
  <dimension ref="A1:F32"/>
  <sheetViews>
    <sheetView tabSelected="1" workbookViewId="0">
      <selection activeCell="B32" sqref="B32"/>
    </sheetView>
  </sheetViews>
  <sheetFormatPr defaultRowHeight="14.4" x14ac:dyDescent="0.3"/>
  <cols>
    <col min="1" max="1" width="14.109375" customWidth="1"/>
    <col min="2" max="2" width="12.77734375" customWidth="1"/>
    <col min="3" max="3" width="11.6640625" customWidth="1"/>
    <col min="4" max="4" width="12.109375" customWidth="1"/>
    <col min="5" max="5" width="12.6640625" customWidth="1"/>
    <col min="6" max="6" width="14.77734375" customWidth="1"/>
  </cols>
  <sheetData>
    <row r="1" spans="1:6" ht="18" x14ac:dyDescent="0.35">
      <c r="A1" s="5" t="s">
        <v>135</v>
      </c>
      <c r="B1" s="5"/>
      <c r="C1" s="5"/>
      <c r="D1" s="5"/>
      <c r="E1" s="5"/>
      <c r="F1" s="5"/>
    </row>
    <row r="2" spans="1:6" ht="18" x14ac:dyDescent="0.3">
      <c r="A2" s="6" t="s">
        <v>136</v>
      </c>
    </row>
    <row r="3" spans="1:6" x14ac:dyDescent="0.3">
      <c r="A3" s="7"/>
    </row>
    <row r="4" spans="1:6" x14ac:dyDescent="0.3">
      <c r="A4" s="7" t="s">
        <v>137</v>
      </c>
    </row>
    <row r="5" spans="1:6" x14ac:dyDescent="0.3">
      <c r="A5" s="7"/>
    </row>
    <row r="6" spans="1:6" x14ac:dyDescent="0.3">
      <c r="A6" s="7" t="s">
        <v>138</v>
      </c>
    </row>
    <row r="7" spans="1:6" x14ac:dyDescent="0.3">
      <c r="A7" s="7"/>
    </row>
    <row r="8" spans="1:6" x14ac:dyDescent="0.3">
      <c r="A8" s="8" t="s">
        <v>139</v>
      </c>
    </row>
    <row r="9" spans="1:6" x14ac:dyDescent="0.3">
      <c r="A9" s="7"/>
    </row>
    <row r="10" spans="1:6" x14ac:dyDescent="0.3">
      <c r="A10" s="8" t="s">
        <v>140</v>
      </c>
    </row>
    <row r="11" spans="1:6" x14ac:dyDescent="0.3">
      <c r="A11" s="7"/>
    </row>
    <row r="12" spans="1:6" x14ac:dyDescent="0.3">
      <c r="A12" s="7" t="s">
        <v>141</v>
      </c>
    </row>
    <row r="14" spans="1:6" ht="18" x14ac:dyDescent="0.35">
      <c r="A14" s="9" t="s">
        <v>142</v>
      </c>
    </row>
    <row r="15" spans="1:6" ht="18" x14ac:dyDescent="0.35">
      <c r="A15" s="9"/>
    </row>
    <row r="16" spans="1:6" x14ac:dyDescent="0.3">
      <c r="A16" t="s">
        <v>143</v>
      </c>
    </row>
    <row r="18" spans="1:1" x14ac:dyDescent="0.3">
      <c r="A18" t="s">
        <v>144</v>
      </c>
    </row>
    <row r="20" spans="1:1" x14ac:dyDescent="0.3">
      <c r="A20" t="s">
        <v>145</v>
      </c>
    </row>
    <row r="22" spans="1:1" x14ac:dyDescent="0.3">
      <c r="A22" t="s">
        <v>146</v>
      </c>
    </row>
    <row r="24" spans="1:1" ht="18" x14ac:dyDescent="0.3">
      <c r="A24" s="6" t="s">
        <v>147</v>
      </c>
    </row>
    <row r="25" spans="1:1" x14ac:dyDescent="0.3">
      <c r="A25" s="7"/>
    </row>
    <row r="26" spans="1:1" x14ac:dyDescent="0.3">
      <c r="A26" s="7" t="s">
        <v>148</v>
      </c>
    </row>
    <row r="27" spans="1:1" x14ac:dyDescent="0.3">
      <c r="A27" s="7"/>
    </row>
    <row r="28" spans="1:1" x14ac:dyDescent="0.3">
      <c r="A28" s="7" t="s">
        <v>149</v>
      </c>
    </row>
    <row r="29" spans="1:1" x14ac:dyDescent="0.3">
      <c r="A29" s="7"/>
    </row>
    <row r="30" spans="1:1" x14ac:dyDescent="0.3">
      <c r="A30" s="7" t="s">
        <v>150</v>
      </c>
    </row>
    <row r="31" spans="1:1" x14ac:dyDescent="0.3">
      <c r="A31" s="7"/>
    </row>
    <row r="32" spans="1:1" x14ac:dyDescent="0.3">
      <c r="A32" s="7" t="s">
        <v>151</v>
      </c>
    </row>
  </sheetData>
  <mergeCells count="1">
    <mergeCell ref="A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6A131C-37FD-4FC8-BCD8-C233A0B73A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Health status by age group</vt:lpstr>
      <vt:lpstr>Nutrition intake vs BMI</vt:lpstr>
      <vt:lpstr>Correlation of sugar &amp; screen t</vt:lpstr>
      <vt:lpstr>Regional differences</vt:lpstr>
      <vt:lpstr>Validation</vt:lpstr>
      <vt:lpstr>Child_Health_Data</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lakshman sai</dc:creator>
  <cp:lastModifiedBy>lakshman sai</cp:lastModifiedBy>
  <dcterms:created xsi:type="dcterms:W3CDTF">2026-03-18T10:16:31Z</dcterms:created>
  <dcterms:modified xsi:type="dcterms:W3CDTF">2026-03-18T12:53:04Z</dcterms:modified>
</cp:coreProperties>
</file>