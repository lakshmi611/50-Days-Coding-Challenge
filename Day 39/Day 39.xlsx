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"/>
    </mc:Choice>
  </mc:AlternateContent>
  <xr:revisionPtr revIDLastSave="6" documentId="8_{0E1DD0EE-C3DE-45EF-A20D-40DA56DEA180}" xr6:coauthVersionLast="47" xr6:coauthVersionMax="47" xr10:uidLastSave="{636E30D0-6932-40FD-9C84-999DCE8D4FF2}"/>
  <bookViews>
    <workbookView xWindow="-108" yWindow="-108" windowWidth="23256" windowHeight="12456" activeTab="2" xr2:uid="{00000000-000D-0000-FFFF-FFFF00000000}"/>
  </bookViews>
  <sheets>
    <sheet name="Total votes by party" sheetId="2" r:id="rId1"/>
    <sheet name="total votes by gender" sheetId="10" r:id="rId2"/>
    <sheet name="Election_Data" sheetId="1" r:id="rId3"/>
    <sheet name="Dashboard" sheetId="12" r:id="rId4"/>
  </sheets>
  <definedNames>
    <definedName name="_xlcn.WorksheetConnection_election_analysis_dataset_100_records.xlsxTable11" hidden="1">Table1[]</definedName>
    <definedName name="_xlcn.WorksheetConnection_election_analysis_dataset_100_records.xlsxTable61" hidden="1">Table6[]</definedName>
  </definedNames>
  <calcPr calcId="191029"/>
  <pivotCaches>
    <pivotCache cacheId="33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lection_analysis_dataset_100_records.xlsx!Table1"/>
          <x15:modelTable id="Table6" name="Table6" connection="WorksheetConnection_election_analysis_dataset_100_records.xlsx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" l="1"/>
  <c r="O8" i="1" a="1"/>
  <c r="O8" i="1" s="1"/>
  <c r="O7" i="1"/>
  <c r="K116" i="12"/>
  <c r="L116" i="12" s="1"/>
  <c r="J116" i="12"/>
  <c r="I116" i="12"/>
  <c r="K115" i="12"/>
  <c r="L115" i="12" s="1"/>
  <c r="J115" i="12"/>
  <c r="I115" i="12"/>
  <c r="K114" i="12"/>
  <c r="L114" i="12" s="1"/>
  <c r="J114" i="12"/>
  <c r="I114" i="12"/>
  <c r="K113" i="12"/>
  <c r="L113" i="12" s="1"/>
  <c r="J113" i="12"/>
  <c r="I113" i="12"/>
  <c r="K112" i="12"/>
  <c r="L112" i="12" s="1"/>
  <c r="J112" i="12"/>
  <c r="I112" i="12"/>
  <c r="K111" i="12"/>
  <c r="L111" i="12" s="1"/>
  <c r="J111" i="12"/>
  <c r="I111" i="12"/>
  <c r="K110" i="12"/>
  <c r="L110" i="12" s="1"/>
  <c r="J110" i="12"/>
  <c r="I110" i="12"/>
  <c r="K109" i="12"/>
  <c r="L109" i="12" s="1"/>
  <c r="J109" i="12"/>
  <c r="I109" i="12"/>
  <c r="K108" i="12"/>
  <c r="L108" i="12" s="1"/>
  <c r="J108" i="12"/>
  <c r="I108" i="12"/>
  <c r="K107" i="12"/>
  <c r="L107" i="12" s="1"/>
  <c r="J107" i="12"/>
  <c r="I107" i="12"/>
  <c r="K106" i="12"/>
  <c r="L106" i="12" s="1"/>
  <c r="J106" i="12"/>
  <c r="I106" i="12"/>
  <c r="K105" i="12"/>
  <c r="L105" i="12" s="1"/>
  <c r="J105" i="12"/>
  <c r="I105" i="12"/>
  <c r="K104" i="12"/>
  <c r="L104" i="12" s="1"/>
  <c r="J104" i="12"/>
  <c r="I104" i="12"/>
  <c r="K103" i="12"/>
  <c r="L103" i="12" s="1"/>
  <c r="J103" i="12"/>
  <c r="I103" i="12"/>
  <c r="K102" i="12"/>
  <c r="L102" i="12" s="1"/>
  <c r="J102" i="12"/>
  <c r="I102" i="12"/>
  <c r="K101" i="12"/>
  <c r="L101" i="12" s="1"/>
  <c r="J101" i="12"/>
  <c r="I101" i="12"/>
  <c r="K100" i="12"/>
  <c r="L100" i="12" s="1"/>
  <c r="J100" i="12"/>
  <c r="I100" i="12"/>
  <c r="K99" i="12"/>
  <c r="L99" i="12" s="1"/>
  <c r="J99" i="12"/>
  <c r="I99" i="12"/>
  <c r="K98" i="12"/>
  <c r="L98" i="12" s="1"/>
  <c r="J98" i="12"/>
  <c r="I98" i="12"/>
  <c r="K97" i="12"/>
  <c r="L97" i="12" s="1"/>
  <c r="J97" i="12"/>
  <c r="I97" i="12"/>
  <c r="K96" i="12"/>
  <c r="L96" i="12" s="1"/>
  <c r="J96" i="12"/>
  <c r="I96" i="12"/>
  <c r="K95" i="12"/>
  <c r="L95" i="12" s="1"/>
  <c r="J95" i="12"/>
  <c r="I95" i="12"/>
  <c r="K94" i="12"/>
  <c r="L94" i="12" s="1"/>
  <c r="J94" i="12"/>
  <c r="I94" i="12"/>
  <c r="K93" i="12"/>
  <c r="L93" i="12" s="1"/>
  <c r="J93" i="12"/>
  <c r="I93" i="12"/>
  <c r="K92" i="12"/>
  <c r="L92" i="12" s="1"/>
  <c r="J92" i="12"/>
  <c r="I92" i="12"/>
  <c r="K91" i="12"/>
  <c r="L91" i="12" s="1"/>
  <c r="J91" i="12"/>
  <c r="I91" i="12"/>
  <c r="K90" i="12"/>
  <c r="L90" i="12" s="1"/>
  <c r="J90" i="12"/>
  <c r="I90" i="12"/>
  <c r="K89" i="12"/>
  <c r="L89" i="12" s="1"/>
  <c r="J89" i="12"/>
  <c r="I89" i="12"/>
  <c r="K88" i="12"/>
  <c r="L88" i="12" s="1"/>
  <c r="J88" i="12"/>
  <c r="I88" i="12"/>
  <c r="K87" i="12"/>
  <c r="L87" i="12" s="1"/>
  <c r="J87" i="12"/>
  <c r="I87" i="12"/>
  <c r="K86" i="12"/>
  <c r="L86" i="12" s="1"/>
  <c r="J86" i="12"/>
  <c r="I86" i="12"/>
  <c r="K85" i="12"/>
  <c r="L85" i="12" s="1"/>
  <c r="J85" i="12"/>
  <c r="I85" i="12"/>
  <c r="K84" i="12"/>
  <c r="L84" i="12" s="1"/>
  <c r="J84" i="12"/>
  <c r="I84" i="12"/>
  <c r="K83" i="12"/>
  <c r="L83" i="12" s="1"/>
  <c r="J83" i="12"/>
  <c r="I83" i="12"/>
  <c r="K82" i="12"/>
  <c r="L82" i="12" s="1"/>
  <c r="J82" i="12"/>
  <c r="I82" i="12"/>
  <c r="K81" i="12"/>
  <c r="L81" i="12" s="1"/>
  <c r="J81" i="12"/>
  <c r="I81" i="12"/>
  <c r="K80" i="12"/>
  <c r="L80" i="12" s="1"/>
  <c r="J80" i="12"/>
  <c r="I80" i="12"/>
  <c r="K79" i="12"/>
  <c r="L79" i="12" s="1"/>
  <c r="J79" i="12"/>
  <c r="I79" i="12"/>
  <c r="K78" i="12"/>
  <c r="L78" i="12" s="1"/>
  <c r="J78" i="12"/>
  <c r="I78" i="12"/>
  <c r="K77" i="12"/>
  <c r="L77" i="12" s="1"/>
  <c r="J77" i="12"/>
  <c r="I77" i="12"/>
  <c r="K76" i="12"/>
  <c r="L76" i="12" s="1"/>
  <c r="J76" i="12"/>
  <c r="I76" i="12"/>
  <c r="K75" i="12"/>
  <c r="L75" i="12" s="1"/>
  <c r="J75" i="12"/>
  <c r="I75" i="12"/>
  <c r="K74" i="12"/>
  <c r="L74" i="12" s="1"/>
  <c r="J74" i="12"/>
  <c r="I74" i="12"/>
  <c r="K73" i="12"/>
  <c r="L73" i="12" s="1"/>
  <c r="J73" i="12"/>
  <c r="I73" i="12"/>
  <c r="K72" i="12"/>
  <c r="L72" i="12" s="1"/>
  <c r="J72" i="12"/>
  <c r="I72" i="12"/>
  <c r="K71" i="12"/>
  <c r="L71" i="12" s="1"/>
  <c r="J71" i="12"/>
  <c r="I71" i="12"/>
  <c r="K70" i="12"/>
  <c r="L70" i="12" s="1"/>
  <c r="J70" i="12"/>
  <c r="I70" i="12"/>
  <c r="K69" i="12"/>
  <c r="L69" i="12" s="1"/>
  <c r="J69" i="12"/>
  <c r="I69" i="12"/>
  <c r="K68" i="12"/>
  <c r="L68" i="12" s="1"/>
  <c r="J68" i="12"/>
  <c r="I68" i="12"/>
  <c r="K67" i="12"/>
  <c r="L67" i="12" s="1"/>
  <c r="J67" i="12"/>
  <c r="I67" i="12"/>
  <c r="K66" i="12"/>
  <c r="L66" i="12" s="1"/>
  <c r="J66" i="12"/>
  <c r="I66" i="12"/>
  <c r="K65" i="12"/>
  <c r="L65" i="12" s="1"/>
  <c r="J65" i="12"/>
  <c r="I65" i="12"/>
  <c r="K64" i="12"/>
  <c r="L64" i="12" s="1"/>
  <c r="J64" i="12"/>
  <c r="I64" i="12"/>
  <c r="K63" i="12"/>
  <c r="L63" i="12" s="1"/>
  <c r="J63" i="12"/>
  <c r="I63" i="12"/>
  <c r="K62" i="12"/>
  <c r="L62" i="12" s="1"/>
  <c r="J62" i="12"/>
  <c r="I62" i="12"/>
  <c r="K61" i="12"/>
  <c r="L61" i="12" s="1"/>
  <c r="J61" i="12"/>
  <c r="I61" i="12"/>
  <c r="K60" i="12"/>
  <c r="L60" i="12" s="1"/>
  <c r="J60" i="12"/>
  <c r="I60" i="12"/>
  <c r="K59" i="12"/>
  <c r="L59" i="12" s="1"/>
  <c r="J59" i="12"/>
  <c r="I59" i="12"/>
  <c r="K58" i="12"/>
  <c r="L58" i="12" s="1"/>
  <c r="J58" i="12"/>
  <c r="I58" i="12"/>
  <c r="K57" i="12"/>
  <c r="L57" i="12" s="1"/>
  <c r="J57" i="12"/>
  <c r="I57" i="12"/>
  <c r="K56" i="12"/>
  <c r="L56" i="12" s="1"/>
  <c r="J56" i="12"/>
  <c r="I56" i="12"/>
  <c r="K55" i="12"/>
  <c r="L55" i="12" s="1"/>
  <c r="J55" i="12"/>
  <c r="I55" i="12"/>
  <c r="K54" i="12"/>
  <c r="L54" i="12" s="1"/>
  <c r="J54" i="12"/>
  <c r="I54" i="12"/>
  <c r="K53" i="12"/>
  <c r="L53" i="12" s="1"/>
  <c r="J53" i="12"/>
  <c r="I53" i="12"/>
  <c r="K52" i="12"/>
  <c r="L52" i="12" s="1"/>
  <c r="J52" i="12"/>
  <c r="I52" i="12"/>
  <c r="K51" i="12"/>
  <c r="L51" i="12" s="1"/>
  <c r="J51" i="12"/>
  <c r="I51" i="12"/>
  <c r="K50" i="12"/>
  <c r="L50" i="12" s="1"/>
  <c r="J50" i="12"/>
  <c r="I50" i="12"/>
  <c r="K49" i="12"/>
  <c r="L49" i="12" s="1"/>
  <c r="J49" i="12"/>
  <c r="I49" i="12"/>
  <c r="K48" i="12"/>
  <c r="L48" i="12" s="1"/>
  <c r="J48" i="12"/>
  <c r="I48" i="12"/>
  <c r="K47" i="12"/>
  <c r="L47" i="12" s="1"/>
  <c r="J47" i="12"/>
  <c r="I47" i="12"/>
  <c r="K46" i="12"/>
  <c r="L46" i="12" s="1"/>
  <c r="J46" i="12"/>
  <c r="I46" i="12"/>
  <c r="K45" i="12"/>
  <c r="L45" i="12" s="1"/>
  <c r="J45" i="12"/>
  <c r="I45" i="12"/>
  <c r="K44" i="12"/>
  <c r="L44" i="12" s="1"/>
  <c r="J44" i="12"/>
  <c r="I44" i="12"/>
  <c r="K43" i="12"/>
  <c r="L43" i="12" s="1"/>
  <c r="J43" i="12"/>
  <c r="I43" i="12"/>
  <c r="K42" i="12"/>
  <c r="L42" i="12" s="1"/>
  <c r="J42" i="12"/>
  <c r="I42" i="12"/>
  <c r="K41" i="12"/>
  <c r="L41" i="12" s="1"/>
  <c r="J41" i="12"/>
  <c r="I41" i="12"/>
  <c r="K40" i="12"/>
  <c r="L40" i="12" s="1"/>
  <c r="J40" i="12"/>
  <c r="I40" i="12"/>
  <c r="K39" i="12"/>
  <c r="L39" i="12" s="1"/>
  <c r="J39" i="12"/>
  <c r="I39" i="12"/>
  <c r="K38" i="12"/>
  <c r="L38" i="12" s="1"/>
  <c r="J38" i="12"/>
  <c r="I38" i="12"/>
  <c r="K37" i="12"/>
  <c r="L37" i="12" s="1"/>
  <c r="J37" i="12"/>
  <c r="I37" i="12"/>
  <c r="K36" i="12"/>
  <c r="L36" i="12" s="1"/>
  <c r="J36" i="12"/>
  <c r="I36" i="12"/>
  <c r="K35" i="12"/>
  <c r="L35" i="12" s="1"/>
  <c r="J35" i="12"/>
  <c r="I35" i="12"/>
  <c r="K34" i="12"/>
  <c r="L34" i="12" s="1"/>
  <c r="J34" i="12"/>
  <c r="I34" i="12"/>
  <c r="K33" i="12"/>
  <c r="L33" i="12" s="1"/>
  <c r="J33" i="12"/>
  <c r="I33" i="12"/>
  <c r="K32" i="12"/>
  <c r="L32" i="12" s="1"/>
  <c r="J32" i="12"/>
  <c r="I32" i="12"/>
  <c r="K31" i="12"/>
  <c r="L31" i="12" s="1"/>
  <c r="J31" i="12"/>
  <c r="I31" i="12"/>
  <c r="K30" i="12"/>
  <c r="L30" i="12" s="1"/>
  <c r="J30" i="12"/>
  <c r="I30" i="12"/>
  <c r="K29" i="12"/>
  <c r="L29" i="12" s="1"/>
  <c r="J29" i="12"/>
  <c r="I29" i="12"/>
  <c r="K28" i="12"/>
  <c r="L28" i="12" s="1"/>
  <c r="J28" i="12"/>
  <c r="I28" i="12"/>
  <c r="K27" i="12"/>
  <c r="L27" i="12" s="1"/>
  <c r="J27" i="12"/>
  <c r="I27" i="12"/>
  <c r="K26" i="12"/>
  <c r="L26" i="12" s="1"/>
  <c r="J26" i="12"/>
  <c r="I26" i="12"/>
  <c r="K25" i="12"/>
  <c r="L25" i="12" s="1"/>
  <c r="J25" i="12"/>
  <c r="I25" i="12"/>
  <c r="K24" i="12"/>
  <c r="L24" i="12" s="1"/>
  <c r="J24" i="12"/>
  <c r="I24" i="12"/>
  <c r="O4" i="1"/>
  <c r="O3" i="1"/>
  <c r="K3" i="1"/>
  <c r="K4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K12" i="1"/>
  <c r="K13" i="1"/>
  <c r="L13" i="1" s="1"/>
  <c r="K14" i="1"/>
  <c r="L14" i="1" s="1"/>
  <c r="K15" i="1"/>
  <c r="L15" i="1" s="1"/>
  <c r="K16" i="1"/>
  <c r="L16" i="1" s="1"/>
  <c r="K17" i="1"/>
  <c r="K18" i="1"/>
  <c r="K19" i="1"/>
  <c r="K20" i="1"/>
  <c r="K21" i="1"/>
  <c r="L21" i="1" s="1"/>
  <c r="K22" i="1"/>
  <c r="L22" i="1" s="1"/>
  <c r="K23" i="1"/>
  <c r="L23" i="1" s="1"/>
  <c r="K24" i="1"/>
  <c r="L24" i="1" s="1"/>
  <c r="K25" i="1"/>
  <c r="K26" i="1"/>
  <c r="K27" i="1"/>
  <c r="K28" i="1"/>
  <c r="K29" i="1"/>
  <c r="L29" i="1" s="1"/>
  <c r="K30" i="1"/>
  <c r="L30" i="1" s="1"/>
  <c r="K31" i="1"/>
  <c r="K32" i="1"/>
  <c r="L32" i="1" s="1"/>
  <c r="K33" i="1"/>
  <c r="K34" i="1"/>
  <c r="K35" i="1"/>
  <c r="K36" i="1"/>
  <c r="K37" i="1"/>
  <c r="L37" i="1" s="1"/>
  <c r="K38" i="1"/>
  <c r="L38" i="1" s="1"/>
  <c r="K39" i="1"/>
  <c r="L39" i="1" s="1"/>
  <c r="K40" i="1"/>
  <c r="L40" i="1" s="1"/>
  <c r="K41" i="1"/>
  <c r="K42" i="1"/>
  <c r="L42" i="1" s="1"/>
  <c r="K43" i="1"/>
  <c r="K44" i="1"/>
  <c r="K45" i="1"/>
  <c r="L45" i="1" s="1"/>
  <c r="K46" i="1"/>
  <c r="L46" i="1" s="1"/>
  <c r="K47" i="1"/>
  <c r="L47" i="1" s="1"/>
  <c r="K48" i="1"/>
  <c r="L48" i="1" s="1"/>
  <c r="K49" i="1"/>
  <c r="K50" i="1"/>
  <c r="L50" i="1" s="1"/>
  <c r="K51" i="1"/>
  <c r="K52" i="1"/>
  <c r="K53" i="1"/>
  <c r="L53" i="1" s="1"/>
  <c r="K54" i="1"/>
  <c r="L54" i="1" s="1"/>
  <c r="K55" i="1"/>
  <c r="L55" i="1" s="1"/>
  <c r="K56" i="1"/>
  <c r="L56" i="1" s="1"/>
  <c r="K57" i="1"/>
  <c r="K58" i="1"/>
  <c r="L58" i="1" s="1"/>
  <c r="K59" i="1"/>
  <c r="K60" i="1"/>
  <c r="K61" i="1"/>
  <c r="L61" i="1" s="1"/>
  <c r="K62" i="1"/>
  <c r="L62" i="1" s="1"/>
  <c r="K63" i="1"/>
  <c r="L63" i="1" s="1"/>
  <c r="K64" i="1"/>
  <c r="L64" i="1" s="1"/>
  <c r="K65" i="1"/>
  <c r="K66" i="1"/>
  <c r="L66" i="1" s="1"/>
  <c r="K67" i="1"/>
  <c r="K68" i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K76" i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K84" i="1"/>
  <c r="K85" i="1"/>
  <c r="K86" i="1"/>
  <c r="L86" i="1" s="1"/>
  <c r="K87" i="1"/>
  <c r="L87" i="1" s="1"/>
  <c r="K88" i="1"/>
  <c r="L88" i="1" s="1"/>
  <c r="K89" i="1"/>
  <c r="L89" i="1" s="1"/>
  <c r="K90" i="1"/>
  <c r="L90" i="1" s="1"/>
  <c r="K91" i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K100" i="1"/>
  <c r="L100" i="1" s="1"/>
  <c r="K101" i="1"/>
  <c r="L101" i="1" s="1"/>
  <c r="K2" i="1"/>
  <c r="L2" i="1" s="1"/>
  <c r="L3" i="1"/>
  <c r="L4" i="1"/>
  <c r="L11" i="1"/>
  <c r="L12" i="1"/>
  <c r="L17" i="1"/>
  <c r="L18" i="1"/>
  <c r="L19" i="1"/>
  <c r="L20" i="1"/>
  <c r="L25" i="1"/>
  <c r="L26" i="1"/>
  <c r="L27" i="1"/>
  <c r="L28" i="1"/>
  <c r="L31" i="1"/>
  <c r="L33" i="1"/>
  <c r="L34" i="1"/>
  <c r="L35" i="1"/>
  <c r="L36" i="1"/>
  <c r="L41" i="1"/>
  <c r="L43" i="1"/>
  <c r="L44" i="1"/>
  <c r="L49" i="1"/>
  <c r="L51" i="1"/>
  <c r="L52" i="1"/>
  <c r="L57" i="1"/>
  <c r="L59" i="1"/>
  <c r="L60" i="1"/>
  <c r="L65" i="1"/>
  <c r="L67" i="1"/>
  <c r="L68" i="1"/>
  <c r="L75" i="1"/>
  <c r="L76" i="1"/>
  <c r="L83" i="1"/>
  <c r="L84" i="1"/>
  <c r="L85" i="1"/>
  <c r="L91" i="1"/>
  <c r="L9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O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B7E3BF-3128-4B31-9545-466A83BDD63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CE99B8-0C03-4904-9D1E-758FF666D596}" name="WorksheetConnection_election_analysis_dataset_100_record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lection_analysis_dataset_100_records.xlsxTable11"/>
        </x15:connection>
      </ext>
    </extLst>
  </connection>
  <connection id="3" xr16:uid="{C20B0CD9-064E-4000-A7A2-20826D3169CA}" name="WorksheetConnection_election_analysis_dataset_100_records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election_analysis_dataset_100_records.xlsxTable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<sst xmlns="http://schemas.openxmlformats.org/spreadsheetml/2006/main" count="1009" uniqueCount="145">
  <si>
    <t>Constituency</t>
  </si>
  <si>
    <t>State</t>
  </si>
  <si>
    <t>Party</t>
  </si>
  <si>
    <t>Candidate</t>
  </si>
  <si>
    <t>Votes</t>
  </si>
  <si>
    <t>Total_Votes</t>
  </si>
  <si>
    <t>Gender</t>
  </si>
  <si>
    <t>Age</t>
  </si>
  <si>
    <t>Bangalore South</t>
  </si>
  <si>
    <t>Karnataka</t>
  </si>
  <si>
    <t>ABC</t>
  </si>
  <si>
    <t>Shlok Lalla</t>
  </si>
  <si>
    <t>Male</t>
  </si>
  <si>
    <t>XYZ</t>
  </si>
  <si>
    <t>Diya Sem</t>
  </si>
  <si>
    <t>Female</t>
  </si>
  <si>
    <t>PQR</t>
  </si>
  <si>
    <t>Seher Char</t>
  </si>
  <si>
    <t>LMN</t>
  </si>
  <si>
    <t>Parinaaz Karan</t>
  </si>
  <si>
    <t>Mysore</t>
  </si>
  <si>
    <t>Divij Verma</t>
  </si>
  <si>
    <t>Zeeshan Saxena</t>
  </si>
  <si>
    <t>Dharmajan Chawla</t>
  </si>
  <si>
    <t>Nehmat Chatterjee</t>
  </si>
  <si>
    <t>Tumkur</t>
  </si>
  <si>
    <t>Nayantara Kapadia</t>
  </si>
  <si>
    <t>Tiya Balasubramanian</t>
  </si>
  <si>
    <t>Nayantara Deshmukh</t>
  </si>
  <si>
    <t>Rohan Balay</t>
  </si>
  <si>
    <t>Hubli</t>
  </si>
  <si>
    <t>Alisha Gola</t>
  </si>
  <si>
    <t>Shayak Choudhary</t>
  </si>
  <si>
    <t>Trisha Chaudhry</t>
  </si>
  <si>
    <t>Riya Kadakia</t>
  </si>
  <si>
    <t>Hyderabad Central</t>
  </si>
  <si>
    <t>Telangana</t>
  </si>
  <si>
    <t>Heer Tara</t>
  </si>
  <si>
    <t>Priyansh Zacharia</t>
  </si>
  <si>
    <t>Dhanush Sehgal</t>
  </si>
  <si>
    <t>Kismat Chaudry</t>
  </si>
  <si>
    <t>Chennai North</t>
  </si>
  <si>
    <t>Tamil Nadu</t>
  </si>
  <si>
    <t>Ayesha Sane</t>
  </si>
  <si>
    <t>Anaya Sibal</t>
  </si>
  <si>
    <t>Sumer Sarraf</t>
  </si>
  <si>
    <t>Devansh Gupta</t>
  </si>
  <si>
    <t>Mumbai South</t>
  </si>
  <si>
    <t>Maharashtra</t>
  </si>
  <si>
    <t>Sumer Bora</t>
  </si>
  <si>
    <t>Tara Madan</t>
  </si>
  <si>
    <t>Vanya Lanka</t>
  </si>
  <si>
    <t>Azad Randhawa</t>
  </si>
  <si>
    <t>Pune</t>
  </si>
  <si>
    <t>Dishani Jaggi</t>
  </si>
  <si>
    <t>Aaina Sundaram</t>
  </si>
  <si>
    <t>Ivana Chander</t>
  </si>
  <si>
    <t>Mohanlal Raval</t>
  </si>
  <si>
    <t>Delhi Central</t>
  </si>
  <si>
    <t>Delhi</t>
  </si>
  <si>
    <t>Samarth Rattan</t>
  </si>
  <si>
    <t>Navya Sankar</t>
  </si>
  <si>
    <t>Lakshay Ranganathan</t>
  </si>
  <si>
    <t>Kabir Jayaraman</t>
  </si>
  <si>
    <t>Lucknow</t>
  </si>
  <si>
    <t>Uttar Pradesh</t>
  </si>
  <si>
    <t>Jivin Date</t>
  </si>
  <si>
    <t>Rhea Garg</t>
  </si>
  <si>
    <t>Baiju Rana</t>
  </si>
  <si>
    <t>Shayak Sule</t>
  </si>
  <si>
    <t>Gatik Balakrishnan</t>
  </si>
  <si>
    <t>Tejas Kanda</t>
  </si>
  <si>
    <t>Himmat Hayre</t>
  </si>
  <si>
    <t>Nirvi Bir</t>
  </si>
  <si>
    <t>Madhav Kumer</t>
  </si>
  <si>
    <t>Trisha Goel</t>
  </si>
  <si>
    <t>Jhanvi Bawa</t>
  </si>
  <si>
    <t>Nehmat Solanki</t>
  </si>
  <si>
    <t>Kimaya Thakkar</t>
  </si>
  <si>
    <t>Nishith Baria</t>
  </si>
  <si>
    <t>Armaan Khanna</t>
  </si>
  <si>
    <t>Aaryahi Setty</t>
  </si>
  <si>
    <t>Tiya Dara</t>
  </si>
  <si>
    <t>Nirvi Kala</t>
  </si>
  <si>
    <t>Amani Kibe</t>
  </si>
  <si>
    <t>Zeeshan Amble</t>
  </si>
  <si>
    <t>Kanav Sibal</t>
  </si>
  <si>
    <t>Nitara Balan</t>
  </si>
  <si>
    <t>Nitya Bhagat</t>
  </si>
  <si>
    <t>Advika Bhattacharyya</t>
  </si>
  <si>
    <t>Pihu Garde</t>
  </si>
  <si>
    <t>Yashvi Kaur</t>
  </si>
  <si>
    <t>Indranil Babu</t>
  </si>
  <si>
    <t>Zain Yogi</t>
  </si>
  <si>
    <t>Ayesha Grover</t>
  </si>
  <si>
    <t>Charvi Swaminathan</t>
  </si>
  <si>
    <t>Mahika Sengupta</t>
  </si>
  <si>
    <t>Romil Dash</t>
  </si>
  <si>
    <t>Kavya Mangat</t>
  </si>
  <si>
    <t>Urvi Chaudhry</t>
  </si>
  <si>
    <t>Kimaya Keer</t>
  </si>
  <si>
    <t>Ehsaan Doshi</t>
  </si>
  <si>
    <t>Ojas Thakur</t>
  </si>
  <si>
    <t>Shray Wable</t>
  </si>
  <si>
    <t>Parinaaz Upadhyay</t>
  </si>
  <si>
    <t>Mahika Shanker</t>
  </si>
  <si>
    <t>Keya Seth</t>
  </si>
  <si>
    <t>Akarsh Karnik</t>
  </si>
  <si>
    <t>Jayant Bandi</t>
  </si>
  <si>
    <t>Saksham Chad</t>
  </si>
  <si>
    <t>Alisha Rao</t>
  </si>
  <si>
    <t>Shanaya Bhatia</t>
  </si>
  <si>
    <t>Faiyaz Sachar</t>
  </si>
  <si>
    <t>Piya Lanka</t>
  </si>
  <si>
    <t>Anay Shenoy</t>
  </si>
  <si>
    <t>Suhana Dubey</t>
  </si>
  <si>
    <t>Raunak Majumdar</t>
  </si>
  <si>
    <t>Samiha Sanghvi</t>
  </si>
  <si>
    <t>Hazel Deol</t>
  </si>
  <si>
    <t>Vihaan Rastogi</t>
  </si>
  <si>
    <t>Ela Cheema</t>
  </si>
  <si>
    <t>Inaaya  Randhawa</t>
  </si>
  <si>
    <t>Ira Rau</t>
  </si>
  <si>
    <t>Hiran Choudhury</t>
  </si>
  <si>
    <t>Madhav Deo</t>
  </si>
  <si>
    <t>Ishaan Sarma</t>
  </si>
  <si>
    <t>Dharmajan Toor</t>
  </si>
  <si>
    <t>Heer Ghosh</t>
  </si>
  <si>
    <t>Dishani Ram</t>
  </si>
  <si>
    <t>Vivaan Sankar</t>
  </si>
  <si>
    <t>Validation</t>
  </si>
  <si>
    <t>Vote %</t>
  </si>
  <si>
    <t>Max votes</t>
  </si>
  <si>
    <t>Winner</t>
  </si>
  <si>
    <t>Row Labels</t>
  </si>
  <si>
    <t>Grand Total</t>
  </si>
  <si>
    <t>Sum of Votes</t>
  </si>
  <si>
    <t>Male candidates received higher overall votes compared to female candidates, indicating stronger representation and voter support among male contestants.</t>
  </si>
  <si>
    <t>Average age of winners</t>
  </si>
  <si>
    <t>Youngest candidate</t>
  </si>
  <si>
    <t>Oldest candidate</t>
  </si>
  <si>
    <t>Winners table</t>
  </si>
  <si>
    <t>Winner votes</t>
  </si>
  <si>
    <t>Runner up votes</t>
  </si>
  <si>
    <t>Winning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</si>
</sst>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39.xlsx]Total votes by party!PivotTable1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Party vs total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votes by party'!$B$3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votes by party'!$A$4:$A$8</c:f>
              <c:strCache>
                <c:ptCount val="4"/>
                <c:pt idx="0">
                  <c:v>ABC</c:v>
                </c:pt>
                <c:pt idx="1">
                  <c:v>LMN</c:v>
                </c:pt>
                <c:pt idx="2">
                  <c:v>PQR</c:v>
                </c:pt>
                <c:pt idx="3">
                  <c:v>XYZ</c:v>
                </c:pt>
              </c:strCache>
            </c:strRef>
          </c:cat>
          <c:val>
            <c:numRef>
              <c:f>'Total votes by party'!$B$4:$B$8</c:f>
              <c:numCache>
                <c:formatCode>0</c:formatCode>
                <c:ptCount val="4"/>
                <c:pt idx="0">
                  <c:v>1338541</c:v>
                </c:pt>
                <c:pt idx="1">
                  <c:v>1356856</c:v>
                </c:pt>
                <c:pt idx="2">
                  <c:v>1177778</c:v>
                </c:pt>
                <c:pt idx="3">
                  <c:v>1288071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D-4AC9-B4CD-88A4C7B69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0156352"/>
        <c:axId val="1320154432"/>
      </c:barChart>
      <c:catAx>
        <c:axId val="132015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4432"/>
        <c:crosses val="autoZero"/>
        <c:auto val="1"/>
        <c:lblAlgn val="ctr"/>
        <c:lblOffset val="100"/>
        <c:noMultiLvlLbl val="0"/>
      </c:catAx>
      <c:valAx>
        <c:axId val="132015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39.xlsx]total votes by gender!PivotTable8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vote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votes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00-461A-B25A-B5A91220EC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00-461A-B25A-B5A91220EC49}"/>
              </c:ext>
            </c:extLst>
          </c:dPt>
          <c:cat>
            <c:strRef>
              <c:f>'total votes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'total votes by gender'!$B$4:$B$6</c:f>
              <c:numCache>
                <c:formatCode>0</c:formatCode>
                <c:ptCount val="2"/>
                <c:pt idx="0">
                  <c:v>2609244</c:v>
                </c:pt>
                <c:pt idx="1">
                  <c:v>2552002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00-461A-B25A-B5A91220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63629-D271-470A-8B74-9E07D4668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0E6392-3D74-40C7-A1BF-BB386AB32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an sai" refreshedDate="46149.867806481481" createdVersion="8" refreshedVersion="8" minRefreshableVersion="3" recordCount="100" xr:uid="{0D17015C-AAD8-4606-BD0B-F0D0C48C3598}">
  <cacheSource type="worksheet">
    <worksheetSource name="Table1"/>
  </cacheSource>
  <cacheFields count="8">
    <cacheField name="Constituency" numFmtId="0">
      <sharedItems/>
    </cacheField>
    <cacheField name="State" numFmtId="0">
      <sharedItems/>
    </cacheField>
    <cacheField name="Party" numFmtId="0">
      <sharedItems count="4">
        <s v="ABC"/>
        <s v="XYZ"/>
        <s v="PQR"/>
        <s v="LMN"/>
      </sharedItems>
    </cacheField>
    <cacheField name="Candidate" numFmtId="0">
      <sharedItems/>
    </cacheField>
    <cacheField name="Votes" numFmtId="1">
      <sharedItems containsSemiMixedTypes="0" containsString="0" containsNumber="1" containsInteger="1" minValue="25106" maxValue="98000"/>
    </cacheField>
    <cacheField name="Total_Votes" numFmtId="1">
      <sharedItems containsSemiMixedTypes="0" containsString="0" containsNumber="1" containsInteger="1" minValue="110000" maxValue="230000"/>
    </cacheField>
    <cacheField name="Gender" numFmtId="0">
      <sharedItems count="2">
        <s v="Male"/>
        <s v="Female"/>
      </sharedItems>
    </cacheField>
    <cacheField name="Age" numFmtId="1">
      <sharedItems containsSemiMixedTypes="0" containsString="0" containsNumber="1" containsInteger="1" minValue="30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Bangalore South"/>
    <s v="Karnataka"/>
    <x v="0"/>
    <s v="Shlok Lalla"/>
    <n v="45952"/>
    <n v="120000"/>
    <x v="0"/>
    <n v="31"/>
  </r>
  <r>
    <s v="Bangalore South"/>
    <s v="Karnataka"/>
    <x v="1"/>
    <s v="Diya Sem"/>
    <n v="49299"/>
    <n v="120000"/>
    <x v="1"/>
    <n v="45"/>
  </r>
  <r>
    <s v="Bangalore South"/>
    <s v="Karnataka"/>
    <x v="2"/>
    <s v="Seher Char"/>
    <n v="32314"/>
    <n v="120000"/>
    <x v="0"/>
    <n v="36"/>
  </r>
  <r>
    <s v="Bangalore South"/>
    <s v="Karnataka"/>
    <x v="3"/>
    <s v="Parinaaz Karan"/>
    <n v="47174"/>
    <n v="120000"/>
    <x v="0"/>
    <n v="57"/>
  </r>
  <r>
    <s v="Mysore"/>
    <s v="Karnataka"/>
    <x v="0"/>
    <s v="Divij Verma"/>
    <n v="27082"/>
    <n v="150000"/>
    <x v="0"/>
    <n v="35"/>
  </r>
  <r>
    <s v="Mysore"/>
    <s v="Karnataka"/>
    <x v="1"/>
    <s v="Zeeshan Saxena"/>
    <n v="39328"/>
    <n v="150000"/>
    <x v="0"/>
    <n v="62"/>
  </r>
  <r>
    <s v="Mysore"/>
    <s v="Karnataka"/>
    <x v="2"/>
    <s v="Dharmajan Chawla"/>
    <n v="64453"/>
    <n v="150000"/>
    <x v="0"/>
    <n v="65"/>
  </r>
  <r>
    <s v="Mysore"/>
    <s v="Karnataka"/>
    <x v="3"/>
    <s v="Nehmat Chatterjee"/>
    <n v="38031"/>
    <n v="150000"/>
    <x v="1"/>
    <n v="44"/>
  </r>
  <r>
    <s v="Tumkur"/>
    <s v="Karnataka"/>
    <x v="0"/>
    <s v="Nayantara Kapadia"/>
    <n v="39719"/>
    <n v="110000"/>
    <x v="1"/>
    <n v="30"/>
  </r>
  <r>
    <s v="Tumkur"/>
    <s v="Karnataka"/>
    <x v="1"/>
    <s v="Tiya Balasubramanian"/>
    <n v="30231"/>
    <n v="110000"/>
    <x v="1"/>
    <n v="51"/>
  </r>
  <r>
    <s v="Tumkur"/>
    <s v="Karnataka"/>
    <x v="2"/>
    <s v="Nayantara Deshmukh"/>
    <n v="34105"/>
    <n v="110000"/>
    <x v="0"/>
    <n v="43"/>
  </r>
  <r>
    <s v="Tumkur"/>
    <s v="Karnataka"/>
    <x v="3"/>
    <s v="Rohan Balay"/>
    <n v="36029"/>
    <n v="110000"/>
    <x v="0"/>
    <n v="35"/>
  </r>
  <r>
    <s v="Hubli"/>
    <s v="Karnataka"/>
    <x v="0"/>
    <s v="Alisha Gola"/>
    <n v="49898"/>
    <n v="180000"/>
    <x v="0"/>
    <n v="52"/>
  </r>
  <r>
    <s v="Hubli"/>
    <s v="Karnataka"/>
    <x v="1"/>
    <s v="Shayak Choudhary"/>
    <n v="80541"/>
    <n v="180000"/>
    <x v="1"/>
    <n v="46"/>
  </r>
  <r>
    <s v="Hubli"/>
    <s v="Karnataka"/>
    <x v="2"/>
    <s v="Trisha Chaudhry"/>
    <n v="77895"/>
    <n v="180000"/>
    <x v="0"/>
    <n v="59"/>
  </r>
  <r>
    <s v="Hubli"/>
    <s v="Karnataka"/>
    <x v="3"/>
    <s v="Riya Kadakia"/>
    <n v="60142"/>
    <n v="180000"/>
    <x v="0"/>
    <n v="54"/>
  </r>
  <r>
    <s v="Hyderabad Central"/>
    <s v="Telangana"/>
    <x v="0"/>
    <s v="Heer Tara"/>
    <n v="30164"/>
    <n v="200000"/>
    <x v="1"/>
    <n v="53"/>
  </r>
  <r>
    <s v="Hyderabad Central"/>
    <s v="Telangana"/>
    <x v="1"/>
    <s v="Priyansh Zacharia"/>
    <n v="62837"/>
    <n v="200000"/>
    <x v="0"/>
    <n v="34"/>
  </r>
  <r>
    <s v="Hyderabad Central"/>
    <s v="Telangana"/>
    <x v="2"/>
    <s v="Dhanush Sehgal"/>
    <n v="28003"/>
    <n v="200000"/>
    <x v="0"/>
    <n v="48"/>
  </r>
  <r>
    <s v="Hyderabad Central"/>
    <s v="Telangana"/>
    <x v="3"/>
    <s v="Kismat Chaudry"/>
    <n v="89567"/>
    <n v="200000"/>
    <x v="0"/>
    <n v="44"/>
  </r>
  <r>
    <s v="Chennai North"/>
    <s v="Tamil Nadu"/>
    <x v="0"/>
    <s v="Ayesha Sane"/>
    <n v="31619"/>
    <n v="175000"/>
    <x v="1"/>
    <n v="47"/>
  </r>
  <r>
    <s v="Chennai North"/>
    <s v="Tamil Nadu"/>
    <x v="1"/>
    <s v="Anaya Sibal"/>
    <n v="54714"/>
    <n v="175000"/>
    <x v="1"/>
    <n v="40"/>
  </r>
  <r>
    <s v="Chennai North"/>
    <s v="Tamil Nadu"/>
    <x v="2"/>
    <s v="Sumer Sarraf"/>
    <n v="49260"/>
    <n v="175000"/>
    <x v="1"/>
    <n v="43"/>
  </r>
  <r>
    <s v="Chennai North"/>
    <s v="Tamil Nadu"/>
    <x v="3"/>
    <s v="Devansh Gupta"/>
    <n v="68920"/>
    <n v="175000"/>
    <x v="1"/>
    <n v="34"/>
  </r>
  <r>
    <s v="Mumbai South"/>
    <s v="Maharashtra"/>
    <x v="0"/>
    <s v="Sumer Bora"/>
    <n v="47431"/>
    <n v="220000"/>
    <x v="0"/>
    <n v="40"/>
  </r>
  <r>
    <s v="Mumbai South"/>
    <s v="Maharashtra"/>
    <x v="1"/>
    <s v="Tara Madan"/>
    <n v="85589"/>
    <n v="220000"/>
    <x v="1"/>
    <n v="47"/>
  </r>
  <r>
    <s v="Mumbai South"/>
    <s v="Maharashtra"/>
    <x v="2"/>
    <s v="Vanya Lanka"/>
    <n v="98000"/>
    <n v="220000"/>
    <x v="0"/>
    <n v="50"/>
  </r>
  <r>
    <s v="Mumbai South"/>
    <s v="Maharashtra"/>
    <x v="3"/>
    <s v="Azad Randhawa"/>
    <n v="32331"/>
    <n v="220000"/>
    <x v="0"/>
    <n v="32"/>
  </r>
  <r>
    <s v="Pune"/>
    <s v="Maharashtra"/>
    <x v="0"/>
    <s v="Dishani Jaggi"/>
    <n v="77759"/>
    <n v="190000"/>
    <x v="1"/>
    <n v="55"/>
  </r>
  <r>
    <s v="Pune"/>
    <s v="Maharashtra"/>
    <x v="1"/>
    <s v="Aaina Sundaram"/>
    <n v="42546"/>
    <n v="190000"/>
    <x v="0"/>
    <n v="43"/>
  </r>
  <r>
    <s v="Pune"/>
    <s v="Maharashtra"/>
    <x v="2"/>
    <s v="Ivana Chander"/>
    <n v="84843"/>
    <n v="190000"/>
    <x v="1"/>
    <n v="43"/>
  </r>
  <r>
    <s v="Pune"/>
    <s v="Maharashtra"/>
    <x v="3"/>
    <s v="Mohanlal Raval"/>
    <n v="67954"/>
    <n v="190000"/>
    <x v="1"/>
    <n v="55"/>
  </r>
  <r>
    <s v="Delhi Central"/>
    <s v="Delhi"/>
    <x v="0"/>
    <s v="Samarth Rattan"/>
    <n v="85142"/>
    <n v="210000"/>
    <x v="0"/>
    <n v="46"/>
  </r>
  <r>
    <s v="Delhi Central"/>
    <s v="Delhi"/>
    <x v="1"/>
    <s v="Navya Sankar"/>
    <n v="43301"/>
    <n v="210000"/>
    <x v="0"/>
    <n v="65"/>
  </r>
  <r>
    <s v="Delhi Central"/>
    <s v="Delhi"/>
    <x v="2"/>
    <s v="Lakshay Ranganathan"/>
    <n v="59438"/>
    <n v="210000"/>
    <x v="1"/>
    <n v="55"/>
  </r>
  <r>
    <s v="Delhi Central"/>
    <s v="Delhi"/>
    <x v="3"/>
    <s v="Kabir Jayaraman"/>
    <n v="72447"/>
    <n v="210000"/>
    <x v="0"/>
    <n v="38"/>
  </r>
  <r>
    <s v="Lucknow"/>
    <s v="Uttar Pradesh"/>
    <x v="0"/>
    <s v="Jivin Date"/>
    <n v="91784"/>
    <n v="230000"/>
    <x v="1"/>
    <n v="35"/>
  </r>
  <r>
    <s v="Lucknow"/>
    <s v="Uttar Pradesh"/>
    <x v="1"/>
    <s v="Rhea Garg"/>
    <n v="31175"/>
    <n v="230000"/>
    <x v="0"/>
    <n v="39"/>
  </r>
  <r>
    <s v="Lucknow"/>
    <s v="Uttar Pradesh"/>
    <x v="2"/>
    <s v="Baiju Rana"/>
    <n v="45969"/>
    <n v="230000"/>
    <x v="1"/>
    <n v="34"/>
  </r>
  <r>
    <s v="Lucknow"/>
    <s v="Uttar Pradesh"/>
    <x v="3"/>
    <s v="Shayak Sule"/>
    <n v="75432"/>
    <n v="230000"/>
    <x v="1"/>
    <n v="59"/>
  </r>
  <r>
    <s v="Delhi Central"/>
    <s v="Delhi"/>
    <x v="2"/>
    <s v="Gatik Balakrishnan"/>
    <n v="26504"/>
    <n v="210000"/>
    <x v="0"/>
    <n v="64"/>
  </r>
  <r>
    <s v="Hyderabad Central"/>
    <s v="Telangana"/>
    <x v="2"/>
    <s v="Tejas Kanda"/>
    <n v="32310"/>
    <n v="200000"/>
    <x v="1"/>
    <n v="57"/>
  </r>
  <r>
    <s v="Tumkur"/>
    <s v="Karnataka"/>
    <x v="3"/>
    <s v="Himmat Hayre"/>
    <n v="25106"/>
    <n v="110000"/>
    <x v="1"/>
    <n v="62"/>
  </r>
  <r>
    <s v="Tumkur"/>
    <s v="Karnataka"/>
    <x v="0"/>
    <s v="Nirvi Bir"/>
    <n v="45489"/>
    <n v="110000"/>
    <x v="1"/>
    <n v="62"/>
  </r>
  <r>
    <s v="Lucknow"/>
    <s v="Uttar Pradesh"/>
    <x v="1"/>
    <s v="Madhav Kumer"/>
    <n v="45032"/>
    <n v="230000"/>
    <x v="1"/>
    <n v="40"/>
  </r>
  <r>
    <s v="Delhi Central"/>
    <s v="Delhi"/>
    <x v="0"/>
    <s v="Trisha Goel"/>
    <n v="67487"/>
    <n v="210000"/>
    <x v="1"/>
    <n v="31"/>
  </r>
  <r>
    <s v="Mysore"/>
    <s v="Karnataka"/>
    <x v="2"/>
    <s v="Jhanvi Bawa"/>
    <n v="45153"/>
    <n v="150000"/>
    <x v="0"/>
    <n v="33"/>
  </r>
  <r>
    <s v="Hubli"/>
    <s v="Karnataka"/>
    <x v="0"/>
    <s v="Nehmat Solanki"/>
    <n v="30613"/>
    <n v="180000"/>
    <x v="1"/>
    <n v="34"/>
  </r>
  <r>
    <s v="Delhi Central"/>
    <s v="Delhi"/>
    <x v="1"/>
    <s v="Kimaya Thakkar"/>
    <n v="41828"/>
    <n v="210000"/>
    <x v="1"/>
    <n v="65"/>
  </r>
  <r>
    <s v="Tumkur"/>
    <s v="Karnataka"/>
    <x v="2"/>
    <s v="Nishith Baria"/>
    <n v="42290"/>
    <n v="110000"/>
    <x v="1"/>
    <n v="43"/>
  </r>
  <r>
    <s v="Delhi Central"/>
    <s v="Delhi"/>
    <x v="1"/>
    <s v="Armaan Khanna"/>
    <n v="65857"/>
    <n v="210000"/>
    <x v="1"/>
    <n v="53"/>
  </r>
  <r>
    <s v="Pune"/>
    <s v="Maharashtra"/>
    <x v="3"/>
    <s v="Aaryahi Setty"/>
    <n v="32930"/>
    <n v="190000"/>
    <x v="0"/>
    <n v="44"/>
  </r>
  <r>
    <s v="Mysore"/>
    <s v="Karnataka"/>
    <x v="2"/>
    <s v="Tiya Dara"/>
    <n v="26378"/>
    <n v="150000"/>
    <x v="0"/>
    <n v="44"/>
  </r>
  <r>
    <s v="Bangalore South"/>
    <s v="Karnataka"/>
    <x v="0"/>
    <s v="Nirvi Kala"/>
    <n v="48194"/>
    <n v="120000"/>
    <x v="0"/>
    <n v="44"/>
  </r>
  <r>
    <s v="Mysore"/>
    <s v="Karnataka"/>
    <x v="0"/>
    <s v="Amani Kibe"/>
    <n v="46654"/>
    <n v="150000"/>
    <x v="0"/>
    <n v="62"/>
  </r>
  <r>
    <s v="Hubli"/>
    <s v="Karnataka"/>
    <x v="2"/>
    <s v="Zeeshan Amble"/>
    <n v="68842"/>
    <n v="180000"/>
    <x v="1"/>
    <n v="43"/>
  </r>
  <r>
    <s v="Delhi Central"/>
    <s v="Delhi"/>
    <x v="1"/>
    <s v="Kanav Sibal"/>
    <n v="86953"/>
    <n v="210000"/>
    <x v="0"/>
    <n v="60"/>
  </r>
  <r>
    <s v="Mumbai South"/>
    <s v="Maharashtra"/>
    <x v="1"/>
    <s v="Nitara Balan"/>
    <n v="37363"/>
    <n v="220000"/>
    <x v="0"/>
    <n v="57"/>
  </r>
  <r>
    <s v="Chennai North"/>
    <s v="Tamil Nadu"/>
    <x v="3"/>
    <s v="Nitya Bhagat"/>
    <n v="51941"/>
    <n v="175000"/>
    <x v="1"/>
    <n v="33"/>
  </r>
  <r>
    <s v="Mysore"/>
    <s v="Karnataka"/>
    <x v="0"/>
    <s v="Advika Bhattacharyya"/>
    <n v="51386"/>
    <n v="150000"/>
    <x v="1"/>
    <n v="36"/>
  </r>
  <r>
    <s v="Hubli"/>
    <s v="Karnataka"/>
    <x v="1"/>
    <s v="Pihu Garde"/>
    <n v="37465"/>
    <n v="180000"/>
    <x v="1"/>
    <n v="38"/>
  </r>
  <r>
    <s v="Mumbai South"/>
    <s v="Maharashtra"/>
    <x v="1"/>
    <s v="Yashvi Kaur"/>
    <n v="61509"/>
    <n v="220000"/>
    <x v="1"/>
    <n v="45"/>
  </r>
  <r>
    <s v="Mysore"/>
    <s v="Karnataka"/>
    <x v="3"/>
    <s v="Indranil Babu"/>
    <n v="61066"/>
    <n v="150000"/>
    <x v="0"/>
    <n v="33"/>
  </r>
  <r>
    <s v="Delhi Central"/>
    <s v="Delhi"/>
    <x v="0"/>
    <s v="Zain Yogi"/>
    <n v="37224"/>
    <n v="210000"/>
    <x v="0"/>
    <n v="40"/>
  </r>
  <r>
    <s v="Mumbai South"/>
    <s v="Maharashtra"/>
    <x v="3"/>
    <s v="Ayesha Grover"/>
    <n v="88092"/>
    <n v="220000"/>
    <x v="0"/>
    <n v="55"/>
  </r>
  <r>
    <s v="Bangalore South"/>
    <s v="Karnataka"/>
    <x v="1"/>
    <s v="Charvi Swaminathan"/>
    <n v="37418"/>
    <n v="120000"/>
    <x v="0"/>
    <n v="54"/>
  </r>
  <r>
    <s v="Hyderabad Central"/>
    <s v="Telangana"/>
    <x v="3"/>
    <s v="Mahika Sengupta"/>
    <n v="43694"/>
    <n v="200000"/>
    <x v="1"/>
    <n v="65"/>
  </r>
  <r>
    <s v="Pune"/>
    <s v="Maharashtra"/>
    <x v="1"/>
    <s v="Romil Dash"/>
    <n v="37445"/>
    <n v="190000"/>
    <x v="1"/>
    <n v="43"/>
  </r>
  <r>
    <s v="Bangalore South"/>
    <s v="Karnataka"/>
    <x v="0"/>
    <s v="Kavya Mangat"/>
    <n v="49509"/>
    <n v="120000"/>
    <x v="1"/>
    <n v="33"/>
  </r>
  <r>
    <s v="Bangalore South"/>
    <s v="Karnataka"/>
    <x v="3"/>
    <s v="Urvi Chaudhry"/>
    <n v="41477"/>
    <n v="120000"/>
    <x v="0"/>
    <n v="33"/>
  </r>
  <r>
    <s v="Delhi Central"/>
    <s v="Delhi"/>
    <x v="0"/>
    <s v="Kimaya Keer"/>
    <n v="49356"/>
    <n v="210000"/>
    <x v="0"/>
    <n v="34"/>
  </r>
  <r>
    <s v="Hubli"/>
    <s v="Karnataka"/>
    <x v="3"/>
    <s v="Ehsaan Doshi"/>
    <n v="32856"/>
    <n v="180000"/>
    <x v="0"/>
    <n v="32"/>
  </r>
  <r>
    <s v="Lucknow"/>
    <s v="Uttar Pradesh"/>
    <x v="0"/>
    <s v="Ojas Thakur"/>
    <n v="79948"/>
    <n v="230000"/>
    <x v="1"/>
    <n v="46"/>
  </r>
  <r>
    <s v="Hubli"/>
    <s v="Karnataka"/>
    <x v="2"/>
    <s v="Shray Wable"/>
    <n v="40642"/>
    <n v="180000"/>
    <x v="1"/>
    <n v="55"/>
  </r>
  <r>
    <s v="Tumkur"/>
    <s v="Karnataka"/>
    <x v="2"/>
    <s v="Parinaaz Upadhyay"/>
    <n v="39982"/>
    <n v="110000"/>
    <x v="1"/>
    <n v="34"/>
  </r>
  <r>
    <s v="Bangalore South"/>
    <s v="Karnataka"/>
    <x v="3"/>
    <s v="Mahika Shanker"/>
    <n v="45354"/>
    <n v="120000"/>
    <x v="0"/>
    <n v="34"/>
  </r>
  <r>
    <s v="Delhi Central"/>
    <s v="Delhi"/>
    <x v="1"/>
    <s v="Keya Seth"/>
    <n v="91307"/>
    <n v="210000"/>
    <x v="1"/>
    <n v="38"/>
  </r>
  <r>
    <s v="Chennai North"/>
    <s v="Tamil Nadu"/>
    <x v="0"/>
    <s v="Akarsh Karnik"/>
    <n v="41009"/>
    <n v="175000"/>
    <x v="1"/>
    <n v="48"/>
  </r>
  <r>
    <s v="Tumkur"/>
    <s v="Karnataka"/>
    <x v="3"/>
    <s v="Jayant Bandi"/>
    <n v="42800"/>
    <n v="110000"/>
    <x v="1"/>
    <n v="63"/>
  </r>
  <r>
    <s v="Bangalore South"/>
    <s v="Karnataka"/>
    <x v="2"/>
    <s v="Saksham Chad"/>
    <n v="46737"/>
    <n v="120000"/>
    <x v="0"/>
    <n v="38"/>
  </r>
  <r>
    <s v="Hyderabad Central"/>
    <s v="Telangana"/>
    <x v="0"/>
    <s v="Alisha Rao"/>
    <n v="83308"/>
    <n v="200000"/>
    <x v="0"/>
    <n v="65"/>
  </r>
  <r>
    <s v="Tumkur"/>
    <s v="Karnataka"/>
    <x v="2"/>
    <s v="Shanaya Bhatia"/>
    <n v="34232"/>
    <n v="110000"/>
    <x v="0"/>
    <n v="51"/>
  </r>
  <r>
    <s v="Hubli"/>
    <s v="Karnataka"/>
    <x v="2"/>
    <s v="Faiyaz Sachar"/>
    <n v="58122"/>
    <n v="180000"/>
    <x v="1"/>
    <n v="46"/>
  </r>
  <r>
    <s v="Bangalore South"/>
    <s v="Karnataka"/>
    <x v="0"/>
    <s v="Piya Lanka"/>
    <n v="45784"/>
    <n v="120000"/>
    <x v="1"/>
    <n v="47"/>
  </r>
  <r>
    <s v="Bangalore South"/>
    <s v="Karnataka"/>
    <x v="0"/>
    <s v="Anay Shenoy"/>
    <n v="35929"/>
    <n v="120000"/>
    <x v="0"/>
    <n v="46"/>
  </r>
  <r>
    <s v="Tumkur"/>
    <s v="Karnataka"/>
    <x v="3"/>
    <s v="Suhana Dubey"/>
    <n v="43077"/>
    <n v="110000"/>
    <x v="1"/>
    <n v="65"/>
  </r>
  <r>
    <s v="Bangalore South"/>
    <s v="Karnataka"/>
    <x v="0"/>
    <s v="Raunak Majumdar"/>
    <n v="27465"/>
    <n v="120000"/>
    <x v="0"/>
    <n v="64"/>
  </r>
  <r>
    <s v="Bangalore South"/>
    <s v="Karnataka"/>
    <x v="2"/>
    <s v="Samiha Sanghvi"/>
    <n v="44087"/>
    <n v="120000"/>
    <x v="0"/>
    <n v="57"/>
  </r>
  <r>
    <s v="Tumkur"/>
    <s v="Karnataka"/>
    <x v="0"/>
    <s v="Hazel Deol"/>
    <n v="35101"/>
    <n v="110000"/>
    <x v="1"/>
    <n v="32"/>
  </r>
  <r>
    <s v="Chennai North"/>
    <s v="Tamil Nadu"/>
    <x v="1"/>
    <s v="Vihaan Rastogi"/>
    <n v="69699"/>
    <n v="175000"/>
    <x v="0"/>
    <n v="36"/>
  </r>
  <r>
    <s v="Chennai North"/>
    <s v="Tamil Nadu"/>
    <x v="3"/>
    <s v="Ela Cheema"/>
    <n v="65675"/>
    <n v="175000"/>
    <x v="0"/>
    <n v="45"/>
  </r>
  <r>
    <s v="Tumkur"/>
    <s v="Karnataka"/>
    <x v="1"/>
    <s v="Inaaya  Randhawa"/>
    <n v="38510"/>
    <n v="110000"/>
    <x v="0"/>
    <n v="41"/>
  </r>
  <r>
    <s v="Chennai North"/>
    <s v="Tamil Nadu"/>
    <x v="3"/>
    <s v="Ira Rau"/>
    <n v="77575"/>
    <n v="175000"/>
    <x v="0"/>
    <n v="47"/>
  </r>
  <r>
    <s v="Tumkur"/>
    <s v="Karnataka"/>
    <x v="0"/>
    <s v="Hiran Choudhury"/>
    <n v="37535"/>
    <n v="110000"/>
    <x v="0"/>
    <n v="60"/>
  </r>
  <r>
    <s v="Hubli"/>
    <s v="Karnataka"/>
    <x v="1"/>
    <s v="Madhav Deo"/>
    <n v="78515"/>
    <n v="180000"/>
    <x v="1"/>
    <n v="52"/>
  </r>
  <r>
    <s v="Hyderabad Central"/>
    <s v="Telangana"/>
    <x v="1"/>
    <s v="Ishaan Sarma"/>
    <n v="39609"/>
    <n v="200000"/>
    <x v="0"/>
    <n v="42"/>
  </r>
  <r>
    <s v="Mumbai South"/>
    <s v="Maharashtra"/>
    <x v="2"/>
    <s v="Dharmajan Toor"/>
    <n v="61517"/>
    <n v="220000"/>
    <x v="0"/>
    <n v="47"/>
  </r>
  <r>
    <s v="Chennai North"/>
    <s v="Tamil Nadu"/>
    <x v="3"/>
    <s v="Heer Ghosh"/>
    <n v="69532"/>
    <n v="175000"/>
    <x v="1"/>
    <n v="31"/>
  </r>
  <r>
    <s v="Mysore"/>
    <s v="Karnataka"/>
    <x v="2"/>
    <s v="Dishani Ram"/>
    <n v="36702"/>
    <n v="150000"/>
    <x v="1"/>
    <n v="32"/>
  </r>
  <r>
    <s v="Mysore"/>
    <s v="Karnataka"/>
    <x v="3"/>
    <s v="Vivaan Sankar"/>
    <n v="47654"/>
    <n v="150000"/>
    <x v="1"/>
    <n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94D90-3311-4003-AF21-C52B2607AF68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8"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numFmtId="1" showAll="0"/>
    <pivotField numFmtId="1" showAll="0"/>
    <pivotField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otes" fld="4" baseField="0" baseItem="0" numFmtId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8D48D-BAF6-49CD-9C28-A37F1F509756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8">
    <pivotField showAll="0"/>
    <pivotField showAll="0"/>
    <pivotField showAll="0"/>
    <pivotField showAll="0"/>
    <pivotField dataField="1" numFmtId="1" showAll="0"/>
    <pivotField numFmtId="1" showAll="0"/>
    <pivotField axis="axisRow" showAll="0">
      <items count="3">
        <item x="1"/>
        <item x="0"/>
        <item t="default"/>
      </items>
    </pivotField>
    <pivotField numFmtI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Votes" fld="4" baseField="0" baseItem="0" numFmtId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F2796-2257-4BB7-9F60-3BB305281430}" name="Table1" displayName="Table1" ref="A1:H101" totalsRowShown="0">
  <autoFilter ref="A1:H101" xr:uid="{D0CF2796-2257-4BB7-9F60-3BB305281430}"/>
  <tableColumns count="8">
    <tableColumn id="1" xr3:uid="{297081E9-072E-4550-AFFD-B55CF5A7562D}" name="Constituency"/>
    <tableColumn id="2" xr3:uid="{A2F45F0A-4A30-4053-9E17-781A28F24E00}" name="State"/>
    <tableColumn id="3" xr3:uid="{B918172D-AB7F-4C21-82C3-9F006F0FD261}" name="Party"/>
    <tableColumn id="4" xr3:uid="{FB2FBD62-C5E8-4F7E-9B7A-81C542C2F807}" name="Candidate"/>
    <tableColumn id="5" xr3:uid="{1DEF2179-44C7-450E-9EF6-1109AF9505B6}" name="Votes" dataDxfId="9"/>
    <tableColumn id="6" xr3:uid="{0FEA9151-B031-4278-9F4F-C1C5B639DF30}" name="Total_Votes" dataDxfId="8"/>
    <tableColumn id="7" xr3:uid="{7DFD0D92-D958-495B-BD19-E9F8CEB1B1FB}" name="Gender"/>
    <tableColumn id="8" xr3:uid="{E7D7399A-55A7-4E51-91F4-F17D2CC14DBD}" name="Age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68C5A5-68CE-4F81-B0F0-E4431319CD24}" name="Table3" displayName="Table3" ref="I1:I101" totalsRowShown="0">
  <autoFilter ref="I1:I101" xr:uid="{A668C5A5-68CE-4F81-B0F0-E4431319CD24}"/>
  <tableColumns count="1">
    <tableColumn id="1" xr3:uid="{B22D0574-0944-4476-BC4F-28681B57B6BD}" name="Validation" dataDxfId="6">
      <calculatedColumnFormula>IF(F2=F3,"Correct","Check")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8A931D-9F51-4A8C-A709-21F59A43F8D5}" name="Table4" displayName="Table4" ref="J1:J101" totalsRowShown="0">
  <autoFilter ref="J1:J101" xr:uid="{F88A931D-9F51-4A8C-A709-21F59A43F8D5}"/>
  <tableColumns count="1">
    <tableColumn id="1" xr3:uid="{93C855E1-0F90-4CC9-A04F-C2C17DB70CD2}" name="Vote %" dataDxfId="5">
      <calculatedColumnFormula>(E2/F2)*100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D172D0-5489-455E-AC73-ED7BD1AE8905}" name="Table5" displayName="Table5" ref="K1:K101" totalsRowShown="0">
  <autoFilter ref="K1:K101" xr:uid="{E1D172D0-5489-455E-AC73-ED7BD1AE8905}"/>
  <tableColumns count="1">
    <tableColumn id="1" xr3:uid="{8F9A8828-E8C2-461F-B312-8EE3C27CB23B}" name="Max votes" dataDxfId="4">
      <calculatedColumnFormula>_xlfn.MAXIFS(E:E,A:A,A2)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7FCEDF-5BE0-4D81-8650-1A4B3AC017E5}" name="Table6" displayName="Table6" ref="L1:L101" totalsRowShown="0">
  <autoFilter ref="L1:L101" xr:uid="{EA7FCEDF-5BE0-4D81-8650-1A4B3AC017E5}"/>
  <tableColumns count="1">
    <tableColumn id="1" xr3:uid="{DC6DAAE5-73D1-417A-B876-4DA6535BDFD6}" name="Winner" dataDxfId="3">
      <calculatedColumnFormula>IF(E2=K2,"Winner","")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5E47D87-8845-4C48-913B-4E50E2EB5C6C}" name="Table12" displayName="Table12" ref="A23:L116" totalsRowShown="0">
  <autoFilter ref="A23:L116" xr:uid="{45E47D87-8845-4C48-913B-4E50E2EB5C6C}">
    <filterColumn colId="11">
      <customFilters>
        <customFilter operator="notEqual" val=" "/>
      </customFilters>
    </filterColumn>
  </autoFilter>
  <tableColumns count="12">
    <tableColumn id="1" xr3:uid="{040AC6D5-B56C-4F0A-930A-7944FD3696A6}" name="Constituency"/>
    <tableColumn id="2" xr3:uid="{FDE91245-DF39-4419-A37D-3D5BF276A53C}" name="State"/>
    <tableColumn id="3" xr3:uid="{462DF21A-1552-4167-8F1F-12F05C27C0D7}" name="Party"/>
    <tableColumn id="4" xr3:uid="{E7F0AE88-722A-48C7-BC6B-D11D1E8EE7DB}" name="Candidate"/>
    <tableColumn id="5" xr3:uid="{1835D374-D17C-4187-9D77-BEDF3EA11FA4}" name="Votes" dataDxfId="2"/>
    <tableColumn id="6" xr3:uid="{3669D166-542F-4D98-900A-98EC4867D9C1}" name="Total_Votes" dataDxfId="1"/>
    <tableColumn id="7" xr3:uid="{0998D5B0-D05C-454D-A958-42B9AB089AD8}" name="Gender"/>
    <tableColumn id="8" xr3:uid="{2E29860C-55E7-465C-B378-D3A08662344B}" name="Age" dataDxfId="0"/>
    <tableColumn id="9" xr3:uid="{FB41D707-0313-4DC5-9BC6-3B0725BFDFD2}" name="Validation">
      <calculatedColumnFormula>IF(F24=F25,"Correct","Check")</calculatedColumnFormula>
    </tableColumn>
    <tableColumn id="10" xr3:uid="{4E7F023C-EF1C-4156-9E1C-D35AA6753830}" name="Vote %">
      <calculatedColumnFormula>(E24/F24)*100</calculatedColumnFormula>
    </tableColumn>
    <tableColumn id="11" xr3:uid="{81BC43F5-E404-4AA3-83B1-C7523FB98587}" name="Max votes">
      <calculatedColumnFormula>_xlfn.MAXIFS(E:E,A:A,A24)</calculatedColumnFormula>
    </tableColumn>
    <tableColumn id="12" xr3:uid="{3B03ACC7-9A41-4735-837B-2AD5B9A8D7FD}" name="Winner">
      <calculatedColumnFormula>IF(E24=K24,"Winner","")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F0C1-69FC-4513-A0ED-36557A22E677}">
  <dimension ref="A3:B8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2.21875" bestFit="1" customWidth="1"/>
  </cols>
  <sheetData>
    <row r="3" spans="1:2" x14ac:dyDescent="0.3">
      <c r="A3" s="2" t="s">
        <v>134</v>
      </c>
      <c r="B3" t="s">
        <v>136</v>
      </c>
    </row>
    <row r="4" spans="1:2" x14ac:dyDescent="0.3">
      <c r="A4" s="3" t="s">
        <v>10</v>
      </c>
      <c r="B4" s="1">
        <v>1338541</v>
      </c>
    </row>
    <row r="5" spans="1:2" x14ac:dyDescent="0.3">
      <c r="A5" s="3" t="s">
        <v>18</v>
      </c>
      <c r="B5" s="1">
        <v>1356856</v>
      </c>
    </row>
    <row r="6" spans="1:2" x14ac:dyDescent="0.3">
      <c r="A6" s="3" t="s">
        <v>16</v>
      </c>
      <c r="B6" s="1">
        <v>1177778</v>
      </c>
    </row>
    <row r="7" spans="1:2" x14ac:dyDescent="0.3">
      <c r="A7" s="3" t="s">
        <v>13</v>
      </c>
      <c r="B7" s="1">
        <v>1288071</v>
      </c>
    </row>
    <row r="8" spans="1:2" x14ac:dyDescent="0.3">
      <c r="A8" s="3" t="s">
        <v>135</v>
      </c>
      <c r="B8" s="1">
        <v>5161246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15BE-E8FB-4175-8753-6951DE0C1A9E}">
  <dimension ref="A3:G14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2.21875" bestFit="1" customWidth="1"/>
  </cols>
  <sheetData>
    <row r="3" spans="1:7" x14ac:dyDescent="0.3">
      <c r="A3" s="2" t="s">
        <v>134</v>
      </c>
      <c r="B3" t="s">
        <v>136</v>
      </c>
    </row>
    <row r="4" spans="1:7" x14ac:dyDescent="0.3">
      <c r="A4" s="3" t="s">
        <v>15</v>
      </c>
      <c r="B4" s="1">
        <v>2609244</v>
      </c>
    </row>
    <row r="5" spans="1:7" x14ac:dyDescent="0.3">
      <c r="A5" s="3" t="s">
        <v>12</v>
      </c>
      <c r="B5" s="1">
        <v>2552002</v>
      </c>
    </row>
    <row r="6" spans="1:7" x14ac:dyDescent="0.3">
      <c r="A6" s="3" t="s">
        <v>135</v>
      </c>
      <c r="B6" s="1">
        <v>5161246</v>
      </c>
    </row>
    <row r="11" spans="1:7" x14ac:dyDescent="0.3">
      <c r="A11" s="6" t="s">
        <v>137</v>
      </c>
      <c r="B11" s="6"/>
      <c r="C11" s="6"/>
      <c r="D11" s="6"/>
      <c r="E11" s="6"/>
      <c r="F11" s="6"/>
      <c r="G11" s="4"/>
    </row>
    <row r="12" spans="1:7" x14ac:dyDescent="0.3">
      <c r="A12" s="6"/>
      <c r="B12" s="6"/>
      <c r="C12" s="6"/>
      <c r="D12" s="6"/>
      <c r="E12" s="6"/>
      <c r="F12" s="6"/>
      <c r="G12" s="4"/>
    </row>
    <row r="13" spans="1:7" x14ac:dyDescent="0.3">
      <c r="A13" s="6"/>
      <c r="B13" s="6"/>
      <c r="C13" s="6"/>
      <c r="D13" s="6"/>
      <c r="E13" s="6"/>
      <c r="F13" s="6"/>
      <c r="G13" s="4"/>
    </row>
    <row r="14" spans="1:7" x14ac:dyDescent="0.3">
      <c r="A14" s="4"/>
      <c r="B14" s="4"/>
      <c r="C14" s="4"/>
      <c r="D14" s="4"/>
      <c r="E14" s="4"/>
      <c r="F14" s="4"/>
      <c r="G14" s="4"/>
    </row>
  </sheetData>
  <mergeCells count="1">
    <mergeCell ref="A11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O9" sqref="O9"/>
    </sheetView>
  </sheetViews>
  <sheetFormatPr defaultRowHeight="14.4" x14ac:dyDescent="0.3"/>
  <cols>
    <col min="1" max="1" width="13.88671875" customWidth="1"/>
    <col min="4" max="4" width="11.44140625" customWidth="1"/>
    <col min="5" max="5" width="8.88671875" style="1"/>
    <col min="6" max="6" width="12.88671875" style="1" customWidth="1"/>
    <col min="7" max="7" width="9" customWidth="1"/>
    <col min="8" max="8" width="8.88671875" style="1"/>
    <col min="9" max="12" width="10.44140625" customWidth="1"/>
    <col min="14" max="14" width="21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130</v>
      </c>
      <c r="J1" t="s">
        <v>131</v>
      </c>
      <c r="K1" t="s">
        <v>132</v>
      </c>
      <c r="L1" t="s">
        <v>133</v>
      </c>
    </row>
    <row r="2" spans="1:15" x14ac:dyDescent="0.3">
      <c r="A2" t="s">
        <v>8</v>
      </c>
      <c r="B2" t="s">
        <v>9</v>
      </c>
      <c r="C2" t="s">
        <v>10</v>
      </c>
      <c r="D2" t="s">
        <v>11</v>
      </c>
      <c r="E2" s="1">
        <v>45952</v>
      </c>
      <c r="F2" s="1">
        <v>120000</v>
      </c>
      <c r="G2" t="s">
        <v>12</v>
      </c>
      <c r="H2" s="1">
        <v>31</v>
      </c>
      <c r="I2" t="str">
        <f t="shared" ref="I2:I65" si="0">IF(F2=F3,"Correct","Check")</f>
        <v>Correct</v>
      </c>
      <c r="J2">
        <f t="shared" ref="J2:J33" si="1">(E2/F2)*100</f>
        <v>38.293333333333337</v>
      </c>
      <c r="K2">
        <f>_xlfn.MAXIFS(E:E,A:A,A2)</f>
        <v>49509</v>
      </c>
      <c r="L2" t="str">
        <f t="shared" ref="L2:L65" si="2">IF(E2=K2,"Winner","")</f>
        <v/>
      </c>
      <c r="N2" t="s">
        <v>138</v>
      </c>
      <c r="O2">
        <f>AVERAGEIF(L:L,"Winner",H:H)</f>
        <v>46.3</v>
      </c>
    </row>
    <row r="3" spans="1:15" x14ac:dyDescent="0.3">
      <c r="A3" t="s">
        <v>8</v>
      </c>
      <c r="B3" t="s">
        <v>9</v>
      </c>
      <c r="C3" t="s">
        <v>13</v>
      </c>
      <c r="D3" t="s">
        <v>14</v>
      </c>
      <c r="E3" s="1">
        <v>49299</v>
      </c>
      <c r="F3" s="1">
        <v>120000</v>
      </c>
      <c r="G3" t="s">
        <v>15</v>
      </c>
      <c r="H3" s="1">
        <v>45</v>
      </c>
      <c r="I3" t="str">
        <f t="shared" si="0"/>
        <v>Correct</v>
      </c>
      <c r="J3">
        <f t="shared" si="1"/>
        <v>41.082499999999996</v>
      </c>
      <c r="K3">
        <f t="shared" ref="K3:K66" si="3">_xlfn.MAXIFS(E:E,A:A,A3)</f>
        <v>49509</v>
      </c>
      <c r="L3" t="str">
        <f t="shared" si="2"/>
        <v/>
      </c>
      <c r="N3" t="s">
        <v>139</v>
      </c>
      <c r="O3" s="1">
        <f>MIN(H:H)</f>
        <v>30</v>
      </c>
    </row>
    <row r="4" spans="1:15" x14ac:dyDescent="0.3">
      <c r="A4" t="s">
        <v>8</v>
      </c>
      <c r="B4" t="s">
        <v>9</v>
      </c>
      <c r="C4" t="s">
        <v>16</v>
      </c>
      <c r="D4" t="s">
        <v>17</v>
      </c>
      <c r="E4" s="1">
        <v>32314</v>
      </c>
      <c r="F4" s="1">
        <v>120000</v>
      </c>
      <c r="G4" t="s">
        <v>12</v>
      </c>
      <c r="H4" s="1">
        <v>36</v>
      </c>
      <c r="I4" t="str">
        <f t="shared" si="0"/>
        <v>Correct</v>
      </c>
      <c r="J4">
        <f t="shared" si="1"/>
        <v>26.928333333333331</v>
      </c>
      <c r="K4">
        <f t="shared" si="3"/>
        <v>49509</v>
      </c>
      <c r="L4" t="str">
        <f t="shared" si="2"/>
        <v/>
      </c>
      <c r="N4" t="s">
        <v>140</v>
      </c>
      <c r="O4" s="1">
        <f>MAX(H:H)</f>
        <v>65</v>
      </c>
    </row>
    <row r="5" spans="1:15" x14ac:dyDescent="0.3">
      <c r="A5" t="s">
        <v>8</v>
      </c>
      <c r="B5" t="s">
        <v>9</v>
      </c>
      <c r="C5" t="s">
        <v>18</v>
      </c>
      <c r="D5" t="s">
        <v>19</v>
      </c>
      <c r="E5" s="1">
        <v>47174</v>
      </c>
      <c r="F5" s="1">
        <v>120000</v>
      </c>
      <c r="G5" t="s">
        <v>12</v>
      </c>
      <c r="H5" s="1">
        <v>57</v>
      </c>
      <c r="I5" t="str">
        <f t="shared" si="0"/>
        <v>Check</v>
      </c>
      <c r="J5">
        <f t="shared" si="1"/>
        <v>39.311666666666667</v>
      </c>
      <c r="K5">
        <f t="shared" si="3"/>
        <v>49509</v>
      </c>
      <c r="L5" t="str">
        <f t="shared" si="2"/>
        <v/>
      </c>
    </row>
    <row r="6" spans="1:15" x14ac:dyDescent="0.3">
      <c r="A6" t="s">
        <v>20</v>
      </c>
      <c r="B6" t="s">
        <v>9</v>
      </c>
      <c r="C6" t="s">
        <v>10</v>
      </c>
      <c r="D6" t="s">
        <v>21</v>
      </c>
      <c r="E6" s="1">
        <v>27082</v>
      </c>
      <c r="F6" s="1">
        <v>150000</v>
      </c>
      <c r="G6" t="s">
        <v>12</v>
      </c>
      <c r="H6" s="1">
        <v>35</v>
      </c>
      <c r="I6" t="str">
        <f t="shared" si="0"/>
        <v>Correct</v>
      </c>
      <c r="J6">
        <f t="shared" si="1"/>
        <v>18.054666666666666</v>
      </c>
      <c r="K6">
        <f t="shared" si="3"/>
        <v>64453</v>
      </c>
      <c r="L6" t="str">
        <f t="shared" si="2"/>
        <v/>
      </c>
    </row>
    <row r="7" spans="1:15" x14ac:dyDescent="0.3">
      <c r="A7" t="s">
        <v>20</v>
      </c>
      <c r="B7" t="s">
        <v>9</v>
      </c>
      <c r="C7" t="s">
        <v>13</v>
      </c>
      <c r="D7" t="s">
        <v>22</v>
      </c>
      <c r="E7" s="1">
        <v>39328</v>
      </c>
      <c r="F7" s="1">
        <v>150000</v>
      </c>
      <c r="G7" t="s">
        <v>12</v>
      </c>
      <c r="H7" s="1">
        <v>62</v>
      </c>
      <c r="I7" t="str">
        <f t="shared" si="0"/>
        <v>Correct</v>
      </c>
      <c r="J7">
        <f t="shared" si="1"/>
        <v>26.218666666666667</v>
      </c>
      <c r="K7">
        <f t="shared" si="3"/>
        <v>64453</v>
      </c>
      <c r="L7" t="str">
        <f t="shared" si="2"/>
        <v/>
      </c>
      <c r="N7" t="s">
        <v>142</v>
      </c>
      <c r="O7">
        <f>_xlfn.MAXIFS(E:E,A:A,A2)</f>
        <v>49509</v>
      </c>
    </row>
    <row r="8" spans="1:15" x14ac:dyDescent="0.3">
      <c r="A8" t="s">
        <v>20</v>
      </c>
      <c r="B8" t="s">
        <v>9</v>
      </c>
      <c r="C8" t="s">
        <v>16</v>
      </c>
      <c r="D8" t="s">
        <v>23</v>
      </c>
      <c r="E8" s="1">
        <v>64453</v>
      </c>
      <c r="F8" s="1">
        <v>150000</v>
      </c>
      <c r="G8" t="s">
        <v>12</v>
      </c>
      <c r="H8" s="1">
        <v>65</v>
      </c>
      <c r="I8" t="str">
        <f t="shared" si="0"/>
        <v>Correct</v>
      </c>
      <c r="J8">
        <f t="shared" si="1"/>
        <v>42.968666666666664</v>
      </c>
      <c r="K8">
        <f t="shared" si="3"/>
        <v>64453</v>
      </c>
      <c r="L8" t="str">
        <f t="shared" si="2"/>
        <v>Winner</v>
      </c>
      <c r="N8" t="s">
        <v>143</v>
      </c>
      <c r="O8" cm="1">
        <f t="array" ref="O8">LARGE(_xlfn._xlws.FILTER(E:E,A:A=A2),2)</f>
        <v>49299</v>
      </c>
    </row>
    <row r="9" spans="1:15" x14ac:dyDescent="0.3">
      <c r="A9" t="s">
        <v>20</v>
      </c>
      <c r="B9" t="s">
        <v>9</v>
      </c>
      <c r="C9" t="s">
        <v>18</v>
      </c>
      <c r="D9" t="s">
        <v>24</v>
      </c>
      <c r="E9" s="1">
        <v>38031</v>
      </c>
      <c r="F9" s="1">
        <v>150000</v>
      </c>
      <c r="G9" t="s">
        <v>15</v>
      </c>
      <c r="H9" s="1">
        <v>44</v>
      </c>
      <c r="I9" t="str">
        <f t="shared" si="0"/>
        <v>Check</v>
      </c>
      <c r="J9">
        <f t="shared" si="1"/>
        <v>25.353999999999999</v>
      </c>
      <c r="K9">
        <f t="shared" si="3"/>
        <v>64453</v>
      </c>
      <c r="L9" t="str">
        <f t="shared" si="2"/>
        <v/>
      </c>
      <c r="N9" t="s">
        <v>144</v>
      </c>
      <c r="O9">
        <f>+O7-O8</f>
        <v>210</v>
      </c>
    </row>
    <row r="10" spans="1:15" x14ac:dyDescent="0.3">
      <c r="A10" t="s">
        <v>25</v>
      </c>
      <c r="B10" t="s">
        <v>9</v>
      </c>
      <c r="C10" t="s">
        <v>10</v>
      </c>
      <c r="D10" t="s">
        <v>26</v>
      </c>
      <c r="E10" s="1">
        <v>39719</v>
      </c>
      <c r="F10" s="1">
        <v>110000</v>
      </c>
      <c r="G10" t="s">
        <v>15</v>
      </c>
      <c r="H10" s="1">
        <v>30</v>
      </c>
      <c r="I10" t="str">
        <f t="shared" si="0"/>
        <v>Correct</v>
      </c>
      <c r="J10">
        <f t="shared" si="1"/>
        <v>36.108181818181819</v>
      </c>
      <c r="K10">
        <f t="shared" si="3"/>
        <v>45489</v>
      </c>
      <c r="L10" t="str">
        <f t="shared" si="2"/>
        <v/>
      </c>
    </row>
    <row r="11" spans="1:15" x14ac:dyDescent="0.3">
      <c r="A11" t="s">
        <v>25</v>
      </c>
      <c r="B11" t="s">
        <v>9</v>
      </c>
      <c r="C11" t="s">
        <v>13</v>
      </c>
      <c r="D11" t="s">
        <v>27</v>
      </c>
      <c r="E11" s="1">
        <v>30231</v>
      </c>
      <c r="F11" s="1">
        <v>110000</v>
      </c>
      <c r="G11" t="s">
        <v>15</v>
      </c>
      <c r="H11" s="1">
        <v>51</v>
      </c>
      <c r="I11" t="str">
        <f t="shared" si="0"/>
        <v>Correct</v>
      </c>
      <c r="J11">
        <f t="shared" si="1"/>
        <v>27.482727272727274</v>
      </c>
      <c r="K11">
        <f t="shared" si="3"/>
        <v>45489</v>
      </c>
      <c r="L11" t="str">
        <f t="shared" si="2"/>
        <v/>
      </c>
    </row>
    <row r="12" spans="1:15" x14ac:dyDescent="0.3">
      <c r="A12" t="s">
        <v>25</v>
      </c>
      <c r="B12" t="s">
        <v>9</v>
      </c>
      <c r="C12" t="s">
        <v>16</v>
      </c>
      <c r="D12" t="s">
        <v>28</v>
      </c>
      <c r="E12" s="1">
        <v>34105</v>
      </c>
      <c r="F12" s="1">
        <v>110000</v>
      </c>
      <c r="G12" t="s">
        <v>12</v>
      </c>
      <c r="H12" s="1">
        <v>43</v>
      </c>
      <c r="I12" t="str">
        <f t="shared" si="0"/>
        <v>Correct</v>
      </c>
      <c r="J12">
        <f t="shared" si="1"/>
        <v>31.004545454545458</v>
      </c>
      <c r="K12">
        <f t="shared" si="3"/>
        <v>45489</v>
      </c>
      <c r="L12" t="str">
        <f t="shared" si="2"/>
        <v/>
      </c>
    </row>
    <row r="13" spans="1:15" x14ac:dyDescent="0.3">
      <c r="A13" t="s">
        <v>25</v>
      </c>
      <c r="B13" t="s">
        <v>9</v>
      </c>
      <c r="C13" t="s">
        <v>18</v>
      </c>
      <c r="D13" t="s">
        <v>29</v>
      </c>
      <c r="E13" s="1">
        <v>36029</v>
      </c>
      <c r="F13" s="1">
        <v>110000</v>
      </c>
      <c r="G13" t="s">
        <v>12</v>
      </c>
      <c r="H13" s="1">
        <v>35</v>
      </c>
      <c r="I13" t="str">
        <f t="shared" si="0"/>
        <v>Check</v>
      </c>
      <c r="J13">
        <f t="shared" si="1"/>
        <v>32.75363636363636</v>
      </c>
      <c r="K13">
        <f t="shared" si="3"/>
        <v>45489</v>
      </c>
      <c r="L13" t="str">
        <f t="shared" si="2"/>
        <v/>
      </c>
    </row>
    <row r="14" spans="1:15" x14ac:dyDescent="0.3">
      <c r="A14" t="s">
        <v>30</v>
      </c>
      <c r="B14" t="s">
        <v>9</v>
      </c>
      <c r="C14" t="s">
        <v>10</v>
      </c>
      <c r="D14" t="s">
        <v>31</v>
      </c>
      <c r="E14" s="1">
        <v>49898</v>
      </c>
      <c r="F14" s="1">
        <v>180000</v>
      </c>
      <c r="G14" t="s">
        <v>12</v>
      </c>
      <c r="H14" s="1">
        <v>52</v>
      </c>
      <c r="I14" t="str">
        <f t="shared" si="0"/>
        <v>Correct</v>
      </c>
      <c r="J14">
        <f t="shared" si="1"/>
        <v>27.721111111111114</v>
      </c>
      <c r="K14">
        <f t="shared" si="3"/>
        <v>80541</v>
      </c>
      <c r="L14" t="str">
        <f t="shared" si="2"/>
        <v/>
      </c>
    </row>
    <row r="15" spans="1:15" x14ac:dyDescent="0.3">
      <c r="A15" t="s">
        <v>30</v>
      </c>
      <c r="B15" t="s">
        <v>9</v>
      </c>
      <c r="C15" t="s">
        <v>13</v>
      </c>
      <c r="D15" t="s">
        <v>32</v>
      </c>
      <c r="E15" s="1">
        <v>80541</v>
      </c>
      <c r="F15" s="1">
        <v>180000</v>
      </c>
      <c r="G15" t="s">
        <v>15</v>
      </c>
      <c r="H15" s="1">
        <v>46</v>
      </c>
      <c r="I15" t="str">
        <f t="shared" si="0"/>
        <v>Correct</v>
      </c>
      <c r="J15">
        <f t="shared" si="1"/>
        <v>44.745000000000005</v>
      </c>
      <c r="K15">
        <f t="shared" si="3"/>
        <v>80541</v>
      </c>
      <c r="L15" t="str">
        <f t="shared" si="2"/>
        <v>Winner</v>
      </c>
    </row>
    <row r="16" spans="1:15" x14ac:dyDescent="0.3">
      <c r="A16" t="s">
        <v>30</v>
      </c>
      <c r="B16" t="s">
        <v>9</v>
      </c>
      <c r="C16" t="s">
        <v>16</v>
      </c>
      <c r="D16" t="s">
        <v>33</v>
      </c>
      <c r="E16" s="1">
        <v>77895</v>
      </c>
      <c r="F16" s="1">
        <v>180000</v>
      </c>
      <c r="G16" t="s">
        <v>12</v>
      </c>
      <c r="H16" s="1">
        <v>59</v>
      </c>
      <c r="I16" t="str">
        <f t="shared" si="0"/>
        <v>Correct</v>
      </c>
      <c r="J16">
        <f t="shared" si="1"/>
        <v>43.275000000000006</v>
      </c>
      <c r="K16">
        <f t="shared" si="3"/>
        <v>80541</v>
      </c>
      <c r="L16" t="str">
        <f t="shared" si="2"/>
        <v/>
      </c>
    </row>
    <row r="17" spans="1:12" x14ac:dyDescent="0.3">
      <c r="A17" t="s">
        <v>30</v>
      </c>
      <c r="B17" t="s">
        <v>9</v>
      </c>
      <c r="C17" t="s">
        <v>18</v>
      </c>
      <c r="D17" t="s">
        <v>34</v>
      </c>
      <c r="E17" s="1">
        <v>60142</v>
      </c>
      <c r="F17" s="1">
        <v>180000</v>
      </c>
      <c r="G17" t="s">
        <v>12</v>
      </c>
      <c r="H17" s="1">
        <v>54</v>
      </c>
      <c r="I17" t="str">
        <f t="shared" si="0"/>
        <v>Check</v>
      </c>
      <c r="J17">
        <f t="shared" si="1"/>
        <v>33.412222222222219</v>
      </c>
      <c r="K17">
        <f t="shared" si="3"/>
        <v>80541</v>
      </c>
      <c r="L17" t="str">
        <f t="shared" si="2"/>
        <v/>
      </c>
    </row>
    <row r="18" spans="1:12" x14ac:dyDescent="0.3">
      <c r="A18" t="s">
        <v>35</v>
      </c>
      <c r="B18" t="s">
        <v>36</v>
      </c>
      <c r="C18" t="s">
        <v>10</v>
      </c>
      <c r="D18" t="s">
        <v>37</v>
      </c>
      <c r="E18" s="1">
        <v>30164</v>
      </c>
      <c r="F18" s="1">
        <v>200000</v>
      </c>
      <c r="G18" t="s">
        <v>15</v>
      </c>
      <c r="H18" s="1">
        <v>53</v>
      </c>
      <c r="I18" t="str">
        <f t="shared" si="0"/>
        <v>Correct</v>
      </c>
      <c r="J18">
        <f t="shared" si="1"/>
        <v>15.082000000000001</v>
      </c>
      <c r="K18">
        <f t="shared" si="3"/>
        <v>89567</v>
      </c>
      <c r="L18" t="str">
        <f t="shared" si="2"/>
        <v/>
      </c>
    </row>
    <row r="19" spans="1:12" x14ac:dyDescent="0.3">
      <c r="A19" t="s">
        <v>35</v>
      </c>
      <c r="B19" t="s">
        <v>36</v>
      </c>
      <c r="C19" t="s">
        <v>13</v>
      </c>
      <c r="D19" t="s">
        <v>38</v>
      </c>
      <c r="E19" s="1">
        <v>62837</v>
      </c>
      <c r="F19" s="1">
        <v>200000</v>
      </c>
      <c r="G19" t="s">
        <v>12</v>
      </c>
      <c r="H19" s="1">
        <v>34</v>
      </c>
      <c r="I19" t="str">
        <f t="shared" si="0"/>
        <v>Correct</v>
      </c>
      <c r="J19">
        <f t="shared" si="1"/>
        <v>31.418499999999998</v>
      </c>
      <c r="K19">
        <f t="shared" si="3"/>
        <v>89567</v>
      </c>
      <c r="L19" t="str">
        <f t="shared" si="2"/>
        <v/>
      </c>
    </row>
    <row r="20" spans="1:12" x14ac:dyDescent="0.3">
      <c r="A20" t="s">
        <v>35</v>
      </c>
      <c r="B20" t="s">
        <v>36</v>
      </c>
      <c r="C20" t="s">
        <v>16</v>
      </c>
      <c r="D20" t="s">
        <v>39</v>
      </c>
      <c r="E20" s="1">
        <v>28003</v>
      </c>
      <c r="F20" s="1">
        <v>200000</v>
      </c>
      <c r="G20" t="s">
        <v>12</v>
      </c>
      <c r="H20" s="1">
        <v>48</v>
      </c>
      <c r="I20" t="str">
        <f t="shared" si="0"/>
        <v>Correct</v>
      </c>
      <c r="J20">
        <f t="shared" si="1"/>
        <v>14.0015</v>
      </c>
      <c r="K20">
        <f t="shared" si="3"/>
        <v>89567</v>
      </c>
      <c r="L20" t="str">
        <f t="shared" si="2"/>
        <v/>
      </c>
    </row>
    <row r="21" spans="1:12" x14ac:dyDescent="0.3">
      <c r="A21" t="s">
        <v>35</v>
      </c>
      <c r="B21" t="s">
        <v>36</v>
      </c>
      <c r="C21" t="s">
        <v>18</v>
      </c>
      <c r="D21" t="s">
        <v>40</v>
      </c>
      <c r="E21" s="1">
        <v>89567</v>
      </c>
      <c r="F21" s="1">
        <v>200000</v>
      </c>
      <c r="G21" t="s">
        <v>12</v>
      </c>
      <c r="H21" s="1">
        <v>44</v>
      </c>
      <c r="I21" t="str">
        <f t="shared" si="0"/>
        <v>Check</v>
      </c>
      <c r="J21">
        <f t="shared" si="1"/>
        <v>44.783499999999997</v>
      </c>
      <c r="K21">
        <f t="shared" si="3"/>
        <v>89567</v>
      </c>
      <c r="L21" t="str">
        <f t="shared" si="2"/>
        <v>Winner</v>
      </c>
    </row>
    <row r="22" spans="1:12" x14ac:dyDescent="0.3">
      <c r="A22" t="s">
        <v>41</v>
      </c>
      <c r="B22" t="s">
        <v>42</v>
      </c>
      <c r="C22" t="s">
        <v>10</v>
      </c>
      <c r="D22" t="s">
        <v>43</v>
      </c>
      <c r="E22" s="1">
        <v>31619</v>
      </c>
      <c r="F22" s="1">
        <v>175000</v>
      </c>
      <c r="G22" t="s">
        <v>15</v>
      </c>
      <c r="H22" s="1">
        <v>47</v>
      </c>
      <c r="I22" t="str">
        <f t="shared" si="0"/>
        <v>Correct</v>
      </c>
      <c r="J22">
        <f t="shared" si="1"/>
        <v>18.068000000000001</v>
      </c>
      <c r="K22">
        <f t="shared" si="3"/>
        <v>77575</v>
      </c>
      <c r="L22" t="str">
        <f t="shared" si="2"/>
        <v/>
      </c>
    </row>
    <row r="23" spans="1:12" x14ac:dyDescent="0.3">
      <c r="A23" t="s">
        <v>41</v>
      </c>
      <c r="B23" t="s">
        <v>42</v>
      </c>
      <c r="C23" t="s">
        <v>13</v>
      </c>
      <c r="D23" t="s">
        <v>44</v>
      </c>
      <c r="E23" s="1">
        <v>54714</v>
      </c>
      <c r="F23" s="1">
        <v>175000</v>
      </c>
      <c r="G23" t="s">
        <v>15</v>
      </c>
      <c r="H23" s="1">
        <v>40</v>
      </c>
      <c r="I23" t="str">
        <f t="shared" si="0"/>
        <v>Correct</v>
      </c>
      <c r="J23">
        <f t="shared" si="1"/>
        <v>31.265142857142859</v>
      </c>
      <c r="K23">
        <f t="shared" si="3"/>
        <v>77575</v>
      </c>
      <c r="L23" t="str">
        <f t="shared" si="2"/>
        <v/>
      </c>
    </row>
    <row r="24" spans="1:12" x14ac:dyDescent="0.3">
      <c r="A24" t="s">
        <v>41</v>
      </c>
      <c r="B24" t="s">
        <v>42</v>
      </c>
      <c r="C24" t="s">
        <v>16</v>
      </c>
      <c r="D24" t="s">
        <v>45</v>
      </c>
      <c r="E24" s="1">
        <v>49260</v>
      </c>
      <c r="F24" s="1">
        <v>175000</v>
      </c>
      <c r="G24" t="s">
        <v>15</v>
      </c>
      <c r="H24" s="1">
        <v>43</v>
      </c>
      <c r="I24" t="str">
        <f t="shared" si="0"/>
        <v>Correct</v>
      </c>
      <c r="J24">
        <f t="shared" si="1"/>
        <v>28.148571428571429</v>
      </c>
      <c r="K24">
        <f t="shared" si="3"/>
        <v>77575</v>
      </c>
      <c r="L24" t="str">
        <f t="shared" si="2"/>
        <v/>
      </c>
    </row>
    <row r="25" spans="1:12" x14ac:dyDescent="0.3">
      <c r="A25" t="s">
        <v>41</v>
      </c>
      <c r="B25" t="s">
        <v>42</v>
      </c>
      <c r="C25" t="s">
        <v>18</v>
      </c>
      <c r="D25" t="s">
        <v>46</v>
      </c>
      <c r="E25" s="1">
        <v>68920</v>
      </c>
      <c r="F25" s="1">
        <v>175000</v>
      </c>
      <c r="G25" t="s">
        <v>15</v>
      </c>
      <c r="H25" s="1">
        <v>34</v>
      </c>
      <c r="I25" t="str">
        <f t="shared" si="0"/>
        <v>Check</v>
      </c>
      <c r="J25">
        <f t="shared" si="1"/>
        <v>39.382857142857141</v>
      </c>
      <c r="K25">
        <f t="shared" si="3"/>
        <v>77575</v>
      </c>
      <c r="L25" t="str">
        <f t="shared" si="2"/>
        <v/>
      </c>
    </row>
    <row r="26" spans="1:12" x14ac:dyDescent="0.3">
      <c r="A26" t="s">
        <v>47</v>
      </c>
      <c r="B26" t="s">
        <v>48</v>
      </c>
      <c r="C26" t="s">
        <v>10</v>
      </c>
      <c r="D26" t="s">
        <v>49</v>
      </c>
      <c r="E26" s="1">
        <v>47431</v>
      </c>
      <c r="F26" s="1">
        <v>220000</v>
      </c>
      <c r="G26" t="s">
        <v>12</v>
      </c>
      <c r="H26" s="1">
        <v>40</v>
      </c>
      <c r="I26" t="str">
        <f t="shared" si="0"/>
        <v>Correct</v>
      </c>
      <c r="J26">
        <f t="shared" si="1"/>
        <v>21.559545454545454</v>
      </c>
      <c r="K26">
        <f t="shared" si="3"/>
        <v>98000</v>
      </c>
      <c r="L26" t="str">
        <f t="shared" si="2"/>
        <v/>
      </c>
    </row>
    <row r="27" spans="1:12" x14ac:dyDescent="0.3">
      <c r="A27" t="s">
        <v>47</v>
      </c>
      <c r="B27" t="s">
        <v>48</v>
      </c>
      <c r="C27" t="s">
        <v>13</v>
      </c>
      <c r="D27" t="s">
        <v>50</v>
      </c>
      <c r="E27" s="1">
        <v>85589</v>
      </c>
      <c r="F27" s="1">
        <v>220000</v>
      </c>
      <c r="G27" t="s">
        <v>15</v>
      </c>
      <c r="H27" s="1">
        <v>47</v>
      </c>
      <c r="I27" t="str">
        <f t="shared" si="0"/>
        <v>Correct</v>
      </c>
      <c r="J27">
        <f t="shared" si="1"/>
        <v>38.904090909090911</v>
      </c>
      <c r="K27">
        <f t="shared" si="3"/>
        <v>98000</v>
      </c>
      <c r="L27" t="str">
        <f t="shared" si="2"/>
        <v/>
      </c>
    </row>
    <row r="28" spans="1:12" x14ac:dyDescent="0.3">
      <c r="A28" t="s">
        <v>47</v>
      </c>
      <c r="B28" t="s">
        <v>48</v>
      </c>
      <c r="C28" t="s">
        <v>16</v>
      </c>
      <c r="D28" t="s">
        <v>51</v>
      </c>
      <c r="E28" s="1">
        <v>98000</v>
      </c>
      <c r="F28" s="1">
        <v>220000</v>
      </c>
      <c r="G28" t="s">
        <v>12</v>
      </c>
      <c r="H28" s="1">
        <v>50</v>
      </c>
      <c r="I28" t="str">
        <f t="shared" si="0"/>
        <v>Correct</v>
      </c>
      <c r="J28">
        <f t="shared" si="1"/>
        <v>44.545454545454547</v>
      </c>
      <c r="K28">
        <f t="shared" si="3"/>
        <v>98000</v>
      </c>
      <c r="L28" t="str">
        <f t="shared" si="2"/>
        <v>Winner</v>
      </c>
    </row>
    <row r="29" spans="1:12" x14ac:dyDescent="0.3">
      <c r="A29" t="s">
        <v>47</v>
      </c>
      <c r="B29" t="s">
        <v>48</v>
      </c>
      <c r="C29" t="s">
        <v>18</v>
      </c>
      <c r="D29" t="s">
        <v>52</v>
      </c>
      <c r="E29" s="1">
        <v>32331</v>
      </c>
      <c r="F29" s="1">
        <v>220000</v>
      </c>
      <c r="G29" t="s">
        <v>12</v>
      </c>
      <c r="H29" s="1">
        <v>32</v>
      </c>
      <c r="I29" t="str">
        <f t="shared" si="0"/>
        <v>Check</v>
      </c>
      <c r="J29">
        <f t="shared" si="1"/>
        <v>14.69590909090909</v>
      </c>
      <c r="K29">
        <f t="shared" si="3"/>
        <v>98000</v>
      </c>
      <c r="L29" t="str">
        <f t="shared" si="2"/>
        <v/>
      </c>
    </row>
    <row r="30" spans="1:12" x14ac:dyDescent="0.3">
      <c r="A30" t="s">
        <v>53</v>
      </c>
      <c r="B30" t="s">
        <v>48</v>
      </c>
      <c r="C30" t="s">
        <v>10</v>
      </c>
      <c r="D30" t="s">
        <v>54</v>
      </c>
      <c r="E30" s="1">
        <v>77759</v>
      </c>
      <c r="F30" s="1">
        <v>190000</v>
      </c>
      <c r="G30" t="s">
        <v>15</v>
      </c>
      <c r="H30" s="1">
        <v>55</v>
      </c>
      <c r="I30" t="str">
        <f t="shared" si="0"/>
        <v>Correct</v>
      </c>
      <c r="J30">
        <f t="shared" si="1"/>
        <v>40.925789473684212</v>
      </c>
      <c r="K30">
        <f t="shared" si="3"/>
        <v>84843</v>
      </c>
      <c r="L30" t="str">
        <f t="shared" si="2"/>
        <v/>
      </c>
    </row>
    <row r="31" spans="1:12" x14ac:dyDescent="0.3">
      <c r="A31" t="s">
        <v>53</v>
      </c>
      <c r="B31" t="s">
        <v>48</v>
      </c>
      <c r="C31" t="s">
        <v>13</v>
      </c>
      <c r="D31" t="s">
        <v>55</v>
      </c>
      <c r="E31" s="1">
        <v>42546</v>
      </c>
      <c r="F31" s="1">
        <v>190000</v>
      </c>
      <c r="G31" t="s">
        <v>12</v>
      </c>
      <c r="H31" s="1">
        <v>43</v>
      </c>
      <c r="I31" t="str">
        <f t="shared" si="0"/>
        <v>Correct</v>
      </c>
      <c r="J31">
        <f t="shared" si="1"/>
        <v>22.39263157894737</v>
      </c>
      <c r="K31">
        <f t="shared" si="3"/>
        <v>84843</v>
      </c>
      <c r="L31" t="str">
        <f t="shared" si="2"/>
        <v/>
      </c>
    </row>
    <row r="32" spans="1:12" x14ac:dyDescent="0.3">
      <c r="A32" t="s">
        <v>53</v>
      </c>
      <c r="B32" t="s">
        <v>48</v>
      </c>
      <c r="C32" t="s">
        <v>16</v>
      </c>
      <c r="D32" t="s">
        <v>56</v>
      </c>
      <c r="E32" s="1">
        <v>84843</v>
      </c>
      <c r="F32" s="1">
        <v>190000</v>
      </c>
      <c r="G32" t="s">
        <v>15</v>
      </c>
      <c r="H32" s="1">
        <v>43</v>
      </c>
      <c r="I32" t="str">
        <f t="shared" si="0"/>
        <v>Correct</v>
      </c>
      <c r="J32">
        <f t="shared" si="1"/>
        <v>44.654210526315794</v>
      </c>
      <c r="K32">
        <f t="shared" si="3"/>
        <v>84843</v>
      </c>
      <c r="L32" t="str">
        <f t="shared" si="2"/>
        <v>Winner</v>
      </c>
    </row>
    <row r="33" spans="1:12" x14ac:dyDescent="0.3">
      <c r="A33" t="s">
        <v>53</v>
      </c>
      <c r="B33" t="s">
        <v>48</v>
      </c>
      <c r="C33" t="s">
        <v>18</v>
      </c>
      <c r="D33" t="s">
        <v>57</v>
      </c>
      <c r="E33" s="1">
        <v>67954</v>
      </c>
      <c r="F33" s="1">
        <v>190000</v>
      </c>
      <c r="G33" t="s">
        <v>15</v>
      </c>
      <c r="H33" s="1">
        <v>55</v>
      </c>
      <c r="I33" t="str">
        <f t="shared" si="0"/>
        <v>Check</v>
      </c>
      <c r="J33">
        <f t="shared" si="1"/>
        <v>35.765263157894736</v>
      </c>
      <c r="K33">
        <f t="shared" si="3"/>
        <v>84843</v>
      </c>
      <c r="L33" t="str">
        <f t="shared" si="2"/>
        <v/>
      </c>
    </row>
    <row r="34" spans="1:12" x14ac:dyDescent="0.3">
      <c r="A34" t="s">
        <v>58</v>
      </c>
      <c r="B34" t="s">
        <v>59</v>
      </c>
      <c r="C34" t="s">
        <v>10</v>
      </c>
      <c r="D34" t="s">
        <v>60</v>
      </c>
      <c r="E34" s="1">
        <v>85142</v>
      </c>
      <c r="F34" s="1">
        <v>210000</v>
      </c>
      <c r="G34" t="s">
        <v>12</v>
      </c>
      <c r="H34" s="1">
        <v>46</v>
      </c>
      <c r="I34" t="str">
        <f t="shared" si="0"/>
        <v>Correct</v>
      </c>
      <c r="J34">
        <f t="shared" ref="J34:J65" si="4">(E34/F34)*100</f>
        <v>40.543809523809529</v>
      </c>
      <c r="K34">
        <f t="shared" si="3"/>
        <v>91307</v>
      </c>
      <c r="L34" t="str">
        <f t="shared" si="2"/>
        <v/>
      </c>
    </row>
    <row r="35" spans="1:12" x14ac:dyDescent="0.3">
      <c r="A35" t="s">
        <v>58</v>
      </c>
      <c r="B35" t="s">
        <v>59</v>
      </c>
      <c r="C35" t="s">
        <v>13</v>
      </c>
      <c r="D35" t="s">
        <v>61</v>
      </c>
      <c r="E35" s="1">
        <v>43301</v>
      </c>
      <c r="F35" s="1">
        <v>210000</v>
      </c>
      <c r="G35" t="s">
        <v>12</v>
      </c>
      <c r="H35" s="1">
        <v>65</v>
      </c>
      <c r="I35" t="str">
        <f t="shared" si="0"/>
        <v>Correct</v>
      </c>
      <c r="J35">
        <f t="shared" si="4"/>
        <v>20.619523809523809</v>
      </c>
      <c r="K35">
        <f t="shared" si="3"/>
        <v>91307</v>
      </c>
      <c r="L35" t="str">
        <f t="shared" si="2"/>
        <v/>
      </c>
    </row>
    <row r="36" spans="1:12" x14ac:dyDescent="0.3">
      <c r="A36" t="s">
        <v>58</v>
      </c>
      <c r="B36" t="s">
        <v>59</v>
      </c>
      <c r="C36" t="s">
        <v>16</v>
      </c>
      <c r="D36" t="s">
        <v>62</v>
      </c>
      <c r="E36" s="1">
        <v>59438</v>
      </c>
      <c r="F36" s="1">
        <v>210000</v>
      </c>
      <c r="G36" t="s">
        <v>15</v>
      </c>
      <c r="H36" s="1">
        <v>55</v>
      </c>
      <c r="I36" t="str">
        <f t="shared" si="0"/>
        <v>Correct</v>
      </c>
      <c r="J36">
        <f t="shared" si="4"/>
        <v>28.303809523809527</v>
      </c>
      <c r="K36">
        <f t="shared" si="3"/>
        <v>91307</v>
      </c>
      <c r="L36" t="str">
        <f t="shared" si="2"/>
        <v/>
      </c>
    </row>
    <row r="37" spans="1:12" x14ac:dyDescent="0.3">
      <c r="A37" t="s">
        <v>58</v>
      </c>
      <c r="B37" t="s">
        <v>59</v>
      </c>
      <c r="C37" t="s">
        <v>18</v>
      </c>
      <c r="D37" t="s">
        <v>63</v>
      </c>
      <c r="E37" s="1">
        <v>72447</v>
      </c>
      <c r="F37" s="1">
        <v>210000</v>
      </c>
      <c r="G37" t="s">
        <v>12</v>
      </c>
      <c r="H37" s="1">
        <v>38</v>
      </c>
      <c r="I37" t="str">
        <f t="shared" si="0"/>
        <v>Check</v>
      </c>
      <c r="J37">
        <f t="shared" si="4"/>
        <v>34.498571428571431</v>
      </c>
      <c r="K37">
        <f t="shared" si="3"/>
        <v>91307</v>
      </c>
      <c r="L37" t="str">
        <f t="shared" si="2"/>
        <v/>
      </c>
    </row>
    <row r="38" spans="1:12" x14ac:dyDescent="0.3">
      <c r="A38" t="s">
        <v>64</v>
      </c>
      <c r="B38" t="s">
        <v>65</v>
      </c>
      <c r="C38" t="s">
        <v>10</v>
      </c>
      <c r="D38" t="s">
        <v>66</v>
      </c>
      <c r="E38" s="1">
        <v>91784</v>
      </c>
      <c r="F38" s="1">
        <v>230000</v>
      </c>
      <c r="G38" t="s">
        <v>15</v>
      </c>
      <c r="H38" s="1">
        <v>35</v>
      </c>
      <c r="I38" t="str">
        <f t="shared" si="0"/>
        <v>Correct</v>
      </c>
      <c r="J38">
        <f t="shared" si="4"/>
        <v>39.90608695652174</v>
      </c>
      <c r="K38">
        <f t="shared" si="3"/>
        <v>91784</v>
      </c>
      <c r="L38" t="str">
        <f t="shared" si="2"/>
        <v>Winner</v>
      </c>
    </row>
    <row r="39" spans="1:12" x14ac:dyDescent="0.3">
      <c r="A39" t="s">
        <v>64</v>
      </c>
      <c r="B39" t="s">
        <v>65</v>
      </c>
      <c r="C39" t="s">
        <v>13</v>
      </c>
      <c r="D39" t="s">
        <v>67</v>
      </c>
      <c r="E39" s="1">
        <v>31175</v>
      </c>
      <c r="F39" s="1">
        <v>230000</v>
      </c>
      <c r="G39" t="s">
        <v>12</v>
      </c>
      <c r="H39" s="1">
        <v>39</v>
      </c>
      <c r="I39" t="str">
        <f t="shared" si="0"/>
        <v>Correct</v>
      </c>
      <c r="J39">
        <f t="shared" si="4"/>
        <v>13.554347826086957</v>
      </c>
      <c r="K39">
        <f t="shared" si="3"/>
        <v>91784</v>
      </c>
      <c r="L39" t="str">
        <f t="shared" si="2"/>
        <v/>
      </c>
    </row>
    <row r="40" spans="1:12" x14ac:dyDescent="0.3">
      <c r="A40" t="s">
        <v>64</v>
      </c>
      <c r="B40" t="s">
        <v>65</v>
      </c>
      <c r="C40" t="s">
        <v>16</v>
      </c>
      <c r="D40" t="s">
        <v>68</v>
      </c>
      <c r="E40" s="1">
        <v>45969</v>
      </c>
      <c r="F40" s="1">
        <v>230000</v>
      </c>
      <c r="G40" t="s">
        <v>15</v>
      </c>
      <c r="H40" s="1">
        <v>34</v>
      </c>
      <c r="I40" t="str">
        <f t="shared" si="0"/>
        <v>Correct</v>
      </c>
      <c r="J40">
        <f t="shared" si="4"/>
        <v>19.986521739130435</v>
      </c>
      <c r="K40">
        <f t="shared" si="3"/>
        <v>91784</v>
      </c>
      <c r="L40" t="str">
        <f t="shared" si="2"/>
        <v/>
      </c>
    </row>
    <row r="41" spans="1:12" x14ac:dyDescent="0.3">
      <c r="A41" t="s">
        <v>64</v>
      </c>
      <c r="B41" t="s">
        <v>65</v>
      </c>
      <c r="C41" t="s">
        <v>18</v>
      </c>
      <c r="D41" t="s">
        <v>69</v>
      </c>
      <c r="E41" s="1">
        <v>75432</v>
      </c>
      <c r="F41" s="1">
        <v>230000</v>
      </c>
      <c r="G41" t="s">
        <v>15</v>
      </c>
      <c r="H41" s="1">
        <v>59</v>
      </c>
      <c r="I41" t="str">
        <f t="shared" si="0"/>
        <v>Check</v>
      </c>
      <c r="J41">
        <f t="shared" si="4"/>
        <v>32.796521739130434</v>
      </c>
      <c r="K41">
        <f t="shared" si="3"/>
        <v>91784</v>
      </c>
      <c r="L41" t="str">
        <f t="shared" si="2"/>
        <v/>
      </c>
    </row>
    <row r="42" spans="1:12" x14ac:dyDescent="0.3">
      <c r="A42" t="s">
        <v>58</v>
      </c>
      <c r="B42" t="s">
        <v>59</v>
      </c>
      <c r="C42" t="s">
        <v>16</v>
      </c>
      <c r="D42" t="s">
        <v>70</v>
      </c>
      <c r="E42" s="1">
        <v>26504</v>
      </c>
      <c r="F42" s="1">
        <v>210000</v>
      </c>
      <c r="G42" t="s">
        <v>12</v>
      </c>
      <c r="H42" s="1">
        <v>64</v>
      </c>
      <c r="I42" t="str">
        <f t="shared" si="0"/>
        <v>Check</v>
      </c>
      <c r="J42">
        <f t="shared" si="4"/>
        <v>12.62095238095238</v>
      </c>
      <c r="K42">
        <f t="shared" si="3"/>
        <v>91307</v>
      </c>
      <c r="L42" t="str">
        <f t="shared" si="2"/>
        <v/>
      </c>
    </row>
    <row r="43" spans="1:12" x14ac:dyDescent="0.3">
      <c r="A43" t="s">
        <v>35</v>
      </c>
      <c r="B43" t="s">
        <v>36</v>
      </c>
      <c r="C43" t="s">
        <v>16</v>
      </c>
      <c r="D43" t="s">
        <v>71</v>
      </c>
      <c r="E43" s="1">
        <v>32310</v>
      </c>
      <c r="F43" s="1">
        <v>200000</v>
      </c>
      <c r="G43" t="s">
        <v>15</v>
      </c>
      <c r="H43" s="1">
        <v>57</v>
      </c>
      <c r="I43" t="str">
        <f t="shared" si="0"/>
        <v>Check</v>
      </c>
      <c r="J43">
        <f t="shared" si="4"/>
        <v>16.155000000000001</v>
      </c>
      <c r="K43">
        <f t="shared" si="3"/>
        <v>89567</v>
      </c>
      <c r="L43" t="str">
        <f t="shared" si="2"/>
        <v/>
      </c>
    </row>
    <row r="44" spans="1:12" x14ac:dyDescent="0.3">
      <c r="A44" t="s">
        <v>25</v>
      </c>
      <c r="B44" t="s">
        <v>9</v>
      </c>
      <c r="C44" t="s">
        <v>18</v>
      </c>
      <c r="D44" t="s">
        <v>72</v>
      </c>
      <c r="E44" s="1">
        <v>25106</v>
      </c>
      <c r="F44" s="1">
        <v>110000</v>
      </c>
      <c r="G44" t="s">
        <v>15</v>
      </c>
      <c r="H44" s="1">
        <v>62</v>
      </c>
      <c r="I44" t="str">
        <f t="shared" si="0"/>
        <v>Correct</v>
      </c>
      <c r="J44">
        <f t="shared" si="4"/>
        <v>22.823636363636364</v>
      </c>
      <c r="K44">
        <f t="shared" si="3"/>
        <v>45489</v>
      </c>
      <c r="L44" t="str">
        <f t="shared" si="2"/>
        <v/>
      </c>
    </row>
    <row r="45" spans="1:12" x14ac:dyDescent="0.3">
      <c r="A45" t="s">
        <v>25</v>
      </c>
      <c r="B45" t="s">
        <v>9</v>
      </c>
      <c r="C45" t="s">
        <v>10</v>
      </c>
      <c r="D45" t="s">
        <v>73</v>
      </c>
      <c r="E45" s="1">
        <v>45489</v>
      </c>
      <c r="F45" s="1">
        <v>110000</v>
      </c>
      <c r="G45" t="s">
        <v>15</v>
      </c>
      <c r="H45" s="1">
        <v>62</v>
      </c>
      <c r="I45" t="str">
        <f t="shared" si="0"/>
        <v>Check</v>
      </c>
      <c r="J45">
        <f t="shared" si="4"/>
        <v>41.353636363636362</v>
      </c>
      <c r="K45">
        <f t="shared" si="3"/>
        <v>45489</v>
      </c>
      <c r="L45" t="str">
        <f t="shared" si="2"/>
        <v>Winner</v>
      </c>
    </row>
    <row r="46" spans="1:12" x14ac:dyDescent="0.3">
      <c r="A46" t="s">
        <v>64</v>
      </c>
      <c r="B46" t="s">
        <v>65</v>
      </c>
      <c r="C46" t="s">
        <v>13</v>
      </c>
      <c r="D46" t="s">
        <v>74</v>
      </c>
      <c r="E46" s="1">
        <v>45032</v>
      </c>
      <c r="F46" s="1">
        <v>230000</v>
      </c>
      <c r="G46" t="s">
        <v>15</v>
      </c>
      <c r="H46" s="1">
        <v>40</v>
      </c>
      <c r="I46" t="str">
        <f t="shared" si="0"/>
        <v>Check</v>
      </c>
      <c r="J46">
        <f t="shared" si="4"/>
        <v>19.579130434782609</v>
      </c>
      <c r="K46">
        <f t="shared" si="3"/>
        <v>91784</v>
      </c>
      <c r="L46" t="str">
        <f t="shared" si="2"/>
        <v/>
      </c>
    </row>
    <row r="47" spans="1:12" x14ac:dyDescent="0.3">
      <c r="A47" t="s">
        <v>58</v>
      </c>
      <c r="B47" t="s">
        <v>59</v>
      </c>
      <c r="C47" t="s">
        <v>10</v>
      </c>
      <c r="D47" t="s">
        <v>75</v>
      </c>
      <c r="E47" s="1">
        <v>67487</v>
      </c>
      <c r="F47" s="1">
        <v>210000</v>
      </c>
      <c r="G47" t="s">
        <v>15</v>
      </c>
      <c r="H47" s="1">
        <v>31</v>
      </c>
      <c r="I47" t="str">
        <f t="shared" si="0"/>
        <v>Check</v>
      </c>
      <c r="J47">
        <f t="shared" si="4"/>
        <v>32.13666666666667</v>
      </c>
      <c r="K47">
        <f t="shared" si="3"/>
        <v>91307</v>
      </c>
      <c r="L47" t="str">
        <f t="shared" si="2"/>
        <v/>
      </c>
    </row>
    <row r="48" spans="1:12" x14ac:dyDescent="0.3">
      <c r="A48" t="s">
        <v>20</v>
      </c>
      <c r="B48" t="s">
        <v>9</v>
      </c>
      <c r="C48" t="s">
        <v>16</v>
      </c>
      <c r="D48" t="s">
        <v>76</v>
      </c>
      <c r="E48" s="1">
        <v>45153</v>
      </c>
      <c r="F48" s="1">
        <v>150000</v>
      </c>
      <c r="G48" t="s">
        <v>12</v>
      </c>
      <c r="H48" s="1">
        <v>33</v>
      </c>
      <c r="I48" t="str">
        <f t="shared" si="0"/>
        <v>Check</v>
      </c>
      <c r="J48">
        <f t="shared" si="4"/>
        <v>30.102</v>
      </c>
      <c r="K48">
        <f t="shared" si="3"/>
        <v>64453</v>
      </c>
      <c r="L48" t="str">
        <f t="shared" si="2"/>
        <v/>
      </c>
    </row>
    <row r="49" spans="1:12" x14ac:dyDescent="0.3">
      <c r="A49" t="s">
        <v>30</v>
      </c>
      <c r="B49" t="s">
        <v>9</v>
      </c>
      <c r="C49" t="s">
        <v>10</v>
      </c>
      <c r="D49" t="s">
        <v>77</v>
      </c>
      <c r="E49" s="1">
        <v>30613</v>
      </c>
      <c r="F49" s="1">
        <v>180000</v>
      </c>
      <c r="G49" t="s">
        <v>15</v>
      </c>
      <c r="H49" s="1">
        <v>34</v>
      </c>
      <c r="I49" t="str">
        <f t="shared" si="0"/>
        <v>Check</v>
      </c>
      <c r="J49">
        <f t="shared" si="4"/>
        <v>17.007222222222225</v>
      </c>
      <c r="K49">
        <f t="shared" si="3"/>
        <v>80541</v>
      </c>
      <c r="L49" t="str">
        <f t="shared" si="2"/>
        <v/>
      </c>
    </row>
    <row r="50" spans="1:12" x14ac:dyDescent="0.3">
      <c r="A50" t="s">
        <v>58</v>
      </c>
      <c r="B50" t="s">
        <v>59</v>
      </c>
      <c r="C50" t="s">
        <v>13</v>
      </c>
      <c r="D50" t="s">
        <v>78</v>
      </c>
      <c r="E50" s="1">
        <v>41828</v>
      </c>
      <c r="F50" s="1">
        <v>210000</v>
      </c>
      <c r="G50" t="s">
        <v>15</v>
      </c>
      <c r="H50" s="1">
        <v>65</v>
      </c>
      <c r="I50" t="str">
        <f t="shared" si="0"/>
        <v>Check</v>
      </c>
      <c r="J50">
        <f t="shared" si="4"/>
        <v>19.918095238095237</v>
      </c>
      <c r="K50">
        <f t="shared" si="3"/>
        <v>91307</v>
      </c>
      <c r="L50" t="str">
        <f t="shared" si="2"/>
        <v/>
      </c>
    </row>
    <row r="51" spans="1:12" x14ac:dyDescent="0.3">
      <c r="A51" t="s">
        <v>25</v>
      </c>
      <c r="B51" t="s">
        <v>9</v>
      </c>
      <c r="C51" t="s">
        <v>16</v>
      </c>
      <c r="D51" t="s">
        <v>79</v>
      </c>
      <c r="E51" s="1">
        <v>42290</v>
      </c>
      <c r="F51" s="1">
        <v>110000</v>
      </c>
      <c r="G51" t="s">
        <v>15</v>
      </c>
      <c r="H51" s="1">
        <v>43</v>
      </c>
      <c r="I51" t="str">
        <f t="shared" si="0"/>
        <v>Check</v>
      </c>
      <c r="J51">
        <f t="shared" si="4"/>
        <v>38.445454545454545</v>
      </c>
      <c r="K51">
        <f t="shared" si="3"/>
        <v>45489</v>
      </c>
      <c r="L51" t="str">
        <f t="shared" si="2"/>
        <v/>
      </c>
    </row>
    <row r="52" spans="1:12" x14ac:dyDescent="0.3">
      <c r="A52" t="s">
        <v>58</v>
      </c>
      <c r="B52" t="s">
        <v>59</v>
      </c>
      <c r="C52" t="s">
        <v>13</v>
      </c>
      <c r="D52" t="s">
        <v>80</v>
      </c>
      <c r="E52" s="1">
        <v>65857</v>
      </c>
      <c r="F52" s="1">
        <v>210000</v>
      </c>
      <c r="G52" t="s">
        <v>15</v>
      </c>
      <c r="H52" s="1">
        <v>53</v>
      </c>
      <c r="I52" t="str">
        <f t="shared" si="0"/>
        <v>Check</v>
      </c>
      <c r="J52">
        <f t="shared" si="4"/>
        <v>31.360476190476188</v>
      </c>
      <c r="K52">
        <f t="shared" si="3"/>
        <v>91307</v>
      </c>
      <c r="L52" t="str">
        <f t="shared" si="2"/>
        <v/>
      </c>
    </row>
    <row r="53" spans="1:12" x14ac:dyDescent="0.3">
      <c r="A53" t="s">
        <v>53</v>
      </c>
      <c r="B53" t="s">
        <v>48</v>
      </c>
      <c r="C53" t="s">
        <v>18</v>
      </c>
      <c r="D53" t="s">
        <v>81</v>
      </c>
      <c r="E53" s="1">
        <v>32930</v>
      </c>
      <c r="F53" s="1">
        <v>190000</v>
      </c>
      <c r="G53" t="s">
        <v>12</v>
      </c>
      <c r="H53" s="1">
        <v>44</v>
      </c>
      <c r="I53" t="str">
        <f t="shared" si="0"/>
        <v>Check</v>
      </c>
      <c r="J53">
        <f t="shared" si="4"/>
        <v>17.331578947368421</v>
      </c>
      <c r="K53">
        <f t="shared" si="3"/>
        <v>84843</v>
      </c>
      <c r="L53" t="str">
        <f t="shared" si="2"/>
        <v/>
      </c>
    </row>
    <row r="54" spans="1:12" x14ac:dyDescent="0.3">
      <c r="A54" t="s">
        <v>20</v>
      </c>
      <c r="B54" t="s">
        <v>9</v>
      </c>
      <c r="C54" t="s">
        <v>16</v>
      </c>
      <c r="D54" t="s">
        <v>82</v>
      </c>
      <c r="E54" s="1">
        <v>26378</v>
      </c>
      <c r="F54" s="1">
        <v>150000</v>
      </c>
      <c r="G54" t="s">
        <v>12</v>
      </c>
      <c r="H54" s="1">
        <v>44</v>
      </c>
      <c r="I54" t="str">
        <f t="shared" si="0"/>
        <v>Check</v>
      </c>
      <c r="J54">
        <f t="shared" si="4"/>
        <v>17.585333333333335</v>
      </c>
      <c r="K54">
        <f t="shared" si="3"/>
        <v>64453</v>
      </c>
      <c r="L54" t="str">
        <f t="shared" si="2"/>
        <v/>
      </c>
    </row>
    <row r="55" spans="1:12" x14ac:dyDescent="0.3">
      <c r="A55" t="s">
        <v>8</v>
      </c>
      <c r="B55" t="s">
        <v>9</v>
      </c>
      <c r="C55" t="s">
        <v>10</v>
      </c>
      <c r="D55" t="s">
        <v>83</v>
      </c>
      <c r="E55" s="1">
        <v>48194</v>
      </c>
      <c r="F55" s="1">
        <v>120000</v>
      </c>
      <c r="G55" t="s">
        <v>12</v>
      </c>
      <c r="H55" s="1">
        <v>44</v>
      </c>
      <c r="I55" t="str">
        <f t="shared" si="0"/>
        <v>Check</v>
      </c>
      <c r="J55">
        <f t="shared" si="4"/>
        <v>40.161666666666669</v>
      </c>
      <c r="K55">
        <f t="shared" si="3"/>
        <v>49509</v>
      </c>
      <c r="L55" t="str">
        <f t="shared" si="2"/>
        <v/>
      </c>
    </row>
    <row r="56" spans="1:12" x14ac:dyDescent="0.3">
      <c r="A56" t="s">
        <v>20</v>
      </c>
      <c r="B56" t="s">
        <v>9</v>
      </c>
      <c r="C56" t="s">
        <v>10</v>
      </c>
      <c r="D56" t="s">
        <v>84</v>
      </c>
      <c r="E56" s="1">
        <v>46654</v>
      </c>
      <c r="F56" s="1">
        <v>150000</v>
      </c>
      <c r="G56" t="s">
        <v>12</v>
      </c>
      <c r="H56" s="1">
        <v>62</v>
      </c>
      <c r="I56" t="str">
        <f t="shared" si="0"/>
        <v>Check</v>
      </c>
      <c r="J56">
        <f t="shared" si="4"/>
        <v>31.102666666666668</v>
      </c>
      <c r="K56">
        <f t="shared" si="3"/>
        <v>64453</v>
      </c>
      <c r="L56" t="str">
        <f t="shared" si="2"/>
        <v/>
      </c>
    </row>
    <row r="57" spans="1:12" x14ac:dyDescent="0.3">
      <c r="A57" t="s">
        <v>30</v>
      </c>
      <c r="B57" t="s">
        <v>9</v>
      </c>
      <c r="C57" t="s">
        <v>16</v>
      </c>
      <c r="D57" t="s">
        <v>85</v>
      </c>
      <c r="E57" s="1">
        <v>68842</v>
      </c>
      <c r="F57" s="1">
        <v>180000</v>
      </c>
      <c r="G57" t="s">
        <v>15</v>
      </c>
      <c r="H57" s="1">
        <v>43</v>
      </c>
      <c r="I57" t="str">
        <f t="shared" si="0"/>
        <v>Check</v>
      </c>
      <c r="J57">
        <f t="shared" si="4"/>
        <v>38.245555555555555</v>
      </c>
      <c r="K57">
        <f t="shared" si="3"/>
        <v>80541</v>
      </c>
      <c r="L57" t="str">
        <f t="shared" si="2"/>
        <v/>
      </c>
    </row>
    <row r="58" spans="1:12" x14ac:dyDescent="0.3">
      <c r="A58" t="s">
        <v>58</v>
      </c>
      <c r="B58" t="s">
        <v>59</v>
      </c>
      <c r="C58" t="s">
        <v>13</v>
      </c>
      <c r="D58" t="s">
        <v>86</v>
      </c>
      <c r="E58" s="1">
        <v>86953</v>
      </c>
      <c r="F58" s="1">
        <v>210000</v>
      </c>
      <c r="G58" t="s">
        <v>12</v>
      </c>
      <c r="H58" s="1">
        <v>60</v>
      </c>
      <c r="I58" t="str">
        <f t="shared" si="0"/>
        <v>Check</v>
      </c>
      <c r="J58">
        <f t="shared" si="4"/>
        <v>41.406190476190474</v>
      </c>
      <c r="K58">
        <f t="shared" si="3"/>
        <v>91307</v>
      </c>
      <c r="L58" t="str">
        <f t="shared" si="2"/>
        <v/>
      </c>
    </row>
    <row r="59" spans="1:12" x14ac:dyDescent="0.3">
      <c r="A59" t="s">
        <v>47</v>
      </c>
      <c r="B59" t="s">
        <v>48</v>
      </c>
      <c r="C59" t="s">
        <v>13</v>
      </c>
      <c r="D59" t="s">
        <v>87</v>
      </c>
      <c r="E59" s="1">
        <v>37363</v>
      </c>
      <c r="F59" s="1">
        <v>220000</v>
      </c>
      <c r="G59" t="s">
        <v>12</v>
      </c>
      <c r="H59" s="1">
        <v>57</v>
      </c>
      <c r="I59" t="str">
        <f t="shared" si="0"/>
        <v>Check</v>
      </c>
      <c r="J59">
        <f t="shared" si="4"/>
        <v>16.983181818181819</v>
      </c>
      <c r="K59">
        <f t="shared" si="3"/>
        <v>98000</v>
      </c>
      <c r="L59" t="str">
        <f t="shared" si="2"/>
        <v/>
      </c>
    </row>
    <row r="60" spans="1:12" x14ac:dyDescent="0.3">
      <c r="A60" t="s">
        <v>41</v>
      </c>
      <c r="B60" t="s">
        <v>42</v>
      </c>
      <c r="C60" t="s">
        <v>18</v>
      </c>
      <c r="D60" t="s">
        <v>88</v>
      </c>
      <c r="E60" s="1">
        <v>51941</v>
      </c>
      <c r="F60" s="1">
        <v>175000</v>
      </c>
      <c r="G60" t="s">
        <v>15</v>
      </c>
      <c r="H60" s="1">
        <v>33</v>
      </c>
      <c r="I60" t="str">
        <f t="shared" si="0"/>
        <v>Check</v>
      </c>
      <c r="J60">
        <f t="shared" si="4"/>
        <v>29.680571428571429</v>
      </c>
      <c r="K60">
        <f t="shared" si="3"/>
        <v>77575</v>
      </c>
      <c r="L60" t="str">
        <f t="shared" si="2"/>
        <v/>
      </c>
    </row>
    <row r="61" spans="1:12" x14ac:dyDescent="0.3">
      <c r="A61" t="s">
        <v>20</v>
      </c>
      <c r="B61" t="s">
        <v>9</v>
      </c>
      <c r="C61" t="s">
        <v>10</v>
      </c>
      <c r="D61" t="s">
        <v>89</v>
      </c>
      <c r="E61" s="1">
        <v>51386</v>
      </c>
      <c r="F61" s="1">
        <v>150000</v>
      </c>
      <c r="G61" t="s">
        <v>15</v>
      </c>
      <c r="H61" s="1">
        <v>36</v>
      </c>
      <c r="I61" t="str">
        <f t="shared" si="0"/>
        <v>Check</v>
      </c>
      <c r="J61">
        <f t="shared" si="4"/>
        <v>34.257333333333335</v>
      </c>
      <c r="K61">
        <f t="shared" si="3"/>
        <v>64453</v>
      </c>
      <c r="L61" t="str">
        <f t="shared" si="2"/>
        <v/>
      </c>
    </row>
    <row r="62" spans="1:12" x14ac:dyDescent="0.3">
      <c r="A62" t="s">
        <v>30</v>
      </c>
      <c r="B62" t="s">
        <v>9</v>
      </c>
      <c r="C62" t="s">
        <v>13</v>
      </c>
      <c r="D62" t="s">
        <v>90</v>
      </c>
      <c r="E62" s="1">
        <v>37465</v>
      </c>
      <c r="F62" s="1">
        <v>180000</v>
      </c>
      <c r="G62" t="s">
        <v>15</v>
      </c>
      <c r="H62" s="1">
        <v>38</v>
      </c>
      <c r="I62" t="str">
        <f t="shared" si="0"/>
        <v>Check</v>
      </c>
      <c r="J62">
        <f t="shared" si="4"/>
        <v>20.81388888888889</v>
      </c>
      <c r="K62">
        <f t="shared" si="3"/>
        <v>80541</v>
      </c>
      <c r="L62" t="str">
        <f t="shared" si="2"/>
        <v/>
      </c>
    </row>
    <row r="63" spans="1:12" x14ac:dyDescent="0.3">
      <c r="A63" t="s">
        <v>47</v>
      </c>
      <c r="B63" t="s">
        <v>48</v>
      </c>
      <c r="C63" t="s">
        <v>13</v>
      </c>
      <c r="D63" t="s">
        <v>91</v>
      </c>
      <c r="E63" s="1">
        <v>61509</v>
      </c>
      <c r="F63" s="1">
        <v>220000</v>
      </c>
      <c r="G63" t="s">
        <v>15</v>
      </c>
      <c r="H63" s="1">
        <v>45</v>
      </c>
      <c r="I63" t="str">
        <f t="shared" si="0"/>
        <v>Check</v>
      </c>
      <c r="J63">
        <f t="shared" si="4"/>
        <v>27.958636363636362</v>
      </c>
      <c r="K63">
        <f t="shared" si="3"/>
        <v>98000</v>
      </c>
      <c r="L63" t="str">
        <f t="shared" si="2"/>
        <v/>
      </c>
    </row>
    <row r="64" spans="1:12" x14ac:dyDescent="0.3">
      <c r="A64" t="s">
        <v>20</v>
      </c>
      <c r="B64" t="s">
        <v>9</v>
      </c>
      <c r="C64" t="s">
        <v>18</v>
      </c>
      <c r="D64" t="s">
        <v>92</v>
      </c>
      <c r="E64" s="1">
        <v>61066</v>
      </c>
      <c r="F64" s="1">
        <v>150000</v>
      </c>
      <c r="G64" t="s">
        <v>12</v>
      </c>
      <c r="H64" s="1">
        <v>33</v>
      </c>
      <c r="I64" t="str">
        <f t="shared" si="0"/>
        <v>Check</v>
      </c>
      <c r="J64">
        <f t="shared" si="4"/>
        <v>40.710666666666668</v>
      </c>
      <c r="K64">
        <f t="shared" si="3"/>
        <v>64453</v>
      </c>
      <c r="L64" t="str">
        <f t="shared" si="2"/>
        <v/>
      </c>
    </row>
    <row r="65" spans="1:12" x14ac:dyDescent="0.3">
      <c r="A65" t="s">
        <v>58</v>
      </c>
      <c r="B65" t="s">
        <v>59</v>
      </c>
      <c r="C65" t="s">
        <v>10</v>
      </c>
      <c r="D65" t="s">
        <v>93</v>
      </c>
      <c r="E65" s="1">
        <v>37224</v>
      </c>
      <c r="F65" s="1">
        <v>210000</v>
      </c>
      <c r="G65" t="s">
        <v>12</v>
      </c>
      <c r="H65" s="1">
        <v>40</v>
      </c>
      <c r="I65" t="str">
        <f t="shared" si="0"/>
        <v>Check</v>
      </c>
      <c r="J65">
        <f t="shared" si="4"/>
        <v>17.725714285714286</v>
      </c>
      <c r="K65">
        <f t="shared" si="3"/>
        <v>91307</v>
      </c>
      <c r="L65" t="str">
        <f t="shared" si="2"/>
        <v/>
      </c>
    </row>
    <row r="66" spans="1:12" x14ac:dyDescent="0.3">
      <c r="A66" t="s">
        <v>47</v>
      </c>
      <c r="B66" t="s">
        <v>48</v>
      </c>
      <c r="C66" t="s">
        <v>18</v>
      </c>
      <c r="D66" t="s">
        <v>94</v>
      </c>
      <c r="E66" s="1">
        <v>88092</v>
      </c>
      <c r="F66" s="1">
        <v>220000</v>
      </c>
      <c r="G66" t="s">
        <v>12</v>
      </c>
      <c r="H66" s="1">
        <v>55</v>
      </c>
      <c r="I66" t="str">
        <f t="shared" ref="I66:I101" si="5">IF(F66=F67,"Correct","Check")</f>
        <v>Check</v>
      </c>
      <c r="J66">
        <f t="shared" ref="J66:J101" si="6">(E66/F66)*100</f>
        <v>40.041818181818186</v>
      </c>
      <c r="K66">
        <f t="shared" si="3"/>
        <v>98000</v>
      </c>
      <c r="L66" t="str">
        <f t="shared" ref="L66:L101" si="7">IF(E66=K66,"Winner","")</f>
        <v/>
      </c>
    </row>
    <row r="67" spans="1:12" x14ac:dyDescent="0.3">
      <c r="A67" t="s">
        <v>8</v>
      </c>
      <c r="B67" t="s">
        <v>9</v>
      </c>
      <c r="C67" t="s">
        <v>13</v>
      </c>
      <c r="D67" t="s">
        <v>95</v>
      </c>
      <c r="E67" s="1">
        <v>37418</v>
      </c>
      <c r="F67" s="1">
        <v>120000</v>
      </c>
      <c r="G67" t="s">
        <v>12</v>
      </c>
      <c r="H67" s="1">
        <v>54</v>
      </c>
      <c r="I67" t="str">
        <f t="shared" si="5"/>
        <v>Check</v>
      </c>
      <c r="J67">
        <f t="shared" si="6"/>
        <v>31.181666666666668</v>
      </c>
      <c r="K67">
        <f t="shared" ref="K67:K101" si="8">_xlfn.MAXIFS(E:E,A:A,A67)</f>
        <v>49509</v>
      </c>
      <c r="L67" t="str">
        <f t="shared" si="7"/>
        <v/>
      </c>
    </row>
    <row r="68" spans="1:12" x14ac:dyDescent="0.3">
      <c r="A68" t="s">
        <v>35</v>
      </c>
      <c r="B68" t="s">
        <v>36</v>
      </c>
      <c r="C68" t="s">
        <v>18</v>
      </c>
      <c r="D68" t="s">
        <v>96</v>
      </c>
      <c r="E68" s="1">
        <v>43694</v>
      </c>
      <c r="F68" s="1">
        <v>200000</v>
      </c>
      <c r="G68" t="s">
        <v>15</v>
      </c>
      <c r="H68" s="1">
        <v>65</v>
      </c>
      <c r="I68" t="str">
        <f t="shared" si="5"/>
        <v>Check</v>
      </c>
      <c r="J68">
        <f t="shared" si="6"/>
        <v>21.847000000000001</v>
      </c>
      <c r="K68">
        <f t="shared" si="8"/>
        <v>89567</v>
      </c>
      <c r="L68" t="str">
        <f t="shared" si="7"/>
        <v/>
      </c>
    </row>
    <row r="69" spans="1:12" x14ac:dyDescent="0.3">
      <c r="A69" t="s">
        <v>53</v>
      </c>
      <c r="B69" t="s">
        <v>48</v>
      </c>
      <c r="C69" t="s">
        <v>13</v>
      </c>
      <c r="D69" t="s">
        <v>97</v>
      </c>
      <c r="E69" s="1">
        <v>37445</v>
      </c>
      <c r="F69" s="1">
        <v>190000</v>
      </c>
      <c r="G69" t="s">
        <v>15</v>
      </c>
      <c r="H69" s="1">
        <v>43</v>
      </c>
      <c r="I69" t="str">
        <f t="shared" si="5"/>
        <v>Check</v>
      </c>
      <c r="J69">
        <f t="shared" si="6"/>
        <v>19.707894736842103</v>
      </c>
      <c r="K69">
        <f t="shared" si="8"/>
        <v>84843</v>
      </c>
      <c r="L69" t="str">
        <f t="shared" si="7"/>
        <v/>
      </c>
    </row>
    <row r="70" spans="1:12" x14ac:dyDescent="0.3">
      <c r="A70" t="s">
        <v>8</v>
      </c>
      <c r="B70" t="s">
        <v>9</v>
      </c>
      <c r="C70" t="s">
        <v>10</v>
      </c>
      <c r="D70" t="s">
        <v>98</v>
      </c>
      <c r="E70" s="1">
        <v>49509</v>
      </c>
      <c r="F70" s="1">
        <v>120000</v>
      </c>
      <c r="G70" t="s">
        <v>15</v>
      </c>
      <c r="H70" s="1">
        <v>33</v>
      </c>
      <c r="I70" t="str">
        <f t="shared" si="5"/>
        <v>Correct</v>
      </c>
      <c r="J70">
        <f t="shared" si="6"/>
        <v>41.2575</v>
      </c>
      <c r="K70">
        <f t="shared" si="8"/>
        <v>49509</v>
      </c>
      <c r="L70" t="str">
        <f t="shared" si="7"/>
        <v>Winner</v>
      </c>
    </row>
    <row r="71" spans="1:12" x14ac:dyDescent="0.3">
      <c r="A71" t="s">
        <v>8</v>
      </c>
      <c r="B71" t="s">
        <v>9</v>
      </c>
      <c r="C71" t="s">
        <v>18</v>
      </c>
      <c r="D71" t="s">
        <v>99</v>
      </c>
      <c r="E71" s="1">
        <v>41477</v>
      </c>
      <c r="F71" s="1">
        <v>120000</v>
      </c>
      <c r="G71" t="s">
        <v>12</v>
      </c>
      <c r="H71" s="1">
        <v>33</v>
      </c>
      <c r="I71" t="str">
        <f t="shared" si="5"/>
        <v>Check</v>
      </c>
      <c r="J71">
        <f t="shared" si="6"/>
        <v>34.564166666666665</v>
      </c>
      <c r="K71">
        <f t="shared" si="8"/>
        <v>49509</v>
      </c>
      <c r="L71" t="str">
        <f t="shared" si="7"/>
        <v/>
      </c>
    </row>
    <row r="72" spans="1:12" x14ac:dyDescent="0.3">
      <c r="A72" t="s">
        <v>58</v>
      </c>
      <c r="B72" t="s">
        <v>59</v>
      </c>
      <c r="C72" t="s">
        <v>10</v>
      </c>
      <c r="D72" t="s">
        <v>100</v>
      </c>
      <c r="E72" s="1">
        <v>49356</v>
      </c>
      <c r="F72" s="1">
        <v>210000</v>
      </c>
      <c r="G72" t="s">
        <v>12</v>
      </c>
      <c r="H72" s="1">
        <v>34</v>
      </c>
      <c r="I72" t="str">
        <f t="shared" si="5"/>
        <v>Check</v>
      </c>
      <c r="J72">
        <f t="shared" si="6"/>
        <v>23.502857142857142</v>
      </c>
      <c r="K72">
        <f t="shared" si="8"/>
        <v>91307</v>
      </c>
      <c r="L72" t="str">
        <f t="shared" si="7"/>
        <v/>
      </c>
    </row>
    <row r="73" spans="1:12" x14ac:dyDescent="0.3">
      <c r="A73" t="s">
        <v>30</v>
      </c>
      <c r="B73" t="s">
        <v>9</v>
      </c>
      <c r="C73" t="s">
        <v>18</v>
      </c>
      <c r="D73" t="s">
        <v>101</v>
      </c>
      <c r="E73" s="1">
        <v>32856</v>
      </c>
      <c r="F73" s="1">
        <v>180000</v>
      </c>
      <c r="G73" t="s">
        <v>12</v>
      </c>
      <c r="H73" s="1">
        <v>32</v>
      </c>
      <c r="I73" t="str">
        <f t="shared" si="5"/>
        <v>Check</v>
      </c>
      <c r="J73">
        <f t="shared" si="6"/>
        <v>18.253333333333334</v>
      </c>
      <c r="K73">
        <f t="shared" si="8"/>
        <v>80541</v>
      </c>
      <c r="L73" t="str">
        <f t="shared" si="7"/>
        <v/>
      </c>
    </row>
    <row r="74" spans="1:12" x14ac:dyDescent="0.3">
      <c r="A74" t="s">
        <v>64</v>
      </c>
      <c r="B74" t="s">
        <v>65</v>
      </c>
      <c r="C74" t="s">
        <v>10</v>
      </c>
      <c r="D74" t="s">
        <v>102</v>
      </c>
      <c r="E74" s="1">
        <v>79948</v>
      </c>
      <c r="F74" s="1">
        <v>230000</v>
      </c>
      <c r="G74" t="s">
        <v>15</v>
      </c>
      <c r="H74" s="1">
        <v>46</v>
      </c>
      <c r="I74" t="str">
        <f t="shared" si="5"/>
        <v>Check</v>
      </c>
      <c r="J74">
        <f t="shared" si="6"/>
        <v>34.760000000000005</v>
      </c>
      <c r="K74">
        <f t="shared" si="8"/>
        <v>91784</v>
      </c>
      <c r="L74" t="str">
        <f t="shared" si="7"/>
        <v/>
      </c>
    </row>
    <row r="75" spans="1:12" x14ac:dyDescent="0.3">
      <c r="A75" t="s">
        <v>30</v>
      </c>
      <c r="B75" t="s">
        <v>9</v>
      </c>
      <c r="C75" t="s">
        <v>16</v>
      </c>
      <c r="D75" t="s">
        <v>103</v>
      </c>
      <c r="E75" s="1">
        <v>40642</v>
      </c>
      <c r="F75" s="1">
        <v>180000</v>
      </c>
      <c r="G75" t="s">
        <v>15</v>
      </c>
      <c r="H75" s="1">
        <v>55</v>
      </c>
      <c r="I75" t="str">
        <f t="shared" si="5"/>
        <v>Check</v>
      </c>
      <c r="J75">
        <f t="shared" si="6"/>
        <v>22.578888888888891</v>
      </c>
      <c r="K75">
        <f t="shared" si="8"/>
        <v>80541</v>
      </c>
      <c r="L75" t="str">
        <f t="shared" si="7"/>
        <v/>
      </c>
    </row>
    <row r="76" spans="1:12" x14ac:dyDescent="0.3">
      <c r="A76" t="s">
        <v>25</v>
      </c>
      <c r="B76" t="s">
        <v>9</v>
      </c>
      <c r="C76" t="s">
        <v>16</v>
      </c>
      <c r="D76" t="s">
        <v>104</v>
      </c>
      <c r="E76" s="1">
        <v>39982</v>
      </c>
      <c r="F76" s="1">
        <v>110000</v>
      </c>
      <c r="G76" t="s">
        <v>15</v>
      </c>
      <c r="H76" s="1">
        <v>34</v>
      </c>
      <c r="I76" t="str">
        <f t="shared" si="5"/>
        <v>Check</v>
      </c>
      <c r="J76">
        <f t="shared" si="6"/>
        <v>36.347272727272731</v>
      </c>
      <c r="K76">
        <f t="shared" si="8"/>
        <v>45489</v>
      </c>
      <c r="L76" t="str">
        <f t="shared" si="7"/>
        <v/>
      </c>
    </row>
    <row r="77" spans="1:12" x14ac:dyDescent="0.3">
      <c r="A77" t="s">
        <v>8</v>
      </c>
      <c r="B77" t="s">
        <v>9</v>
      </c>
      <c r="C77" t="s">
        <v>18</v>
      </c>
      <c r="D77" t="s">
        <v>105</v>
      </c>
      <c r="E77" s="1">
        <v>45354</v>
      </c>
      <c r="F77" s="1">
        <v>120000</v>
      </c>
      <c r="G77" t="s">
        <v>12</v>
      </c>
      <c r="H77" s="1">
        <v>34</v>
      </c>
      <c r="I77" t="str">
        <f t="shared" si="5"/>
        <v>Check</v>
      </c>
      <c r="J77">
        <f t="shared" si="6"/>
        <v>37.795000000000002</v>
      </c>
      <c r="K77">
        <f t="shared" si="8"/>
        <v>49509</v>
      </c>
      <c r="L77" t="str">
        <f t="shared" si="7"/>
        <v/>
      </c>
    </row>
    <row r="78" spans="1:12" x14ac:dyDescent="0.3">
      <c r="A78" t="s">
        <v>58</v>
      </c>
      <c r="B78" t="s">
        <v>59</v>
      </c>
      <c r="C78" t="s">
        <v>13</v>
      </c>
      <c r="D78" t="s">
        <v>106</v>
      </c>
      <c r="E78" s="1">
        <v>91307</v>
      </c>
      <c r="F78" s="1">
        <v>210000</v>
      </c>
      <c r="G78" t="s">
        <v>15</v>
      </c>
      <c r="H78" s="1">
        <v>38</v>
      </c>
      <c r="I78" t="str">
        <f t="shared" si="5"/>
        <v>Check</v>
      </c>
      <c r="J78">
        <f t="shared" si="6"/>
        <v>43.479523809523805</v>
      </c>
      <c r="K78">
        <f t="shared" si="8"/>
        <v>91307</v>
      </c>
      <c r="L78" t="str">
        <f t="shared" si="7"/>
        <v>Winner</v>
      </c>
    </row>
    <row r="79" spans="1:12" x14ac:dyDescent="0.3">
      <c r="A79" t="s">
        <v>41</v>
      </c>
      <c r="B79" t="s">
        <v>42</v>
      </c>
      <c r="C79" t="s">
        <v>10</v>
      </c>
      <c r="D79" t="s">
        <v>107</v>
      </c>
      <c r="E79" s="1">
        <v>41009</v>
      </c>
      <c r="F79" s="1">
        <v>175000</v>
      </c>
      <c r="G79" t="s">
        <v>15</v>
      </c>
      <c r="H79" s="1">
        <v>48</v>
      </c>
      <c r="I79" t="str">
        <f t="shared" si="5"/>
        <v>Check</v>
      </c>
      <c r="J79">
        <f t="shared" si="6"/>
        <v>23.433714285714284</v>
      </c>
      <c r="K79">
        <f t="shared" si="8"/>
        <v>77575</v>
      </c>
      <c r="L79" t="str">
        <f t="shared" si="7"/>
        <v/>
      </c>
    </row>
    <row r="80" spans="1:12" x14ac:dyDescent="0.3">
      <c r="A80" t="s">
        <v>25</v>
      </c>
      <c r="B80" t="s">
        <v>9</v>
      </c>
      <c r="C80" t="s">
        <v>18</v>
      </c>
      <c r="D80" t="s">
        <v>108</v>
      </c>
      <c r="E80" s="1">
        <v>42800</v>
      </c>
      <c r="F80" s="1">
        <v>110000</v>
      </c>
      <c r="G80" t="s">
        <v>15</v>
      </c>
      <c r="H80" s="1">
        <v>63</v>
      </c>
      <c r="I80" t="str">
        <f t="shared" si="5"/>
        <v>Check</v>
      </c>
      <c r="J80">
        <f t="shared" si="6"/>
        <v>38.909090909090907</v>
      </c>
      <c r="K80">
        <f t="shared" si="8"/>
        <v>45489</v>
      </c>
      <c r="L80" t="str">
        <f t="shared" si="7"/>
        <v/>
      </c>
    </row>
    <row r="81" spans="1:12" x14ac:dyDescent="0.3">
      <c r="A81" t="s">
        <v>8</v>
      </c>
      <c r="B81" t="s">
        <v>9</v>
      </c>
      <c r="C81" t="s">
        <v>16</v>
      </c>
      <c r="D81" t="s">
        <v>109</v>
      </c>
      <c r="E81" s="1">
        <v>46737</v>
      </c>
      <c r="F81" s="1">
        <v>120000</v>
      </c>
      <c r="G81" t="s">
        <v>12</v>
      </c>
      <c r="H81" s="1">
        <v>38</v>
      </c>
      <c r="I81" t="str">
        <f t="shared" si="5"/>
        <v>Check</v>
      </c>
      <c r="J81">
        <f t="shared" si="6"/>
        <v>38.947500000000005</v>
      </c>
      <c r="K81">
        <f t="shared" si="8"/>
        <v>49509</v>
      </c>
      <c r="L81" t="str">
        <f t="shared" si="7"/>
        <v/>
      </c>
    </row>
    <row r="82" spans="1:12" x14ac:dyDescent="0.3">
      <c r="A82" t="s">
        <v>35</v>
      </c>
      <c r="B82" t="s">
        <v>36</v>
      </c>
      <c r="C82" t="s">
        <v>10</v>
      </c>
      <c r="D82" t="s">
        <v>110</v>
      </c>
      <c r="E82" s="1">
        <v>83308</v>
      </c>
      <c r="F82" s="1">
        <v>200000</v>
      </c>
      <c r="G82" t="s">
        <v>12</v>
      </c>
      <c r="H82" s="1">
        <v>65</v>
      </c>
      <c r="I82" t="str">
        <f t="shared" si="5"/>
        <v>Check</v>
      </c>
      <c r="J82">
        <f t="shared" si="6"/>
        <v>41.654000000000003</v>
      </c>
      <c r="K82">
        <f t="shared" si="8"/>
        <v>89567</v>
      </c>
      <c r="L82" t="str">
        <f t="shared" si="7"/>
        <v/>
      </c>
    </row>
    <row r="83" spans="1:12" x14ac:dyDescent="0.3">
      <c r="A83" t="s">
        <v>25</v>
      </c>
      <c r="B83" t="s">
        <v>9</v>
      </c>
      <c r="C83" t="s">
        <v>16</v>
      </c>
      <c r="D83" t="s">
        <v>111</v>
      </c>
      <c r="E83" s="1">
        <v>34232</v>
      </c>
      <c r="F83" s="1">
        <v>110000</v>
      </c>
      <c r="G83" t="s">
        <v>12</v>
      </c>
      <c r="H83" s="1">
        <v>51</v>
      </c>
      <c r="I83" t="str">
        <f t="shared" si="5"/>
        <v>Check</v>
      </c>
      <c r="J83">
        <f t="shared" si="6"/>
        <v>31.119999999999997</v>
      </c>
      <c r="K83">
        <f t="shared" si="8"/>
        <v>45489</v>
      </c>
      <c r="L83" t="str">
        <f t="shared" si="7"/>
        <v/>
      </c>
    </row>
    <row r="84" spans="1:12" x14ac:dyDescent="0.3">
      <c r="A84" t="s">
        <v>30</v>
      </c>
      <c r="B84" t="s">
        <v>9</v>
      </c>
      <c r="C84" t="s">
        <v>16</v>
      </c>
      <c r="D84" t="s">
        <v>112</v>
      </c>
      <c r="E84" s="1">
        <v>58122</v>
      </c>
      <c r="F84" s="1">
        <v>180000</v>
      </c>
      <c r="G84" t="s">
        <v>15</v>
      </c>
      <c r="H84" s="1">
        <v>46</v>
      </c>
      <c r="I84" t="str">
        <f t="shared" si="5"/>
        <v>Check</v>
      </c>
      <c r="J84">
        <f t="shared" si="6"/>
        <v>32.29</v>
      </c>
      <c r="K84">
        <f t="shared" si="8"/>
        <v>80541</v>
      </c>
      <c r="L84" t="str">
        <f t="shared" si="7"/>
        <v/>
      </c>
    </row>
    <row r="85" spans="1:12" x14ac:dyDescent="0.3">
      <c r="A85" t="s">
        <v>8</v>
      </c>
      <c r="B85" t="s">
        <v>9</v>
      </c>
      <c r="C85" t="s">
        <v>10</v>
      </c>
      <c r="D85" t="s">
        <v>113</v>
      </c>
      <c r="E85" s="1">
        <v>45784</v>
      </c>
      <c r="F85" s="1">
        <v>120000</v>
      </c>
      <c r="G85" t="s">
        <v>15</v>
      </c>
      <c r="H85" s="1">
        <v>47</v>
      </c>
      <c r="I85" t="str">
        <f t="shared" si="5"/>
        <v>Correct</v>
      </c>
      <c r="J85">
        <f t="shared" si="6"/>
        <v>38.153333333333336</v>
      </c>
      <c r="K85">
        <f t="shared" si="8"/>
        <v>49509</v>
      </c>
      <c r="L85" t="str">
        <f t="shared" si="7"/>
        <v/>
      </c>
    </row>
    <row r="86" spans="1:12" x14ac:dyDescent="0.3">
      <c r="A86" t="s">
        <v>8</v>
      </c>
      <c r="B86" t="s">
        <v>9</v>
      </c>
      <c r="C86" t="s">
        <v>10</v>
      </c>
      <c r="D86" t="s">
        <v>114</v>
      </c>
      <c r="E86" s="1">
        <v>35929</v>
      </c>
      <c r="F86" s="1">
        <v>120000</v>
      </c>
      <c r="G86" t="s">
        <v>12</v>
      </c>
      <c r="H86" s="1">
        <v>46</v>
      </c>
      <c r="I86" t="str">
        <f t="shared" si="5"/>
        <v>Check</v>
      </c>
      <c r="J86">
        <f t="shared" si="6"/>
        <v>29.940833333333334</v>
      </c>
      <c r="K86">
        <f t="shared" si="8"/>
        <v>49509</v>
      </c>
      <c r="L86" t="str">
        <f t="shared" si="7"/>
        <v/>
      </c>
    </row>
    <row r="87" spans="1:12" x14ac:dyDescent="0.3">
      <c r="A87" t="s">
        <v>25</v>
      </c>
      <c r="B87" t="s">
        <v>9</v>
      </c>
      <c r="C87" t="s">
        <v>18</v>
      </c>
      <c r="D87" t="s">
        <v>115</v>
      </c>
      <c r="E87" s="1">
        <v>43077</v>
      </c>
      <c r="F87" s="1">
        <v>110000</v>
      </c>
      <c r="G87" t="s">
        <v>15</v>
      </c>
      <c r="H87" s="1">
        <v>65</v>
      </c>
      <c r="I87" t="str">
        <f t="shared" si="5"/>
        <v>Check</v>
      </c>
      <c r="J87">
        <f t="shared" si="6"/>
        <v>39.160909090909094</v>
      </c>
      <c r="K87">
        <f t="shared" si="8"/>
        <v>45489</v>
      </c>
      <c r="L87" t="str">
        <f t="shared" si="7"/>
        <v/>
      </c>
    </row>
    <row r="88" spans="1:12" x14ac:dyDescent="0.3">
      <c r="A88" t="s">
        <v>8</v>
      </c>
      <c r="B88" t="s">
        <v>9</v>
      </c>
      <c r="C88" t="s">
        <v>10</v>
      </c>
      <c r="D88" t="s">
        <v>116</v>
      </c>
      <c r="E88" s="1">
        <v>27465</v>
      </c>
      <c r="F88" s="1">
        <v>120000</v>
      </c>
      <c r="G88" t="s">
        <v>12</v>
      </c>
      <c r="H88" s="1">
        <v>64</v>
      </c>
      <c r="I88" t="str">
        <f t="shared" si="5"/>
        <v>Correct</v>
      </c>
      <c r="J88">
        <f t="shared" si="6"/>
        <v>22.887499999999999</v>
      </c>
      <c r="K88">
        <f t="shared" si="8"/>
        <v>49509</v>
      </c>
      <c r="L88" t="str">
        <f t="shared" si="7"/>
        <v/>
      </c>
    </row>
    <row r="89" spans="1:12" x14ac:dyDescent="0.3">
      <c r="A89" t="s">
        <v>8</v>
      </c>
      <c r="B89" t="s">
        <v>9</v>
      </c>
      <c r="C89" t="s">
        <v>16</v>
      </c>
      <c r="D89" t="s">
        <v>117</v>
      </c>
      <c r="E89" s="1">
        <v>44087</v>
      </c>
      <c r="F89" s="1">
        <v>120000</v>
      </c>
      <c r="G89" t="s">
        <v>12</v>
      </c>
      <c r="H89" s="1">
        <v>57</v>
      </c>
      <c r="I89" t="str">
        <f t="shared" si="5"/>
        <v>Check</v>
      </c>
      <c r="J89">
        <f t="shared" si="6"/>
        <v>36.739166666666669</v>
      </c>
      <c r="K89">
        <f t="shared" si="8"/>
        <v>49509</v>
      </c>
      <c r="L89" t="str">
        <f t="shared" si="7"/>
        <v/>
      </c>
    </row>
    <row r="90" spans="1:12" x14ac:dyDescent="0.3">
      <c r="A90" t="s">
        <v>25</v>
      </c>
      <c r="B90" t="s">
        <v>9</v>
      </c>
      <c r="C90" t="s">
        <v>10</v>
      </c>
      <c r="D90" t="s">
        <v>118</v>
      </c>
      <c r="E90" s="1">
        <v>35101</v>
      </c>
      <c r="F90" s="1">
        <v>110000</v>
      </c>
      <c r="G90" t="s">
        <v>15</v>
      </c>
      <c r="H90" s="1">
        <v>32</v>
      </c>
      <c r="I90" t="str">
        <f t="shared" si="5"/>
        <v>Check</v>
      </c>
      <c r="J90">
        <f t="shared" si="6"/>
        <v>31.91</v>
      </c>
      <c r="K90">
        <f t="shared" si="8"/>
        <v>45489</v>
      </c>
      <c r="L90" t="str">
        <f t="shared" si="7"/>
        <v/>
      </c>
    </row>
    <row r="91" spans="1:12" x14ac:dyDescent="0.3">
      <c r="A91" t="s">
        <v>41</v>
      </c>
      <c r="B91" t="s">
        <v>42</v>
      </c>
      <c r="C91" t="s">
        <v>13</v>
      </c>
      <c r="D91" t="s">
        <v>119</v>
      </c>
      <c r="E91" s="1">
        <v>69699</v>
      </c>
      <c r="F91" s="1">
        <v>175000</v>
      </c>
      <c r="G91" t="s">
        <v>12</v>
      </c>
      <c r="H91" s="1">
        <v>36</v>
      </c>
      <c r="I91" t="str">
        <f t="shared" si="5"/>
        <v>Correct</v>
      </c>
      <c r="J91">
        <f t="shared" si="6"/>
        <v>39.828000000000003</v>
      </c>
      <c r="K91">
        <f t="shared" si="8"/>
        <v>77575</v>
      </c>
      <c r="L91" t="str">
        <f t="shared" si="7"/>
        <v/>
      </c>
    </row>
    <row r="92" spans="1:12" x14ac:dyDescent="0.3">
      <c r="A92" t="s">
        <v>41</v>
      </c>
      <c r="B92" t="s">
        <v>42</v>
      </c>
      <c r="C92" t="s">
        <v>18</v>
      </c>
      <c r="D92" t="s">
        <v>120</v>
      </c>
      <c r="E92" s="1">
        <v>65675</v>
      </c>
      <c r="F92" s="1">
        <v>175000</v>
      </c>
      <c r="G92" t="s">
        <v>12</v>
      </c>
      <c r="H92" s="1">
        <v>45</v>
      </c>
      <c r="I92" t="str">
        <f t="shared" si="5"/>
        <v>Check</v>
      </c>
      <c r="J92">
        <f t="shared" si="6"/>
        <v>37.528571428571425</v>
      </c>
      <c r="K92">
        <f t="shared" si="8"/>
        <v>77575</v>
      </c>
      <c r="L92" t="str">
        <f t="shared" si="7"/>
        <v/>
      </c>
    </row>
    <row r="93" spans="1:12" x14ac:dyDescent="0.3">
      <c r="A93" t="s">
        <v>25</v>
      </c>
      <c r="B93" t="s">
        <v>9</v>
      </c>
      <c r="C93" t="s">
        <v>13</v>
      </c>
      <c r="D93" t="s">
        <v>121</v>
      </c>
      <c r="E93" s="1">
        <v>38510</v>
      </c>
      <c r="F93" s="1">
        <v>110000</v>
      </c>
      <c r="G93" t="s">
        <v>12</v>
      </c>
      <c r="H93" s="1">
        <v>41</v>
      </c>
      <c r="I93" t="str">
        <f t="shared" si="5"/>
        <v>Check</v>
      </c>
      <c r="J93">
        <f t="shared" si="6"/>
        <v>35.009090909090908</v>
      </c>
      <c r="K93">
        <f t="shared" si="8"/>
        <v>45489</v>
      </c>
      <c r="L93" t="str">
        <f t="shared" si="7"/>
        <v/>
      </c>
    </row>
    <row r="94" spans="1:12" x14ac:dyDescent="0.3">
      <c r="A94" t="s">
        <v>41</v>
      </c>
      <c r="B94" t="s">
        <v>42</v>
      </c>
      <c r="C94" t="s">
        <v>18</v>
      </c>
      <c r="D94" t="s">
        <v>122</v>
      </c>
      <c r="E94" s="1">
        <v>77575</v>
      </c>
      <c r="F94" s="1">
        <v>175000</v>
      </c>
      <c r="G94" t="s">
        <v>12</v>
      </c>
      <c r="H94" s="1">
        <v>47</v>
      </c>
      <c r="I94" t="str">
        <f t="shared" si="5"/>
        <v>Check</v>
      </c>
      <c r="J94">
        <f t="shared" si="6"/>
        <v>44.328571428571429</v>
      </c>
      <c r="K94">
        <f t="shared" si="8"/>
        <v>77575</v>
      </c>
      <c r="L94" t="str">
        <f t="shared" si="7"/>
        <v>Winner</v>
      </c>
    </row>
    <row r="95" spans="1:12" x14ac:dyDescent="0.3">
      <c r="A95" t="s">
        <v>25</v>
      </c>
      <c r="B95" t="s">
        <v>9</v>
      </c>
      <c r="C95" t="s">
        <v>10</v>
      </c>
      <c r="D95" t="s">
        <v>123</v>
      </c>
      <c r="E95" s="1">
        <v>37535</v>
      </c>
      <c r="F95" s="1">
        <v>110000</v>
      </c>
      <c r="G95" t="s">
        <v>12</v>
      </c>
      <c r="H95" s="1">
        <v>60</v>
      </c>
      <c r="I95" t="str">
        <f t="shared" si="5"/>
        <v>Check</v>
      </c>
      <c r="J95">
        <f t="shared" si="6"/>
        <v>34.122727272727275</v>
      </c>
      <c r="K95">
        <f t="shared" si="8"/>
        <v>45489</v>
      </c>
      <c r="L95" t="str">
        <f t="shared" si="7"/>
        <v/>
      </c>
    </row>
    <row r="96" spans="1:12" x14ac:dyDescent="0.3">
      <c r="A96" t="s">
        <v>30</v>
      </c>
      <c r="B96" t="s">
        <v>9</v>
      </c>
      <c r="C96" t="s">
        <v>13</v>
      </c>
      <c r="D96" t="s">
        <v>124</v>
      </c>
      <c r="E96" s="1">
        <v>78515</v>
      </c>
      <c r="F96" s="1">
        <v>180000</v>
      </c>
      <c r="G96" t="s">
        <v>15</v>
      </c>
      <c r="H96" s="1">
        <v>52</v>
      </c>
      <c r="I96" t="str">
        <f t="shared" si="5"/>
        <v>Check</v>
      </c>
      <c r="J96">
        <f t="shared" si="6"/>
        <v>43.619444444444447</v>
      </c>
      <c r="K96">
        <f t="shared" si="8"/>
        <v>80541</v>
      </c>
      <c r="L96" t="str">
        <f t="shared" si="7"/>
        <v/>
      </c>
    </row>
    <row r="97" spans="1:12" x14ac:dyDescent="0.3">
      <c r="A97" t="s">
        <v>35</v>
      </c>
      <c r="B97" t="s">
        <v>36</v>
      </c>
      <c r="C97" t="s">
        <v>13</v>
      </c>
      <c r="D97" t="s">
        <v>125</v>
      </c>
      <c r="E97" s="1">
        <v>39609</v>
      </c>
      <c r="F97" s="1">
        <v>200000</v>
      </c>
      <c r="G97" t="s">
        <v>12</v>
      </c>
      <c r="H97" s="1">
        <v>42</v>
      </c>
      <c r="I97" t="str">
        <f t="shared" si="5"/>
        <v>Check</v>
      </c>
      <c r="J97">
        <f t="shared" si="6"/>
        <v>19.804500000000001</v>
      </c>
      <c r="K97">
        <f t="shared" si="8"/>
        <v>89567</v>
      </c>
      <c r="L97" t="str">
        <f t="shared" si="7"/>
        <v/>
      </c>
    </row>
    <row r="98" spans="1:12" x14ac:dyDescent="0.3">
      <c r="A98" t="s">
        <v>47</v>
      </c>
      <c r="B98" t="s">
        <v>48</v>
      </c>
      <c r="C98" t="s">
        <v>16</v>
      </c>
      <c r="D98" t="s">
        <v>126</v>
      </c>
      <c r="E98" s="1">
        <v>61517</v>
      </c>
      <c r="F98" s="1">
        <v>220000</v>
      </c>
      <c r="G98" t="s">
        <v>12</v>
      </c>
      <c r="H98" s="1">
        <v>47</v>
      </c>
      <c r="I98" t="str">
        <f t="shared" si="5"/>
        <v>Check</v>
      </c>
      <c r="J98">
        <f t="shared" si="6"/>
        <v>27.962272727272726</v>
      </c>
      <c r="K98">
        <f t="shared" si="8"/>
        <v>98000</v>
      </c>
      <c r="L98" t="str">
        <f t="shared" si="7"/>
        <v/>
      </c>
    </row>
    <row r="99" spans="1:12" x14ac:dyDescent="0.3">
      <c r="A99" t="s">
        <v>41</v>
      </c>
      <c r="B99" t="s">
        <v>42</v>
      </c>
      <c r="C99" t="s">
        <v>18</v>
      </c>
      <c r="D99" t="s">
        <v>127</v>
      </c>
      <c r="E99" s="1">
        <v>69532</v>
      </c>
      <c r="F99" s="1">
        <v>175000</v>
      </c>
      <c r="G99" t="s">
        <v>15</v>
      </c>
      <c r="H99" s="1">
        <v>31</v>
      </c>
      <c r="I99" t="str">
        <f t="shared" si="5"/>
        <v>Check</v>
      </c>
      <c r="J99">
        <f t="shared" si="6"/>
        <v>39.732571428571426</v>
      </c>
      <c r="K99">
        <f t="shared" si="8"/>
        <v>77575</v>
      </c>
      <c r="L99" t="str">
        <f t="shared" si="7"/>
        <v/>
      </c>
    </row>
    <row r="100" spans="1:12" x14ac:dyDescent="0.3">
      <c r="A100" t="s">
        <v>20</v>
      </c>
      <c r="B100" t="s">
        <v>9</v>
      </c>
      <c r="C100" t="s">
        <v>16</v>
      </c>
      <c r="D100" t="s">
        <v>128</v>
      </c>
      <c r="E100" s="1">
        <v>36702</v>
      </c>
      <c r="F100" s="1">
        <v>150000</v>
      </c>
      <c r="G100" t="s">
        <v>15</v>
      </c>
      <c r="H100" s="1">
        <v>32</v>
      </c>
      <c r="I100" t="str">
        <f t="shared" si="5"/>
        <v>Correct</v>
      </c>
      <c r="J100">
        <f t="shared" si="6"/>
        <v>24.468</v>
      </c>
      <c r="K100">
        <f t="shared" si="8"/>
        <v>64453</v>
      </c>
      <c r="L100" t="str">
        <f t="shared" si="7"/>
        <v/>
      </c>
    </row>
    <row r="101" spans="1:12" x14ac:dyDescent="0.3">
      <c r="A101" t="s">
        <v>20</v>
      </c>
      <c r="B101" t="s">
        <v>9</v>
      </c>
      <c r="C101" t="s">
        <v>18</v>
      </c>
      <c r="D101" t="s">
        <v>129</v>
      </c>
      <c r="E101" s="1">
        <v>47654</v>
      </c>
      <c r="F101" s="1">
        <v>150000</v>
      </c>
      <c r="G101" t="s">
        <v>15</v>
      </c>
      <c r="H101" s="1">
        <v>57</v>
      </c>
      <c r="I101" t="str">
        <f t="shared" si="5"/>
        <v>Check</v>
      </c>
      <c r="J101">
        <f t="shared" si="6"/>
        <v>31.769333333333332</v>
      </c>
      <c r="K101">
        <f t="shared" si="8"/>
        <v>64453</v>
      </c>
      <c r="L101" t="str">
        <f t="shared" si="7"/>
        <v/>
      </c>
    </row>
  </sheetData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6A6C-7911-4F19-A897-E9ECEFF2F1FF}">
  <dimension ref="A1:L116"/>
  <sheetViews>
    <sheetView showGridLines="0" workbookViewId="0">
      <selection activeCell="A23" sqref="A23"/>
    </sheetView>
  </sheetViews>
  <sheetFormatPr defaultRowHeight="14.4" x14ac:dyDescent="0.3"/>
  <cols>
    <col min="1" max="1" width="13.88671875" customWidth="1"/>
    <col min="4" max="4" width="11.44140625" customWidth="1"/>
    <col min="6" max="6" width="12.88671875" customWidth="1"/>
    <col min="7" max="7" width="9" customWidth="1"/>
    <col min="9" max="9" width="11.44140625" customWidth="1"/>
    <col min="11" max="11" width="11.5546875" customWidth="1"/>
    <col min="12" max="12" width="9" customWidth="1"/>
  </cols>
  <sheetData>
    <row r="1" customFormat="1" x14ac:dyDescent="0.3"/>
    <row r="2" customFormat="1" x14ac:dyDescent="0.3"/>
    <row r="22" spans="1:12" x14ac:dyDescent="0.3">
      <c r="A22" s="5" t="s">
        <v>141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">
      <c r="A23" t="s">
        <v>0</v>
      </c>
      <c r="B23" t="s">
        <v>1</v>
      </c>
      <c r="C23" t="s">
        <v>2</v>
      </c>
      <c r="D23" t="s">
        <v>3</v>
      </c>
      <c r="E23" s="1" t="s">
        <v>4</v>
      </c>
      <c r="F23" s="1" t="s">
        <v>5</v>
      </c>
      <c r="G23" t="s">
        <v>6</v>
      </c>
      <c r="H23" s="1" t="s">
        <v>7</v>
      </c>
      <c r="I23" t="s">
        <v>130</v>
      </c>
      <c r="J23" t="s">
        <v>131</v>
      </c>
      <c r="K23" t="s">
        <v>132</v>
      </c>
      <c r="L23" t="s">
        <v>133</v>
      </c>
    </row>
    <row r="24" spans="1:12" hidden="1" x14ac:dyDescent="0.3">
      <c r="A24" t="s">
        <v>8</v>
      </c>
      <c r="B24" t="s">
        <v>9</v>
      </c>
      <c r="C24" t="s">
        <v>10</v>
      </c>
      <c r="D24" t="s">
        <v>11</v>
      </c>
      <c r="E24" s="1">
        <v>45952</v>
      </c>
      <c r="F24" s="1">
        <v>120000</v>
      </c>
      <c r="G24" t="s">
        <v>12</v>
      </c>
      <c r="H24" s="1">
        <v>31</v>
      </c>
      <c r="I24" t="str">
        <f t="shared" ref="I24:I87" si="0">IF(F24=F25,"Correct","Check")</f>
        <v>Correct</v>
      </c>
      <c r="J24">
        <f t="shared" ref="J24:J87" si="1">(E24/F24)*100</f>
        <v>38.293333333333337</v>
      </c>
      <c r="K24">
        <f>_xlfn.MAXIFS(E:E,A:A,A24)</f>
        <v>49509</v>
      </c>
      <c r="L24" t="str">
        <f t="shared" ref="L24:L87" si="2">IF(E24=K24,"Winner","")</f>
        <v/>
      </c>
    </row>
    <row r="25" spans="1:12" hidden="1" x14ac:dyDescent="0.3">
      <c r="A25" t="s">
        <v>8</v>
      </c>
      <c r="B25" t="s">
        <v>9</v>
      </c>
      <c r="C25" t="s">
        <v>13</v>
      </c>
      <c r="D25" t="s">
        <v>14</v>
      </c>
      <c r="E25" s="1">
        <v>49299</v>
      </c>
      <c r="F25" s="1">
        <v>120000</v>
      </c>
      <c r="G25" t="s">
        <v>15</v>
      </c>
      <c r="H25" s="1">
        <v>45</v>
      </c>
      <c r="I25" t="str">
        <f t="shared" si="0"/>
        <v>Correct</v>
      </c>
      <c r="J25">
        <f t="shared" si="1"/>
        <v>41.082499999999996</v>
      </c>
      <c r="K25">
        <f t="shared" ref="K25:K88" si="3">_xlfn.MAXIFS(E:E,A:A,A25)</f>
        <v>49509</v>
      </c>
      <c r="L25" t="str">
        <f t="shared" si="2"/>
        <v/>
      </c>
    </row>
    <row r="26" spans="1:12" hidden="1" x14ac:dyDescent="0.3">
      <c r="A26" t="s">
        <v>8</v>
      </c>
      <c r="B26" t="s">
        <v>9</v>
      </c>
      <c r="C26" t="s">
        <v>16</v>
      </c>
      <c r="D26" t="s">
        <v>17</v>
      </c>
      <c r="E26" s="1">
        <v>32314</v>
      </c>
      <c r="F26" s="1">
        <v>120000</v>
      </c>
      <c r="G26" t="s">
        <v>12</v>
      </c>
      <c r="H26" s="1">
        <v>36</v>
      </c>
      <c r="I26" t="str">
        <f t="shared" si="0"/>
        <v>Correct</v>
      </c>
      <c r="J26">
        <f t="shared" si="1"/>
        <v>26.928333333333331</v>
      </c>
      <c r="K26">
        <f t="shared" si="3"/>
        <v>49509</v>
      </c>
      <c r="L26" t="str">
        <f t="shared" si="2"/>
        <v/>
      </c>
    </row>
    <row r="27" spans="1:12" hidden="1" x14ac:dyDescent="0.3">
      <c r="A27" t="s">
        <v>8</v>
      </c>
      <c r="B27" t="s">
        <v>9</v>
      </c>
      <c r="C27" t="s">
        <v>18</v>
      </c>
      <c r="D27" t="s">
        <v>19</v>
      </c>
      <c r="E27" s="1">
        <v>47174</v>
      </c>
      <c r="F27" s="1">
        <v>120000</v>
      </c>
      <c r="G27" t="s">
        <v>12</v>
      </c>
      <c r="H27" s="1">
        <v>57</v>
      </c>
      <c r="I27" t="str">
        <f t="shared" si="0"/>
        <v>Check</v>
      </c>
      <c r="J27">
        <f t="shared" si="1"/>
        <v>39.311666666666667</v>
      </c>
      <c r="K27">
        <f t="shared" si="3"/>
        <v>49509</v>
      </c>
      <c r="L27" t="str">
        <f t="shared" si="2"/>
        <v/>
      </c>
    </row>
    <row r="28" spans="1:12" hidden="1" x14ac:dyDescent="0.3">
      <c r="A28" t="s">
        <v>20</v>
      </c>
      <c r="B28" t="s">
        <v>9</v>
      </c>
      <c r="C28" t="s">
        <v>10</v>
      </c>
      <c r="D28" t="s">
        <v>21</v>
      </c>
      <c r="E28" s="1">
        <v>27082</v>
      </c>
      <c r="F28" s="1">
        <v>150000</v>
      </c>
      <c r="G28" t="s">
        <v>12</v>
      </c>
      <c r="H28" s="1">
        <v>35</v>
      </c>
      <c r="I28" t="str">
        <f t="shared" si="0"/>
        <v>Correct</v>
      </c>
      <c r="J28">
        <f t="shared" si="1"/>
        <v>18.054666666666666</v>
      </c>
      <c r="K28">
        <f t="shared" si="3"/>
        <v>64453</v>
      </c>
      <c r="L28" t="str">
        <f t="shared" si="2"/>
        <v/>
      </c>
    </row>
    <row r="29" spans="1:12" hidden="1" x14ac:dyDescent="0.3">
      <c r="A29" t="s">
        <v>20</v>
      </c>
      <c r="B29" t="s">
        <v>9</v>
      </c>
      <c r="C29" t="s">
        <v>13</v>
      </c>
      <c r="D29" t="s">
        <v>22</v>
      </c>
      <c r="E29" s="1">
        <v>39328</v>
      </c>
      <c r="F29" s="1">
        <v>150000</v>
      </c>
      <c r="G29" t="s">
        <v>12</v>
      </c>
      <c r="H29" s="1">
        <v>62</v>
      </c>
      <c r="I29" t="str">
        <f t="shared" si="0"/>
        <v>Correct</v>
      </c>
      <c r="J29">
        <f t="shared" si="1"/>
        <v>26.218666666666667</v>
      </c>
      <c r="K29">
        <f t="shared" si="3"/>
        <v>64453</v>
      </c>
      <c r="L29" t="str">
        <f t="shared" si="2"/>
        <v/>
      </c>
    </row>
    <row r="30" spans="1:12" x14ac:dyDescent="0.3">
      <c r="A30" t="s">
        <v>20</v>
      </c>
      <c r="B30" t="s">
        <v>9</v>
      </c>
      <c r="C30" t="s">
        <v>16</v>
      </c>
      <c r="D30" t="s">
        <v>23</v>
      </c>
      <c r="E30" s="1">
        <v>64453</v>
      </c>
      <c r="F30" s="1">
        <v>150000</v>
      </c>
      <c r="G30" t="s">
        <v>12</v>
      </c>
      <c r="H30" s="1">
        <v>65</v>
      </c>
      <c r="I30" t="str">
        <f t="shared" si="0"/>
        <v>Correct</v>
      </c>
      <c r="J30">
        <f t="shared" si="1"/>
        <v>42.968666666666664</v>
      </c>
      <c r="K30">
        <f t="shared" si="3"/>
        <v>64453</v>
      </c>
      <c r="L30" t="str">
        <f t="shared" si="2"/>
        <v>Winner</v>
      </c>
    </row>
    <row r="31" spans="1:12" hidden="1" x14ac:dyDescent="0.3">
      <c r="A31" t="s">
        <v>20</v>
      </c>
      <c r="B31" t="s">
        <v>9</v>
      </c>
      <c r="C31" t="s">
        <v>18</v>
      </c>
      <c r="D31" t="s">
        <v>24</v>
      </c>
      <c r="E31" s="1">
        <v>38031</v>
      </c>
      <c r="F31" s="1">
        <v>150000</v>
      </c>
      <c r="G31" t="s">
        <v>15</v>
      </c>
      <c r="H31" s="1">
        <v>44</v>
      </c>
      <c r="I31" t="str">
        <f t="shared" si="0"/>
        <v>Check</v>
      </c>
      <c r="J31">
        <f t="shared" si="1"/>
        <v>25.353999999999999</v>
      </c>
      <c r="K31">
        <f t="shared" si="3"/>
        <v>64453</v>
      </c>
      <c r="L31" t="str">
        <f t="shared" si="2"/>
        <v/>
      </c>
    </row>
    <row r="32" spans="1:12" hidden="1" x14ac:dyDescent="0.3">
      <c r="A32" t="s">
        <v>25</v>
      </c>
      <c r="B32" t="s">
        <v>9</v>
      </c>
      <c r="C32" t="s">
        <v>10</v>
      </c>
      <c r="D32" t="s">
        <v>26</v>
      </c>
      <c r="E32" s="1">
        <v>39719</v>
      </c>
      <c r="F32" s="1">
        <v>110000</v>
      </c>
      <c r="G32" t="s">
        <v>15</v>
      </c>
      <c r="H32" s="1">
        <v>30</v>
      </c>
      <c r="I32" t="str">
        <f t="shared" si="0"/>
        <v>Correct</v>
      </c>
      <c r="J32">
        <f t="shared" si="1"/>
        <v>36.108181818181819</v>
      </c>
      <c r="K32">
        <f t="shared" si="3"/>
        <v>45489</v>
      </c>
      <c r="L32" t="str">
        <f t="shared" si="2"/>
        <v/>
      </c>
    </row>
    <row r="33" spans="1:12" hidden="1" x14ac:dyDescent="0.3">
      <c r="A33" t="s">
        <v>25</v>
      </c>
      <c r="B33" t="s">
        <v>9</v>
      </c>
      <c r="C33" t="s">
        <v>13</v>
      </c>
      <c r="D33" t="s">
        <v>27</v>
      </c>
      <c r="E33" s="1">
        <v>30231</v>
      </c>
      <c r="F33" s="1">
        <v>110000</v>
      </c>
      <c r="G33" t="s">
        <v>15</v>
      </c>
      <c r="H33" s="1">
        <v>51</v>
      </c>
      <c r="I33" t="str">
        <f t="shared" si="0"/>
        <v>Correct</v>
      </c>
      <c r="J33">
        <f t="shared" si="1"/>
        <v>27.482727272727274</v>
      </c>
      <c r="K33">
        <f t="shared" si="3"/>
        <v>45489</v>
      </c>
      <c r="L33" t="str">
        <f t="shared" si="2"/>
        <v/>
      </c>
    </row>
    <row r="34" spans="1:12" hidden="1" x14ac:dyDescent="0.3">
      <c r="A34" t="s">
        <v>25</v>
      </c>
      <c r="B34" t="s">
        <v>9</v>
      </c>
      <c r="C34" t="s">
        <v>16</v>
      </c>
      <c r="D34" t="s">
        <v>28</v>
      </c>
      <c r="E34" s="1">
        <v>34105</v>
      </c>
      <c r="F34" s="1">
        <v>110000</v>
      </c>
      <c r="G34" t="s">
        <v>12</v>
      </c>
      <c r="H34" s="1">
        <v>43</v>
      </c>
      <c r="I34" t="str">
        <f t="shared" si="0"/>
        <v>Correct</v>
      </c>
      <c r="J34">
        <f t="shared" si="1"/>
        <v>31.004545454545458</v>
      </c>
      <c r="K34">
        <f t="shared" si="3"/>
        <v>45489</v>
      </c>
      <c r="L34" t="str">
        <f t="shared" si="2"/>
        <v/>
      </c>
    </row>
    <row r="35" spans="1:12" hidden="1" x14ac:dyDescent="0.3">
      <c r="A35" t="s">
        <v>25</v>
      </c>
      <c r="B35" t="s">
        <v>9</v>
      </c>
      <c r="C35" t="s">
        <v>18</v>
      </c>
      <c r="D35" t="s">
        <v>29</v>
      </c>
      <c r="E35" s="1">
        <v>36029</v>
      </c>
      <c r="F35" s="1">
        <v>110000</v>
      </c>
      <c r="G35" t="s">
        <v>12</v>
      </c>
      <c r="H35" s="1">
        <v>35</v>
      </c>
      <c r="I35" t="str">
        <f t="shared" si="0"/>
        <v>Check</v>
      </c>
      <c r="J35">
        <f t="shared" si="1"/>
        <v>32.75363636363636</v>
      </c>
      <c r="K35">
        <f t="shared" si="3"/>
        <v>45489</v>
      </c>
      <c r="L35" t="str">
        <f t="shared" si="2"/>
        <v/>
      </c>
    </row>
    <row r="36" spans="1:12" hidden="1" x14ac:dyDescent="0.3">
      <c r="A36" t="s">
        <v>30</v>
      </c>
      <c r="B36" t="s">
        <v>9</v>
      </c>
      <c r="C36" t="s">
        <v>10</v>
      </c>
      <c r="D36" t="s">
        <v>31</v>
      </c>
      <c r="E36" s="1">
        <v>49898</v>
      </c>
      <c r="F36" s="1">
        <v>180000</v>
      </c>
      <c r="G36" t="s">
        <v>12</v>
      </c>
      <c r="H36" s="1">
        <v>52</v>
      </c>
      <c r="I36" t="str">
        <f t="shared" si="0"/>
        <v>Correct</v>
      </c>
      <c r="J36">
        <f t="shared" si="1"/>
        <v>27.721111111111114</v>
      </c>
      <c r="K36">
        <f t="shared" si="3"/>
        <v>80541</v>
      </c>
      <c r="L36" t="str">
        <f t="shared" si="2"/>
        <v/>
      </c>
    </row>
    <row r="37" spans="1:12" x14ac:dyDescent="0.3">
      <c r="A37" t="s">
        <v>30</v>
      </c>
      <c r="B37" t="s">
        <v>9</v>
      </c>
      <c r="C37" t="s">
        <v>13</v>
      </c>
      <c r="D37" t="s">
        <v>32</v>
      </c>
      <c r="E37" s="1">
        <v>80541</v>
      </c>
      <c r="F37" s="1">
        <v>180000</v>
      </c>
      <c r="G37" t="s">
        <v>15</v>
      </c>
      <c r="H37" s="1">
        <v>46</v>
      </c>
      <c r="I37" t="str">
        <f t="shared" si="0"/>
        <v>Correct</v>
      </c>
      <c r="J37">
        <f t="shared" si="1"/>
        <v>44.745000000000005</v>
      </c>
      <c r="K37">
        <f t="shared" si="3"/>
        <v>80541</v>
      </c>
      <c r="L37" t="str">
        <f t="shared" si="2"/>
        <v>Winner</v>
      </c>
    </row>
    <row r="38" spans="1:12" hidden="1" x14ac:dyDescent="0.3">
      <c r="A38" t="s">
        <v>30</v>
      </c>
      <c r="B38" t="s">
        <v>9</v>
      </c>
      <c r="C38" t="s">
        <v>16</v>
      </c>
      <c r="D38" t="s">
        <v>33</v>
      </c>
      <c r="E38" s="1">
        <v>77895</v>
      </c>
      <c r="F38" s="1">
        <v>180000</v>
      </c>
      <c r="G38" t="s">
        <v>12</v>
      </c>
      <c r="H38" s="1">
        <v>59</v>
      </c>
      <c r="I38" t="str">
        <f t="shared" si="0"/>
        <v>Correct</v>
      </c>
      <c r="J38">
        <f t="shared" si="1"/>
        <v>43.275000000000006</v>
      </c>
      <c r="K38">
        <f t="shared" si="3"/>
        <v>80541</v>
      </c>
      <c r="L38" t="str">
        <f t="shared" si="2"/>
        <v/>
      </c>
    </row>
    <row r="39" spans="1:12" hidden="1" x14ac:dyDescent="0.3">
      <c r="A39" t="s">
        <v>30</v>
      </c>
      <c r="B39" t="s">
        <v>9</v>
      </c>
      <c r="C39" t="s">
        <v>18</v>
      </c>
      <c r="D39" t="s">
        <v>34</v>
      </c>
      <c r="E39" s="1">
        <v>60142</v>
      </c>
      <c r="F39" s="1">
        <v>180000</v>
      </c>
      <c r="G39" t="s">
        <v>12</v>
      </c>
      <c r="H39" s="1">
        <v>54</v>
      </c>
      <c r="I39" t="str">
        <f t="shared" si="0"/>
        <v>Check</v>
      </c>
      <c r="J39">
        <f t="shared" si="1"/>
        <v>33.412222222222219</v>
      </c>
      <c r="K39">
        <f t="shared" si="3"/>
        <v>80541</v>
      </c>
      <c r="L39" t="str">
        <f t="shared" si="2"/>
        <v/>
      </c>
    </row>
    <row r="40" spans="1:12" hidden="1" x14ac:dyDescent="0.3">
      <c r="A40" t="s">
        <v>35</v>
      </c>
      <c r="B40" t="s">
        <v>36</v>
      </c>
      <c r="C40" t="s">
        <v>10</v>
      </c>
      <c r="D40" t="s">
        <v>37</v>
      </c>
      <c r="E40" s="1">
        <v>30164</v>
      </c>
      <c r="F40" s="1">
        <v>200000</v>
      </c>
      <c r="G40" t="s">
        <v>15</v>
      </c>
      <c r="H40" s="1">
        <v>53</v>
      </c>
      <c r="I40" t="str">
        <f t="shared" si="0"/>
        <v>Correct</v>
      </c>
      <c r="J40">
        <f t="shared" si="1"/>
        <v>15.082000000000001</v>
      </c>
      <c r="K40">
        <f t="shared" si="3"/>
        <v>89567</v>
      </c>
      <c r="L40" t="str">
        <f t="shared" si="2"/>
        <v/>
      </c>
    </row>
    <row r="41" spans="1:12" hidden="1" x14ac:dyDescent="0.3">
      <c r="A41" t="s">
        <v>35</v>
      </c>
      <c r="B41" t="s">
        <v>36</v>
      </c>
      <c r="C41" t="s">
        <v>13</v>
      </c>
      <c r="D41" t="s">
        <v>38</v>
      </c>
      <c r="E41" s="1">
        <v>62837</v>
      </c>
      <c r="F41" s="1">
        <v>200000</v>
      </c>
      <c r="G41" t="s">
        <v>12</v>
      </c>
      <c r="H41" s="1">
        <v>34</v>
      </c>
      <c r="I41" t="str">
        <f t="shared" si="0"/>
        <v>Correct</v>
      </c>
      <c r="J41">
        <f t="shared" si="1"/>
        <v>31.418499999999998</v>
      </c>
      <c r="K41">
        <f t="shared" si="3"/>
        <v>89567</v>
      </c>
      <c r="L41" t="str">
        <f t="shared" si="2"/>
        <v/>
      </c>
    </row>
    <row r="42" spans="1:12" hidden="1" x14ac:dyDescent="0.3">
      <c r="A42" t="s">
        <v>35</v>
      </c>
      <c r="B42" t="s">
        <v>36</v>
      </c>
      <c r="C42" t="s">
        <v>16</v>
      </c>
      <c r="D42" t="s">
        <v>39</v>
      </c>
      <c r="E42" s="1">
        <v>28003</v>
      </c>
      <c r="F42" s="1">
        <v>200000</v>
      </c>
      <c r="G42" t="s">
        <v>12</v>
      </c>
      <c r="H42" s="1">
        <v>48</v>
      </c>
      <c r="I42" t="str">
        <f t="shared" si="0"/>
        <v>Correct</v>
      </c>
      <c r="J42">
        <f t="shared" si="1"/>
        <v>14.0015</v>
      </c>
      <c r="K42">
        <f t="shared" si="3"/>
        <v>89567</v>
      </c>
      <c r="L42" t="str">
        <f t="shared" si="2"/>
        <v/>
      </c>
    </row>
    <row r="43" spans="1:12" x14ac:dyDescent="0.3">
      <c r="A43" t="s">
        <v>35</v>
      </c>
      <c r="B43" t="s">
        <v>36</v>
      </c>
      <c r="C43" t="s">
        <v>18</v>
      </c>
      <c r="D43" t="s">
        <v>40</v>
      </c>
      <c r="E43" s="1">
        <v>89567</v>
      </c>
      <c r="F43" s="1">
        <v>200000</v>
      </c>
      <c r="G43" t="s">
        <v>12</v>
      </c>
      <c r="H43" s="1">
        <v>44</v>
      </c>
      <c r="I43" t="str">
        <f t="shared" si="0"/>
        <v>Check</v>
      </c>
      <c r="J43">
        <f t="shared" si="1"/>
        <v>44.783499999999997</v>
      </c>
      <c r="K43">
        <f t="shared" si="3"/>
        <v>89567</v>
      </c>
      <c r="L43" t="str">
        <f t="shared" si="2"/>
        <v>Winner</v>
      </c>
    </row>
    <row r="44" spans="1:12" hidden="1" x14ac:dyDescent="0.3">
      <c r="A44" t="s">
        <v>41</v>
      </c>
      <c r="B44" t="s">
        <v>42</v>
      </c>
      <c r="C44" t="s">
        <v>10</v>
      </c>
      <c r="D44" t="s">
        <v>43</v>
      </c>
      <c r="E44" s="1">
        <v>31619</v>
      </c>
      <c r="F44" s="1">
        <v>175000</v>
      </c>
      <c r="G44" t="s">
        <v>15</v>
      </c>
      <c r="H44" s="1">
        <v>47</v>
      </c>
      <c r="I44" t="str">
        <f t="shared" si="0"/>
        <v>Correct</v>
      </c>
      <c r="J44">
        <f t="shared" si="1"/>
        <v>18.068000000000001</v>
      </c>
      <c r="K44">
        <f t="shared" si="3"/>
        <v>77575</v>
      </c>
      <c r="L44" t="str">
        <f t="shared" si="2"/>
        <v/>
      </c>
    </row>
    <row r="45" spans="1:12" hidden="1" x14ac:dyDescent="0.3">
      <c r="A45" t="s">
        <v>41</v>
      </c>
      <c r="B45" t="s">
        <v>42</v>
      </c>
      <c r="C45" t="s">
        <v>13</v>
      </c>
      <c r="D45" t="s">
        <v>44</v>
      </c>
      <c r="E45" s="1">
        <v>54714</v>
      </c>
      <c r="F45" s="1">
        <v>175000</v>
      </c>
      <c r="G45" t="s">
        <v>15</v>
      </c>
      <c r="H45" s="1">
        <v>40</v>
      </c>
      <c r="I45" t="str">
        <f t="shared" si="0"/>
        <v>Correct</v>
      </c>
      <c r="J45">
        <f t="shared" si="1"/>
        <v>31.265142857142859</v>
      </c>
      <c r="K45">
        <f t="shared" si="3"/>
        <v>77575</v>
      </c>
      <c r="L45" t="str">
        <f t="shared" si="2"/>
        <v/>
      </c>
    </row>
    <row r="46" spans="1:12" hidden="1" x14ac:dyDescent="0.3">
      <c r="A46" t="s">
        <v>41</v>
      </c>
      <c r="B46" t="s">
        <v>42</v>
      </c>
      <c r="C46" t="s">
        <v>16</v>
      </c>
      <c r="D46" t="s">
        <v>45</v>
      </c>
      <c r="E46" s="1">
        <v>49260</v>
      </c>
      <c r="F46" s="1">
        <v>175000</v>
      </c>
      <c r="G46" t="s">
        <v>15</v>
      </c>
      <c r="H46" s="1">
        <v>43</v>
      </c>
      <c r="I46" t="str">
        <f t="shared" si="0"/>
        <v>Correct</v>
      </c>
      <c r="J46">
        <f t="shared" si="1"/>
        <v>28.148571428571429</v>
      </c>
      <c r="K46">
        <f t="shared" si="3"/>
        <v>77575</v>
      </c>
      <c r="L46" t="str">
        <f t="shared" si="2"/>
        <v/>
      </c>
    </row>
    <row r="47" spans="1:12" hidden="1" x14ac:dyDescent="0.3">
      <c r="A47" t="s">
        <v>41</v>
      </c>
      <c r="B47" t="s">
        <v>42</v>
      </c>
      <c r="C47" t="s">
        <v>18</v>
      </c>
      <c r="D47" t="s">
        <v>46</v>
      </c>
      <c r="E47" s="1">
        <v>68920</v>
      </c>
      <c r="F47" s="1">
        <v>175000</v>
      </c>
      <c r="G47" t="s">
        <v>15</v>
      </c>
      <c r="H47" s="1">
        <v>34</v>
      </c>
      <c r="I47" t="str">
        <f t="shared" si="0"/>
        <v>Check</v>
      </c>
      <c r="J47">
        <f t="shared" si="1"/>
        <v>39.382857142857141</v>
      </c>
      <c r="K47">
        <f t="shared" si="3"/>
        <v>77575</v>
      </c>
      <c r="L47" t="str">
        <f t="shared" si="2"/>
        <v/>
      </c>
    </row>
    <row r="48" spans="1:12" hidden="1" x14ac:dyDescent="0.3">
      <c r="A48" t="s">
        <v>47</v>
      </c>
      <c r="B48" t="s">
        <v>48</v>
      </c>
      <c r="C48" t="s">
        <v>10</v>
      </c>
      <c r="D48" t="s">
        <v>49</v>
      </c>
      <c r="E48" s="1">
        <v>47431</v>
      </c>
      <c r="F48" s="1">
        <v>220000</v>
      </c>
      <c r="G48" t="s">
        <v>12</v>
      </c>
      <c r="H48" s="1">
        <v>40</v>
      </c>
      <c r="I48" t="str">
        <f t="shared" si="0"/>
        <v>Correct</v>
      </c>
      <c r="J48">
        <f t="shared" si="1"/>
        <v>21.559545454545454</v>
      </c>
      <c r="K48">
        <f t="shared" si="3"/>
        <v>98000</v>
      </c>
      <c r="L48" t="str">
        <f t="shared" si="2"/>
        <v/>
      </c>
    </row>
    <row r="49" spans="1:12" hidden="1" x14ac:dyDescent="0.3">
      <c r="A49" t="s">
        <v>47</v>
      </c>
      <c r="B49" t="s">
        <v>48</v>
      </c>
      <c r="C49" t="s">
        <v>13</v>
      </c>
      <c r="D49" t="s">
        <v>50</v>
      </c>
      <c r="E49" s="1">
        <v>85589</v>
      </c>
      <c r="F49" s="1">
        <v>220000</v>
      </c>
      <c r="G49" t="s">
        <v>15</v>
      </c>
      <c r="H49" s="1">
        <v>47</v>
      </c>
      <c r="I49" t="str">
        <f t="shared" si="0"/>
        <v>Correct</v>
      </c>
      <c r="J49">
        <f t="shared" si="1"/>
        <v>38.904090909090911</v>
      </c>
      <c r="K49">
        <f t="shared" si="3"/>
        <v>98000</v>
      </c>
      <c r="L49" t="str">
        <f t="shared" si="2"/>
        <v/>
      </c>
    </row>
    <row r="50" spans="1:12" x14ac:dyDescent="0.3">
      <c r="A50" t="s">
        <v>47</v>
      </c>
      <c r="B50" t="s">
        <v>48</v>
      </c>
      <c r="C50" t="s">
        <v>16</v>
      </c>
      <c r="D50" t="s">
        <v>51</v>
      </c>
      <c r="E50" s="1">
        <v>98000</v>
      </c>
      <c r="F50" s="1">
        <v>220000</v>
      </c>
      <c r="G50" t="s">
        <v>12</v>
      </c>
      <c r="H50" s="1">
        <v>50</v>
      </c>
      <c r="I50" t="str">
        <f t="shared" si="0"/>
        <v>Correct</v>
      </c>
      <c r="J50">
        <f t="shared" si="1"/>
        <v>44.545454545454547</v>
      </c>
      <c r="K50">
        <f t="shared" si="3"/>
        <v>98000</v>
      </c>
      <c r="L50" t="str">
        <f t="shared" si="2"/>
        <v>Winner</v>
      </c>
    </row>
    <row r="51" spans="1:12" hidden="1" x14ac:dyDescent="0.3">
      <c r="A51" t="s">
        <v>47</v>
      </c>
      <c r="B51" t="s">
        <v>48</v>
      </c>
      <c r="C51" t="s">
        <v>18</v>
      </c>
      <c r="D51" t="s">
        <v>52</v>
      </c>
      <c r="E51" s="1">
        <v>32331</v>
      </c>
      <c r="F51" s="1">
        <v>220000</v>
      </c>
      <c r="G51" t="s">
        <v>12</v>
      </c>
      <c r="H51" s="1">
        <v>32</v>
      </c>
      <c r="I51" t="str">
        <f t="shared" si="0"/>
        <v>Check</v>
      </c>
      <c r="J51">
        <f t="shared" si="1"/>
        <v>14.69590909090909</v>
      </c>
      <c r="K51">
        <f t="shared" si="3"/>
        <v>98000</v>
      </c>
      <c r="L51" t="str">
        <f t="shared" si="2"/>
        <v/>
      </c>
    </row>
    <row r="52" spans="1:12" hidden="1" x14ac:dyDescent="0.3">
      <c r="A52" t="s">
        <v>53</v>
      </c>
      <c r="B52" t="s">
        <v>48</v>
      </c>
      <c r="C52" t="s">
        <v>10</v>
      </c>
      <c r="D52" t="s">
        <v>54</v>
      </c>
      <c r="E52" s="1">
        <v>77759</v>
      </c>
      <c r="F52" s="1">
        <v>190000</v>
      </c>
      <c r="G52" t="s">
        <v>15</v>
      </c>
      <c r="H52" s="1">
        <v>55</v>
      </c>
      <c r="I52" t="str">
        <f t="shared" si="0"/>
        <v>Correct</v>
      </c>
      <c r="J52">
        <f t="shared" si="1"/>
        <v>40.925789473684212</v>
      </c>
      <c r="K52">
        <f t="shared" si="3"/>
        <v>84843</v>
      </c>
      <c r="L52" t="str">
        <f t="shared" si="2"/>
        <v/>
      </c>
    </row>
    <row r="53" spans="1:12" hidden="1" x14ac:dyDescent="0.3">
      <c r="A53" t="s">
        <v>53</v>
      </c>
      <c r="B53" t="s">
        <v>48</v>
      </c>
      <c r="C53" t="s">
        <v>13</v>
      </c>
      <c r="D53" t="s">
        <v>55</v>
      </c>
      <c r="E53" s="1">
        <v>42546</v>
      </c>
      <c r="F53" s="1">
        <v>190000</v>
      </c>
      <c r="G53" t="s">
        <v>12</v>
      </c>
      <c r="H53" s="1">
        <v>43</v>
      </c>
      <c r="I53" t="str">
        <f t="shared" si="0"/>
        <v>Correct</v>
      </c>
      <c r="J53">
        <f t="shared" si="1"/>
        <v>22.39263157894737</v>
      </c>
      <c r="K53">
        <f t="shared" si="3"/>
        <v>84843</v>
      </c>
      <c r="L53" t="str">
        <f t="shared" si="2"/>
        <v/>
      </c>
    </row>
    <row r="54" spans="1:12" x14ac:dyDescent="0.3">
      <c r="A54" t="s">
        <v>53</v>
      </c>
      <c r="B54" t="s">
        <v>48</v>
      </c>
      <c r="C54" t="s">
        <v>16</v>
      </c>
      <c r="D54" t="s">
        <v>56</v>
      </c>
      <c r="E54" s="1">
        <v>84843</v>
      </c>
      <c r="F54" s="1">
        <v>190000</v>
      </c>
      <c r="G54" t="s">
        <v>15</v>
      </c>
      <c r="H54" s="1">
        <v>43</v>
      </c>
      <c r="I54" t="str">
        <f t="shared" si="0"/>
        <v>Correct</v>
      </c>
      <c r="J54">
        <f t="shared" si="1"/>
        <v>44.654210526315794</v>
      </c>
      <c r="K54">
        <f t="shared" si="3"/>
        <v>84843</v>
      </c>
      <c r="L54" t="str">
        <f t="shared" si="2"/>
        <v>Winner</v>
      </c>
    </row>
    <row r="55" spans="1:12" hidden="1" x14ac:dyDescent="0.3">
      <c r="A55" t="s">
        <v>53</v>
      </c>
      <c r="B55" t="s">
        <v>48</v>
      </c>
      <c r="C55" t="s">
        <v>18</v>
      </c>
      <c r="D55" t="s">
        <v>57</v>
      </c>
      <c r="E55" s="1">
        <v>67954</v>
      </c>
      <c r="F55" s="1">
        <v>190000</v>
      </c>
      <c r="G55" t="s">
        <v>15</v>
      </c>
      <c r="H55" s="1">
        <v>55</v>
      </c>
      <c r="I55" t="str">
        <f t="shared" si="0"/>
        <v>Check</v>
      </c>
      <c r="J55">
        <f t="shared" si="1"/>
        <v>35.765263157894736</v>
      </c>
      <c r="K55">
        <f t="shared" si="3"/>
        <v>84843</v>
      </c>
      <c r="L55" t="str">
        <f t="shared" si="2"/>
        <v/>
      </c>
    </row>
    <row r="56" spans="1:12" hidden="1" x14ac:dyDescent="0.3">
      <c r="A56" t="s">
        <v>58</v>
      </c>
      <c r="B56" t="s">
        <v>59</v>
      </c>
      <c r="C56" t="s">
        <v>10</v>
      </c>
      <c r="D56" t="s">
        <v>60</v>
      </c>
      <c r="E56" s="1">
        <v>85142</v>
      </c>
      <c r="F56" s="1">
        <v>210000</v>
      </c>
      <c r="G56" t="s">
        <v>12</v>
      </c>
      <c r="H56" s="1">
        <v>46</v>
      </c>
      <c r="I56" t="str">
        <f t="shared" si="0"/>
        <v>Correct</v>
      </c>
      <c r="J56">
        <f t="shared" si="1"/>
        <v>40.543809523809529</v>
      </c>
      <c r="K56">
        <f t="shared" si="3"/>
        <v>91307</v>
      </c>
      <c r="L56" t="str">
        <f t="shared" si="2"/>
        <v/>
      </c>
    </row>
    <row r="57" spans="1:12" hidden="1" x14ac:dyDescent="0.3">
      <c r="A57" t="s">
        <v>58</v>
      </c>
      <c r="B57" t="s">
        <v>59</v>
      </c>
      <c r="C57" t="s">
        <v>13</v>
      </c>
      <c r="D57" t="s">
        <v>61</v>
      </c>
      <c r="E57" s="1">
        <v>43301</v>
      </c>
      <c r="F57" s="1">
        <v>210000</v>
      </c>
      <c r="G57" t="s">
        <v>12</v>
      </c>
      <c r="H57" s="1">
        <v>65</v>
      </c>
      <c r="I57" t="str">
        <f t="shared" si="0"/>
        <v>Correct</v>
      </c>
      <c r="J57">
        <f t="shared" si="1"/>
        <v>20.619523809523809</v>
      </c>
      <c r="K57">
        <f t="shared" si="3"/>
        <v>91307</v>
      </c>
      <c r="L57" t="str">
        <f t="shared" si="2"/>
        <v/>
      </c>
    </row>
    <row r="58" spans="1:12" hidden="1" x14ac:dyDescent="0.3">
      <c r="A58" t="s">
        <v>58</v>
      </c>
      <c r="B58" t="s">
        <v>59</v>
      </c>
      <c r="C58" t="s">
        <v>16</v>
      </c>
      <c r="D58" t="s">
        <v>62</v>
      </c>
      <c r="E58" s="1">
        <v>59438</v>
      </c>
      <c r="F58" s="1">
        <v>210000</v>
      </c>
      <c r="G58" t="s">
        <v>15</v>
      </c>
      <c r="H58" s="1">
        <v>55</v>
      </c>
      <c r="I58" t="str">
        <f t="shared" si="0"/>
        <v>Correct</v>
      </c>
      <c r="J58">
        <f t="shared" si="1"/>
        <v>28.303809523809527</v>
      </c>
      <c r="K58">
        <f t="shared" si="3"/>
        <v>91307</v>
      </c>
      <c r="L58" t="str">
        <f t="shared" si="2"/>
        <v/>
      </c>
    </row>
    <row r="59" spans="1:12" hidden="1" x14ac:dyDescent="0.3">
      <c r="A59" t="s">
        <v>58</v>
      </c>
      <c r="B59" t="s">
        <v>59</v>
      </c>
      <c r="C59" t="s">
        <v>18</v>
      </c>
      <c r="D59" t="s">
        <v>63</v>
      </c>
      <c r="E59" s="1">
        <v>72447</v>
      </c>
      <c r="F59" s="1">
        <v>210000</v>
      </c>
      <c r="G59" t="s">
        <v>12</v>
      </c>
      <c r="H59" s="1">
        <v>38</v>
      </c>
      <c r="I59" t="str">
        <f t="shared" si="0"/>
        <v>Check</v>
      </c>
      <c r="J59">
        <f t="shared" si="1"/>
        <v>34.498571428571431</v>
      </c>
      <c r="K59">
        <f t="shared" si="3"/>
        <v>91307</v>
      </c>
      <c r="L59" t="str">
        <f t="shared" si="2"/>
        <v/>
      </c>
    </row>
    <row r="60" spans="1:12" x14ac:dyDescent="0.3">
      <c r="A60" t="s">
        <v>64</v>
      </c>
      <c r="B60" t="s">
        <v>65</v>
      </c>
      <c r="C60" t="s">
        <v>10</v>
      </c>
      <c r="D60" t="s">
        <v>66</v>
      </c>
      <c r="E60" s="1">
        <v>91784</v>
      </c>
      <c r="F60" s="1">
        <v>230000</v>
      </c>
      <c r="G60" t="s">
        <v>15</v>
      </c>
      <c r="H60" s="1">
        <v>35</v>
      </c>
      <c r="I60" t="str">
        <f t="shared" si="0"/>
        <v>Correct</v>
      </c>
      <c r="J60">
        <f t="shared" si="1"/>
        <v>39.90608695652174</v>
      </c>
      <c r="K60">
        <f t="shared" si="3"/>
        <v>91784</v>
      </c>
      <c r="L60" t="str">
        <f t="shared" si="2"/>
        <v>Winner</v>
      </c>
    </row>
    <row r="61" spans="1:12" hidden="1" x14ac:dyDescent="0.3">
      <c r="A61" t="s">
        <v>64</v>
      </c>
      <c r="B61" t="s">
        <v>65</v>
      </c>
      <c r="C61" t="s">
        <v>13</v>
      </c>
      <c r="D61" t="s">
        <v>67</v>
      </c>
      <c r="E61" s="1">
        <v>31175</v>
      </c>
      <c r="F61" s="1">
        <v>230000</v>
      </c>
      <c r="G61" t="s">
        <v>12</v>
      </c>
      <c r="H61" s="1">
        <v>39</v>
      </c>
      <c r="I61" t="str">
        <f t="shared" si="0"/>
        <v>Correct</v>
      </c>
      <c r="J61">
        <f t="shared" si="1"/>
        <v>13.554347826086957</v>
      </c>
      <c r="K61">
        <f t="shared" si="3"/>
        <v>91784</v>
      </c>
      <c r="L61" t="str">
        <f t="shared" si="2"/>
        <v/>
      </c>
    </row>
    <row r="62" spans="1:12" hidden="1" x14ac:dyDescent="0.3">
      <c r="A62" t="s">
        <v>64</v>
      </c>
      <c r="B62" t="s">
        <v>65</v>
      </c>
      <c r="C62" t="s">
        <v>16</v>
      </c>
      <c r="D62" t="s">
        <v>68</v>
      </c>
      <c r="E62" s="1">
        <v>45969</v>
      </c>
      <c r="F62" s="1">
        <v>230000</v>
      </c>
      <c r="G62" t="s">
        <v>15</v>
      </c>
      <c r="H62" s="1">
        <v>34</v>
      </c>
      <c r="I62" t="str">
        <f t="shared" si="0"/>
        <v>Correct</v>
      </c>
      <c r="J62">
        <f t="shared" si="1"/>
        <v>19.986521739130435</v>
      </c>
      <c r="K62">
        <f t="shared" si="3"/>
        <v>91784</v>
      </c>
      <c r="L62" t="str">
        <f t="shared" si="2"/>
        <v/>
      </c>
    </row>
    <row r="63" spans="1:12" hidden="1" x14ac:dyDescent="0.3">
      <c r="A63" t="s">
        <v>64</v>
      </c>
      <c r="B63" t="s">
        <v>65</v>
      </c>
      <c r="C63" t="s">
        <v>18</v>
      </c>
      <c r="D63" t="s">
        <v>69</v>
      </c>
      <c r="E63" s="1">
        <v>75432</v>
      </c>
      <c r="F63" s="1">
        <v>230000</v>
      </c>
      <c r="G63" t="s">
        <v>15</v>
      </c>
      <c r="H63" s="1">
        <v>59</v>
      </c>
      <c r="I63" t="str">
        <f t="shared" si="0"/>
        <v>Check</v>
      </c>
      <c r="J63">
        <f t="shared" si="1"/>
        <v>32.796521739130434</v>
      </c>
      <c r="K63">
        <f t="shared" si="3"/>
        <v>91784</v>
      </c>
      <c r="L63" t="str">
        <f t="shared" si="2"/>
        <v/>
      </c>
    </row>
    <row r="64" spans="1:12" hidden="1" x14ac:dyDescent="0.3">
      <c r="A64" t="s">
        <v>58</v>
      </c>
      <c r="B64" t="s">
        <v>59</v>
      </c>
      <c r="C64" t="s">
        <v>16</v>
      </c>
      <c r="D64" t="s">
        <v>70</v>
      </c>
      <c r="E64" s="1">
        <v>26504</v>
      </c>
      <c r="F64" s="1">
        <v>210000</v>
      </c>
      <c r="G64" t="s">
        <v>12</v>
      </c>
      <c r="H64" s="1">
        <v>64</v>
      </c>
      <c r="I64" t="str">
        <f t="shared" si="0"/>
        <v>Check</v>
      </c>
      <c r="J64">
        <f t="shared" si="1"/>
        <v>12.62095238095238</v>
      </c>
      <c r="K64">
        <f t="shared" si="3"/>
        <v>91307</v>
      </c>
      <c r="L64" t="str">
        <f t="shared" si="2"/>
        <v/>
      </c>
    </row>
    <row r="65" spans="1:12" hidden="1" x14ac:dyDescent="0.3">
      <c r="A65" t="s">
        <v>35</v>
      </c>
      <c r="B65" t="s">
        <v>36</v>
      </c>
      <c r="C65" t="s">
        <v>16</v>
      </c>
      <c r="D65" t="s">
        <v>71</v>
      </c>
      <c r="E65" s="1">
        <v>32310</v>
      </c>
      <c r="F65" s="1">
        <v>200000</v>
      </c>
      <c r="G65" t="s">
        <v>15</v>
      </c>
      <c r="H65" s="1">
        <v>57</v>
      </c>
      <c r="I65" t="str">
        <f t="shared" si="0"/>
        <v>Check</v>
      </c>
      <c r="J65">
        <f t="shared" si="1"/>
        <v>16.155000000000001</v>
      </c>
      <c r="K65">
        <f t="shared" si="3"/>
        <v>89567</v>
      </c>
      <c r="L65" t="str">
        <f t="shared" si="2"/>
        <v/>
      </c>
    </row>
    <row r="66" spans="1:12" hidden="1" x14ac:dyDescent="0.3">
      <c r="A66" t="s">
        <v>25</v>
      </c>
      <c r="B66" t="s">
        <v>9</v>
      </c>
      <c r="C66" t="s">
        <v>18</v>
      </c>
      <c r="D66" t="s">
        <v>72</v>
      </c>
      <c r="E66" s="1">
        <v>25106</v>
      </c>
      <c r="F66" s="1">
        <v>110000</v>
      </c>
      <c r="G66" t="s">
        <v>15</v>
      </c>
      <c r="H66" s="1">
        <v>62</v>
      </c>
      <c r="I66" t="str">
        <f t="shared" si="0"/>
        <v>Correct</v>
      </c>
      <c r="J66">
        <f t="shared" si="1"/>
        <v>22.823636363636364</v>
      </c>
      <c r="K66">
        <f t="shared" si="3"/>
        <v>45489</v>
      </c>
      <c r="L66" t="str">
        <f t="shared" si="2"/>
        <v/>
      </c>
    </row>
    <row r="67" spans="1:12" x14ac:dyDescent="0.3">
      <c r="A67" t="s">
        <v>25</v>
      </c>
      <c r="B67" t="s">
        <v>9</v>
      </c>
      <c r="C67" t="s">
        <v>10</v>
      </c>
      <c r="D67" t="s">
        <v>73</v>
      </c>
      <c r="E67" s="1">
        <v>45489</v>
      </c>
      <c r="F67" s="1">
        <v>110000</v>
      </c>
      <c r="G67" t="s">
        <v>15</v>
      </c>
      <c r="H67" s="1">
        <v>62</v>
      </c>
      <c r="I67" t="str">
        <f t="shared" si="0"/>
        <v>Check</v>
      </c>
      <c r="J67">
        <f t="shared" si="1"/>
        <v>41.353636363636362</v>
      </c>
      <c r="K67">
        <f t="shared" si="3"/>
        <v>45489</v>
      </c>
      <c r="L67" t="str">
        <f t="shared" si="2"/>
        <v>Winner</v>
      </c>
    </row>
    <row r="68" spans="1:12" hidden="1" x14ac:dyDescent="0.3">
      <c r="A68" t="s">
        <v>64</v>
      </c>
      <c r="B68" t="s">
        <v>65</v>
      </c>
      <c r="C68" t="s">
        <v>13</v>
      </c>
      <c r="D68" t="s">
        <v>74</v>
      </c>
      <c r="E68" s="1">
        <v>45032</v>
      </c>
      <c r="F68" s="1">
        <v>230000</v>
      </c>
      <c r="G68" t="s">
        <v>15</v>
      </c>
      <c r="H68" s="1">
        <v>40</v>
      </c>
      <c r="I68" t="str">
        <f t="shared" si="0"/>
        <v>Check</v>
      </c>
      <c r="J68">
        <f t="shared" si="1"/>
        <v>19.579130434782609</v>
      </c>
      <c r="K68">
        <f t="shared" si="3"/>
        <v>91784</v>
      </c>
      <c r="L68" t="str">
        <f t="shared" si="2"/>
        <v/>
      </c>
    </row>
    <row r="69" spans="1:12" hidden="1" x14ac:dyDescent="0.3">
      <c r="A69" t="s">
        <v>58</v>
      </c>
      <c r="B69" t="s">
        <v>59</v>
      </c>
      <c r="C69" t="s">
        <v>10</v>
      </c>
      <c r="D69" t="s">
        <v>75</v>
      </c>
      <c r="E69" s="1">
        <v>67487</v>
      </c>
      <c r="F69" s="1">
        <v>210000</v>
      </c>
      <c r="G69" t="s">
        <v>15</v>
      </c>
      <c r="H69" s="1">
        <v>31</v>
      </c>
      <c r="I69" t="str">
        <f t="shared" si="0"/>
        <v>Check</v>
      </c>
      <c r="J69">
        <f t="shared" si="1"/>
        <v>32.13666666666667</v>
      </c>
      <c r="K69">
        <f t="shared" si="3"/>
        <v>91307</v>
      </c>
      <c r="L69" t="str">
        <f t="shared" si="2"/>
        <v/>
      </c>
    </row>
    <row r="70" spans="1:12" hidden="1" x14ac:dyDescent="0.3">
      <c r="A70" t="s">
        <v>20</v>
      </c>
      <c r="B70" t="s">
        <v>9</v>
      </c>
      <c r="C70" t="s">
        <v>16</v>
      </c>
      <c r="D70" t="s">
        <v>76</v>
      </c>
      <c r="E70" s="1">
        <v>45153</v>
      </c>
      <c r="F70" s="1">
        <v>150000</v>
      </c>
      <c r="G70" t="s">
        <v>12</v>
      </c>
      <c r="H70" s="1">
        <v>33</v>
      </c>
      <c r="I70" t="str">
        <f t="shared" si="0"/>
        <v>Check</v>
      </c>
      <c r="J70">
        <f t="shared" si="1"/>
        <v>30.102</v>
      </c>
      <c r="K70">
        <f t="shared" si="3"/>
        <v>64453</v>
      </c>
      <c r="L70" t="str">
        <f t="shared" si="2"/>
        <v/>
      </c>
    </row>
    <row r="71" spans="1:12" hidden="1" x14ac:dyDescent="0.3">
      <c r="A71" t="s">
        <v>30</v>
      </c>
      <c r="B71" t="s">
        <v>9</v>
      </c>
      <c r="C71" t="s">
        <v>10</v>
      </c>
      <c r="D71" t="s">
        <v>77</v>
      </c>
      <c r="E71" s="1">
        <v>30613</v>
      </c>
      <c r="F71" s="1">
        <v>180000</v>
      </c>
      <c r="G71" t="s">
        <v>15</v>
      </c>
      <c r="H71" s="1">
        <v>34</v>
      </c>
      <c r="I71" t="str">
        <f t="shared" si="0"/>
        <v>Check</v>
      </c>
      <c r="J71">
        <f t="shared" si="1"/>
        <v>17.007222222222225</v>
      </c>
      <c r="K71">
        <f t="shared" si="3"/>
        <v>80541</v>
      </c>
      <c r="L71" t="str">
        <f t="shared" si="2"/>
        <v/>
      </c>
    </row>
    <row r="72" spans="1:12" hidden="1" x14ac:dyDescent="0.3">
      <c r="A72" t="s">
        <v>58</v>
      </c>
      <c r="B72" t="s">
        <v>59</v>
      </c>
      <c r="C72" t="s">
        <v>13</v>
      </c>
      <c r="D72" t="s">
        <v>78</v>
      </c>
      <c r="E72" s="1">
        <v>41828</v>
      </c>
      <c r="F72" s="1">
        <v>210000</v>
      </c>
      <c r="G72" t="s">
        <v>15</v>
      </c>
      <c r="H72" s="1">
        <v>65</v>
      </c>
      <c r="I72" t="str">
        <f t="shared" si="0"/>
        <v>Check</v>
      </c>
      <c r="J72">
        <f t="shared" si="1"/>
        <v>19.918095238095237</v>
      </c>
      <c r="K72">
        <f t="shared" si="3"/>
        <v>91307</v>
      </c>
      <c r="L72" t="str">
        <f t="shared" si="2"/>
        <v/>
      </c>
    </row>
    <row r="73" spans="1:12" hidden="1" x14ac:dyDescent="0.3">
      <c r="A73" t="s">
        <v>25</v>
      </c>
      <c r="B73" t="s">
        <v>9</v>
      </c>
      <c r="C73" t="s">
        <v>16</v>
      </c>
      <c r="D73" t="s">
        <v>79</v>
      </c>
      <c r="E73" s="1">
        <v>42290</v>
      </c>
      <c r="F73" s="1">
        <v>110000</v>
      </c>
      <c r="G73" t="s">
        <v>15</v>
      </c>
      <c r="H73" s="1">
        <v>43</v>
      </c>
      <c r="I73" t="str">
        <f t="shared" si="0"/>
        <v>Check</v>
      </c>
      <c r="J73">
        <f t="shared" si="1"/>
        <v>38.445454545454545</v>
      </c>
      <c r="K73">
        <f t="shared" si="3"/>
        <v>45489</v>
      </c>
      <c r="L73" t="str">
        <f t="shared" si="2"/>
        <v/>
      </c>
    </row>
    <row r="74" spans="1:12" hidden="1" x14ac:dyDescent="0.3">
      <c r="A74" t="s">
        <v>58</v>
      </c>
      <c r="B74" t="s">
        <v>59</v>
      </c>
      <c r="C74" t="s">
        <v>13</v>
      </c>
      <c r="D74" t="s">
        <v>80</v>
      </c>
      <c r="E74" s="1">
        <v>65857</v>
      </c>
      <c r="F74" s="1">
        <v>210000</v>
      </c>
      <c r="G74" t="s">
        <v>15</v>
      </c>
      <c r="H74" s="1">
        <v>53</v>
      </c>
      <c r="I74" t="str">
        <f t="shared" si="0"/>
        <v>Check</v>
      </c>
      <c r="J74">
        <f t="shared" si="1"/>
        <v>31.360476190476188</v>
      </c>
      <c r="K74">
        <f t="shared" si="3"/>
        <v>91307</v>
      </c>
      <c r="L74" t="str">
        <f t="shared" si="2"/>
        <v/>
      </c>
    </row>
    <row r="75" spans="1:12" hidden="1" x14ac:dyDescent="0.3">
      <c r="A75" t="s">
        <v>53</v>
      </c>
      <c r="B75" t="s">
        <v>48</v>
      </c>
      <c r="C75" t="s">
        <v>18</v>
      </c>
      <c r="D75" t="s">
        <v>81</v>
      </c>
      <c r="E75" s="1">
        <v>32930</v>
      </c>
      <c r="F75" s="1">
        <v>190000</v>
      </c>
      <c r="G75" t="s">
        <v>12</v>
      </c>
      <c r="H75" s="1">
        <v>44</v>
      </c>
      <c r="I75" t="str">
        <f t="shared" si="0"/>
        <v>Check</v>
      </c>
      <c r="J75">
        <f t="shared" si="1"/>
        <v>17.331578947368421</v>
      </c>
      <c r="K75">
        <f t="shared" si="3"/>
        <v>84843</v>
      </c>
      <c r="L75" t="str">
        <f t="shared" si="2"/>
        <v/>
      </c>
    </row>
    <row r="76" spans="1:12" hidden="1" x14ac:dyDescent="0.3">
      <c r="A76" t="s">
        <v>20</v>
      </c>
      <c r="B76" t="s">
        <v>9</v>
      </c>
      <c r="C76" t="s">
        <v>16</v>
      </c>
      <c r="D76" t="s">
        <v>82</v>
      </c>
      <c r="E76" s="1">
        <v>26378</v>
      </c>
      <c r="F76" s="1">
        <v>150000</v>
      </c>
      <c r="G76" t="s">
        <v>12</v>
      </c>
      <c r="H76" s="1">
        <v>44</v>
      </c>
      <c r="I76" t="str">
        <f t="shared" si="0"/>
        <v>Check</v>
      </c>
      <c r="J76">
        <f t="shared" si="1"/>
        <v>17.585333333333335</v>
      </c>
      <c r="K76">
        <f t="shared" si="3"/>
        <v>64453</v>
      </c>
      <c r="L76" t="str">
        <f t="shared" si="2"/>
        <v/>
      </c>
    </row>
    <row r="77" spans="1:12" hidden="1" x14ac:dyDescent="0.3">
      <c r="A77" t="s">
        <v>8</v>
      </c>
      <c r="B77" t="s">
        <v>9</v>
      </c>
      <c r="C77" t="s">
        <v>10</v>
      </c>
      <c r="D77" t="s">
        <v>83</v>
      </c>
      <c r="E77" s="1">
        <v>48194</v>
      </c>
      <c r="F77" s="1">
        <v>120000</v>
      </c>
      <c r="G77" t="s">
        <v>12</v>
      </c>
      <c r="H77" s="1">
        <v>44</v>
      </c>
      <c r="I77" t="str">
        <f t="shared" si="0"/>
        <v>Check</v>
      </c>
      <c r="J77">
        <f t="shared" si="1"/>
        <v>40.161666666666669</v>
      </c>
      <c r="K77">
        <f t="shared" si="3"/>
        <v>49509</v>
      </c>
      <c r="L77" t="str">
        <f t="shared" si="2"/>
        <v/>
      </c>
    </row>
    <row r="78" spans="1:12" hidden="1" x14ac:dyDescent="0.3">
      <c r="A78" t="s">
        <v>20</v>
      </c>
      <c r="B78" t="s">
        <v>9</v>
      </c>
      <c r="C78" t="s">
        <v>10</v>
      </c>
      <c r="D78" t="s">
        <v>84</v>
      </c>
      <c r="E78" s="1">
        <v>46654</v>
      </c>
      <c r="F78" s="1">
        <v>150000</v>
      </c>
      <c r="G78" t="s">
        <v>12</v>
      </c>
      <c r="H78" s="1">
        <v>62</v>
      </c>
      <c r="I78" t="str">
        <f t="shared" si="0"/>
        <v>Check</v>
      </c>
      <c r="J78">
        <f t="shared" si="1"/>
        <v>31.102666666666668</v>
      </c>
      <c r="K78">
        <f t="shared" si="3"/>
        <v>64453</v>
      </c>
      <c r="L78" t="str">
        <f t="shared" si="2"/>
        <v/>
      </c>
    </row>
    <row r="79" spans="1:12" hidden="1" x14ac:dyDescent="0.3">
      <c r="A79" t="s">
        <v>30</v>
      </c>
      <c r="B79" t="s">
        <v>9</v>
      </c>
      <c r="C79" t="s">
        <v>16</v>
      </c>
      <c r="D79" t="s">
        <v>85</v>
      </c>
      <c r="E79" s="1">
        <v>68842</v>
      </c>
      <c r="F79" s="1">
        <v>180000</v>
      </c>
      <c r="G79" t="s">
        <v>15</v>
      </c>
      <c r="H79" s="1">
        <v>43</v>
      </c>
      <c r="I79" t="str">
        <f t="shared" si="0"/>
        <v>Check</v>
      </c>
      <c r="J79">
        <f t="shared" si="1"/>
        <v>38.245555555555555</v>
      </c>
      <c r="K79">
        <f t="shared" si="3"/>
        <v>80541</v>
      </c>
      <c r="L79" t="str">
        <f t="shared" si="2"/>
        <v/>
      </c>
    </row>
    <row r="80" spans="1:12" hidden="1" x14ac:dyDescent="0.3">
      <c r="A80" t="s">
        <v>58</v>
      </c>
      <c r="B80" t="s">
        <v>59</v>
      </c>
      <c r="C80" t="s">
        <v>13</v>
      </c>
      <c r="D80" t="s">
        <v>86</v>
      </c>
      <c r="E80" s="1">
        <v>86953</v>
      </c>
      <c r="F80" s="1">
        <v>210000</v>
      </c>
      <c r="G80" t="s">
        <v>12</v>
      </c>
      <c r="H80" s="1">
        <v>60</v>
      </c>
      <c r="I80" t="str">
        <f t="shared" si="0"/>
        <v>Check</v>
      </c>
      <c r="J80">
        <f t="shared" si="1"/>
        <v>41.406190476190474</v>
      </c>
      <c r="K80">
        <f t="shared" si="3"/>
        <v>91307</v>
      </c>
      <c r="L80" t="str">
        <f t="shared" si="2"/>
        <v/>
      </c>
    </row>
    <row r="81" spans="1:12" hidden="1" x14ac:dyDescent="0.3">
      <c r="A81" t="s">
        <v>47</v>
      </c>
      <c r="B81" t="s">
        <v>48</v>
      </c>
      <c r="C81" t="s">
        <v>13</v>
      </c>
      <c r="D81" t="s">
        <v>87</v>
      </c>
      <c r="E81" s="1">
        <v>37363</v>
      </c>
      <c r="F81" s="1">
        <v>220000</v>
      </c>
      <c r="G81" t="s">
        <v>12</v>
      </c>
      <c r="H81" s="1">
        <v>57</v>
      </c>
      <c r="I81" t="str">
        <f t="shared" si="0"/>
        <v>Check</v>
      </c>
      <c r="J81">
        <f t="shared" si="1"/>
        <v>16.983181818181819</v>
      </c>
      <c r="K81">
        <f t="shared" si="3"/>
        <v>98000</v>
      </c>
      <c r="L81" t="str">
        <f t="shared" si="2"/>
        <v/>
      </c>
    </row>
    <row r="82" spans="1:12" hidden="1" x14ac:dyDescent="0.3">
      <c r="A82" t="s">
        <v>41</v>
      </c>
      <c r="B82" t="s">
        <v>42</v>
      </c>
      <c r="C82" t="s">
        <v>18</v>
      </c>
      <c r="D82" t="s">
        <v>88</v>
      </c>
      <c r="E82" s="1">
        <v>51941</v>
      </c>
      <c r="F82" s="1">
        <v>175000</v>
      </c>
      <c r="G82" t="s">
        <v>15</v>
      </c>
      <c r="H82" s="1">
        <v>33</v>
      </c>
      <c r="I82" t="str">
        <f t="shared" si="0"/>
        <v>Check</v>
      </c>
      <c r="J82">
        <f t="shared" si="1"/>
        <v>29.680571428571429</v>
      </c>
      <c r="K82">
        <f t="shared" si="3"/>
        <v>77575</v>
      </c>
      <c r="L82" t="str">
        <f t="shared" si="2"/>
        <v/>
      </c>
    </row>
    <row r="83" spans="1:12" hidden="1" x14ac:dyDescent="0.3">
      <c r="A83" t="s">
        <v>20</v>
      </c>
      <c r="B83" t="s">
        <v>9</v>
      </c>
      <c r="C83" t="s">
        <v>10</v>
      </c>
      <c r="D83" t="s">
        <v>89</v>
      </c>
      <c r="E83" s="1">
        <v>51386</v>
      </c>
      <c r="F83" s="1">
        <v>150000</v>
      </c>
      <c r="G83" t="s">
        <v>15</v>
      </c>
      <c r="H83" s="1">
        <v>36</v>
      </c>
      <c r="I83" t="str">
        <f t="shared" si="0"/>
        <v>Check</v>
      </c>
      <c r="J83">
        <f t="shared" si="1"/>
        <v>34.257333333333335</v>
      </c>
      <c r="K83">
        <f t="shared" si="3"/>
        <v>64453</v>
      </c>
      <c r="L83" t="str">
        <f t="shared" si="2"/>
        <v/>
      </c>
    </row>
    <row r="84" spans="1:12" hidden="1" x14ac:dyDescent="0.3">
      <c r="A84" t="s">
        <v>30</v>
      </c>
      <c r="B84" t="s">
        <v>9</v>
      </c>
      <c r="C84" t="s">
        <v>13</v>
      </c>
      <c r="D84" t="s">
        <v>90</v>
      </c>
      <c r="E84" s="1">
        <v>37465</v>
      </c>
      <c r="F84" s="1">
        <v>180000</v>
      </c>
      <c r="G84" t="s">
        <v>15</v>
      </c>
      <c r="H84" s="1">
        <v>38</v>
      </c>
      <c r="I84" t="str">
        <f t="shared" si="0"/>
        <v>Check</v>
      </c>
      <c r="J84">
        <f t="shared" si="1"/>
        <v>20.81388888888889</v>
      </c>
      <c r="K84">
        <f t="shared" si="3"/>
        <v>80541</v>
      </c>
      <c r="L84" t="str">
        <f t="shared" si="2"/>
        <v/>
      </c>
    </row>
    <row r="85" spans="1:12" hidden="1" x14ac:dyDescent="0.3">
      <c r="A85" t="s">
        <v>47</v>
      </c>
      <c r="B85" t="s">
        <v>48</v>
      </c>
      <c r="C85" t="s">
        <v>13</v>
      </c>
      <c r="D85" t="s">
        <v>91</v>
      </c>
      <c r="E85" s="1">
        <v>61509</v>
      </c>
      <c r="F85" s="1">
        <v>220000</v>
      </c>
      <c r="G85" t="s">
        <v>15</v>
      </c>
      <c r="H85" s="1">
        <v>45</v>
      </c>
      <c r="I85" t="str">
        <f t="shared" si="0"/>
        <v>Check</v>
      </c>
      <c r="J85">
        <f t="shared" si="1"/>
        <v>27.958636363636362</v>
      </c>
      <c r="K85">
        <f t="shared" si="3"/>
        <v>98000</v>
      </c>
      <c r="L85" t="str">
        <f t="shared" si="2"/>
        <v/>
      </c>
    </row>
    <row r="86" spans="1:12" hidden="1" x14ac:dyDescent="0.3">
      <c r="A86" t="s">
        <v>20</v>
      </c>
      <c r="B86" t="s">
        <v>9</v>
      </c>
      <c r="C86" t="s">
        <v>18</v>
      </c>
      <c r="D86" t="s">
        <v>92</v>
      </c>
      <c r="E86" s="1">
        <v>61066</v>
      </c>
      <c r="F86" s="1">
        <v>150000</v>
      </c>
      <c r="G86" t="s">
        <v>12</v>
      </c>
      <c r="H86" s="1">
        <v>33</v>
      </c>
      <c r="I86" t="str">
        <f t="shared" si="0"/>
        <v>Check</v>
      </c>
      <c r="J86">
        <f t="shared" si="1"/>
        <v>40.710666666666668</v>
      </c>
      <c r="K86">
        <f t="shared" si="3"/>
        <v>64453</v>
      </c>
      <c r="L86" t="str">
        <f t="shared" si="2"/>
        <v/>
      </c>
    </row>
    <row r="87" spans="1:12" hidden="1" x14ac:dyDescent="0.3">
      <c r="A87" t="s">
        <v>58</v>
      </c>
      <c r="B87" t="s">
        <v>59</v>
      </c>
      <c r="C87" t="s">
        <v>10</v>
      </c>
      <c r="D87" t="s">
        <v>93</v>
      </c>
      <c r="E87" s="1">
        <v>37224</v>
      </c>
      <c r="F87" s="1">
        <v>210000</v>
      </c>
      <c r="G87" t="s">
        <v>12</v>
      </c>
      <c r="H87" s="1">
        <v>40</v>
      </c>
      <c r="I87" t="str">
        <f t="shared" si="0"/>
        <v>Check</v>
      </c>
      <c r="J87">
        <f t="shared" si="1"/>
        <v>17.725714285714286</v>
      </c>
      <c r="K87">
        <f t="shared" si="3"/>
        <v>91307</v>
      </c>
      <c r="L87" t="str">
        <f t="shared" si="2"/>
        <v/>
      </c>
    </row>
    <row r="88" spans="1:12" hidden="1" x14ac:dyDescent="0.3">
      <c r="A88" t="s">
        <v>47</v>
      </c>
      <c r="B88" t="s">
        <v>48</v>
      </c>
      <c r="C88" t="s">
        <v>18</v>
      </c>
      <c r="D88" t="s">
        <v>94</v>
      </c>
      <c r="E88" s="1">
        <v>88092</v>
      </c>
      <c r="F88" s="1">
        <v>220000</v>
      </c>
      <c r="G88" t="s">
        <v>12</v>
      </c>
      <c r="H88" s="1">
        <v>55</v>
      </c>
      <c r="I88" t="str">
        <f t="shared" ref="I88:I116" si="4">IF(F88=F89,"Correct","Check")</f>
        <v>Check</v>
      </c>
      <c r="J88">
        <f t="shared" ref="J88:J116" si="5">(E88/F88)*100</f>
        <v>40.041818181818186</v>
      </c>
      <c r="K88">
        <f t="shared" si="3"/>
        <v>98000</v>
      </c>
      <c r="L88" t="str">
        <f t="shared" ref="L88:L116" si="6">IF(E88=K88,"Winner","")</f>
        <v/>
      </c>
    </row>
    <row r="89" spans="1:12" hidden="1" x14ac:dyDescent="0.3">
      <c r="A89" t="s">
        <v>8</v>
      </c>
      <c r="B89" t="s">
        <v>9</v>
      </c>
      <c r="C89" t="s">
        <v>13</v>
      </c>
      <c r="D89" t="s">
        <v>95</v>
      </c>
      <c r="E89" s="1">
        <v>37418</v>
      </c>
      <c r="F89" s="1">
        <v>120000</v>
      </c>
      <c r="G89" t="s">
        <v>12</v>
      </c>
      <c r="H89" s="1">
        <v>54</v>
      </c>
      <c r="I89" t="str">
        <f t="shared" si="4"/>
        <v>Check</v>
      </c>
      <c r="J89">
        <f t="shared" si="5"/>
        <v>31.181666666666668</v>
      </c>
      <c r="K89">
        <f t="shared" ref="K89:K116" si="7">_xlfn.MAXIFS(E:E,A:A,A89)</f>
        <v>49509</v>
      </c>
      <c r="L89" t="str">
        <f t="shared" si="6"/>
        <v/>
      </c>
    </row>
    <row r="90" spans="1:12" hidden="1" x14ac:dyDescent="0.3">
      <c r="A90" t="s">
        <v>35</v>
      </c>
      <c r="B90" t="s">
        <v>36</v>
      </c>
      <c r="C90" t="s">
        <v>18</v>
      </c>
      <c r="D90" t="s">
        <v>96</v>
      </c>
      <c r="E90" s="1">
        <v>43694</v>
      </c>
      <c r="F90" s="1">
        <v>200000</v>
      </c>
      <c r="G90" t="s">
        <v>15</v>
      </c>
      <c r="H90" s="1">
        <v>65</v>
      </c>
      <c r="I90" t="str">
        <f t="shared" si="4"/>
        <v>Check</v>
      </c>
      <c r="J90">
        <f t="shared" si="5"/>
        <v>21.847000000000001</v>
      </c>
      <c r="K90">
        <f t="shared" si="7"/>
        <v>89567</v>
      </c>
      <c r="L90" t="str">
        <f t="shared" si="6"/>
        <v/>
      </c>
    </row>
    <row r="91" spans="1:12" hidden="1" x14ac:dyDescent="0.3">
      <c r="A91" t="s">
        <v>53</v>
      </c>
      <c r="B91" t="s">
        <v>48</v>
      </c>
      <c r="C91" t="s">
        <v>13</v>
      </c>
      <c r="D91" t="s">
        <v>97</v>
      </c>
      <c r="E91" s="1">
        <v>37445</v>
      </c>
      <c r="F91" s="1">
        <v>190000</v>
      </c>
      <c r="G91" t="s">
        <v>15</v>
      </c>
      <c r="H91" s="1">
        <v>43</v>
      </c>
      <c r="I91" t="str">
        <f t="shared" si="4"/>
        <v>Check</v>
      </c>
      <c r="J91">
        <f t="shared" si="5"/>
        <v>19.707894736842103</v>
      </c>
      <c r="K91">
        <f t="shared" si="7"/>
        <v>84843</v>
      </c>
      <c r="L91" t="str">
        <f t="shared" si="6"/>
        <v/>
      </c>
    </row>
    <row r="92" spans="1:12" x14ac:dyDescent="0.3">
      <c r="A92" t="s">
        <v>8</v>
      </c>
      <c r="B92" t="s">
        <v>9</v>
      </c>
      <c r="C92" t="s">
        <v>10</v>
      </c>
      <c r="D92" t="s">
        <v>98</v>
      </c>
      <c r="E92" s="1">
        <v>49509</v>
      </c>
      <c r="F92" s="1">
        <v>120000</v>
      </c>
      <c r="G92" t="s">
        <v>15</v>
      </c>
      <c r="H92" s="1">
        <v>33</v>
      </c>
      <c r="I92" t="str">
        <f t="shared" si="4"/>
        <v>Correct</v>
      </c>
      <c r="J92">
        <f t="shared" si="5"/>
        <v>41.2575</v>
      </c>
      <c r="K92">
        <f t="shared" si="7"/>
        <v>49509</v>
      </c>
      <c r="L92" t="str">
        <f t="shared" si="6"/>
        <v>Winner</v>
      </c>
    </row>
    <row r="93" spans="1:12" hidden="1" x14ac:dyDescent="0.3">
      <c r="A93" t="s">
        <v>8</v>
      </c>
      <c r="B93" t="s">
        <v>9</v>
      </c>
      <c r="C93" t="s">
        <v>18</v>
      </c>
      <c r="D93" t="s">
        <v>99</v>
      </c>
      <c r="E93" s="1">
        <v>41477</v>
      </c>
      <c r="F93" s="1">
        <v>120000</v>
      </c>
      <c r="G93" t="s">
        <v>12</v>
      </c>
      <c r="H93" s="1">
        <v>33</v>
      </c>
      <c r="I93" t="str">
        <f t="shared" si="4"/>
        <v>Check</v>
      </c>
      <c r="J93">
        <f t="shared" si="5"/>
        <v>34.564166666666665</v>
      </c>
      <c r="K93">
        <f t="shared" si="7"/>
        <v>49509</v>
      </c>
      <c r="L93" t="str">
        <f t="shared" si="6"/>
        <v/>
      </c>
    </row>
    <row r="94" spans="1:12" hidden="1" x14ac:dyDescent="0.3">
      <c r="A94" t="s">
        <v>58</v>
      </c>
      <c r="B94" t="s">
        <v>59</v>
      </c>
      <c r="C94" t="s">
        <v>10</v>
      </c>
      <c r="D94" t="s">
        <v>100</v>
      </c>
      <c r="E94" s="1">
        <v>49356</v>
      </c>
      <c r="F94" s="1">
        <v>210000</v>
      </c>
      <c r="G94" t="s">
        <v>12</v>
      </c>
      <c r="H94" s="1">
        <v>34</v>
      </c>
      <c r="I94" t="str">
        <f t="shared" si="4"/>
        <v>Check</v>
      </c>
      <c r="J94">
        <f t="shared" si="5"/>
        <v>23.502857142857142</v>
      </c>
      <c r="K94">
        <f t="shared" si="7"/>
        <v>91307</v>
      </c>
      <c r="L94" t="str">
        <f t="shared" si="6"/>
        <v/>
      </c>
    </row>
    <row r="95" spans="1:12" hidden="1" x14ac:dyDescent="0.3">
      <c r="A95" t="s">
        <v>30</v>
      </c>
      <c r="B95" t="s">
        <v>9</v>
      </c>
      <c r="C95" t="s">
        <v>18</v>
      </c>
      <c r="D95" t="s">
        <v>101</v>
      </c>
      <c r="E95" s="1">
        <v>32856</v>
      </c>
      <c r="F95" s="1">
        <v>180000</v>
      </c>
      <c r="G95" t="s">
        <v>12</v>
      </c>
      <c r="H95" s="1">
        <v>32</v>
      </c>
      <c r="I95" t="str">
        <f t="shared" si="4"/>
        <v>Check</v>
      </c>
      <c r="J95">
        <f t="shared" si="5"/>
        <v>18.253333333333334</v>
      </c>
      <c r="K95">
        <f t="shared" si="7"/>
        <v>80541</v>
      </c>
      <c r="L95" t="str">
        <f t="shared" si="6"/>
        <v/>
      </c>
    </row>
    <row r="96" spans="1:12" hidden="1" x14ac:dyDescent="0.3">
      <c r="A96" t="s">
        <v>64</v>
      </c>
      <c r="B96" t="s">
        <v>65</v>
      </c>
      <c r="C96" t="s">
        <v>10</v>
      </c>
      <c r="D96" t="s">
        <v>102</v>
      </c>
      <c r="E96" s="1">
        <v>79948</v>
      </c>
      <c r="F96" s="1">
        <v>230000</v>
      </c>
      <c r="G96" t="s">
        <v>15</v>
      </c>
      <c r="H96" s="1">
        <v>46</v>
      </c>
      <c r="I96" t="str">
        <f t="shared" si="4"/>
        <v>Check</v>
      </c>
      <c r="J96">
        <f t="shared" si="5"/>
        <v>34.760000000000005</v>
      </c>
      <c r="K96">
        <f t="shared" si="7"/>
        <v>91784</v>
      </c>
      <c r="L96" t="str">
        <f t="shared" si="6"/>
        <v/>
      </c>
    </row>
    <row r="97" spans="1:12" hidden="1" x14ac:dyDescent="0.3">
      <c r="A97" t="s">
        <v>30</v>
      </c>
      <c r="B97" t="s">
        <v>9</v>
      </c>
      <c r="C97" t="s">
        <v>16</v>
      </c>
      <c r="D97" t="s">
        <v>103</v>
      </c>
      <c r="E97" s="1">
        <v>40642</v>
      </c>
      <c r="F97" s="1">
        <v>180000</v>
      </c>
      <c r="G97" t="s">
        <v>15</v>
      </c>
      <c r="H97" s="1">
        <v>55</v>
      </c>
      <c r="I97" t="str">
        <f t="shared" si="4"/>
        <v>Check</v>
      </c>
      <c r="J97">
        <f t="shared" si="5"/>
        <v>22.578888888888891</v>
      </c>
      <c r="K97">
        <f t="shared" si="7"/>
        <v>80541</v>
      </c>
      <c r="L97" t="str">
        <f t="shared" si="6"/>
        <v/>
      </c>
    </row>
    <row r="98" spans="1:12" hidden="1" x14ac:dyDescent="0.3">
      <c r="A98" t="s">
        <v>25</v>
      </c>
      <c r="B98" t="s">
        <v>9</v>
      </c>
      <c r="C98" t="s">
        <v>16</v>
      </c>
      <c r="D98" t="s">
        <v>104</v>
      </c>
      <c r="E98" s="1">
        <v>39982</v>
      </c>
      <c r="F98" s="1">
        <v>110000</v>
      </c>
      <c r="G98" t="s">
        <v>15</v>
      </c>
      <c r="H98" s="1">
        <v>34</v>
      </c>
      <c r="I98" t="str">
        <f t="shared" si="4"/>
        <v>Check</v>
      </c>
      <c r="J98">
        <f t="shared" si="5"/>
        <v>36.347272727272731</v>
      </c>
      <c r="K98">
        <f t="shared" si="7"/>
        <v>45489</v>
      </c>
      <c r="L98" t="str">
        <f t="shared" si="6"/>
        <v/>
      </c>
    </row>
    <row r="99" spans="1:12" hidden="1" x14ac:dyDescent="0.3">
      <c r="A99" t="s">
        <v>8</v>
      </c>
      <c r="B99" t="s">
        <v>9</v>
      </c>
      <c r="C99" t="s">
        <v>18</v>
      </c>
      <c r="D99" t="s">
        <v>105</v>
      </c>
      <c r="E99" s="1">
        <v>45354</v>
      </c>
      <c r="F99" s="1">
        <v>120000</v>
      </c>
      <c r="G99" t="s">
        <v>12</v>
      </c>
      <c r="H99" s="1">
        <v>34</v>
      </c>
      <c r="I99" t="str">
        <f t="shared" si="4"/>
        <v>Check</v>
      </c>
      <c r="J99">
        <f t="shared" si="5"/>
        <v>37.795000000000002</v>
      </c>
      <c r="K99">
        <f t="shared" si="7"/>
        <v>49509</v>
      </c>
      <c r="L99" t="str">
        <f t="shared" si="6"/>
        <v/>
      </c>
    </row>
    <row r="100" spans="1:12" x14ac:dyDescent="0.3">
      <c r="A100" t="s">
        <v>58</v>
      </c>
      <c r="B100" t="s">
        <v>59</v>
      </c>
      <c r="C100" t="s">
        <v>13</v>
      </c>
      <c r="D100" t="s">
        <v>106</v>
      </c>
      <c r="E100" s="1">
        <v>91307</v>
      </c>
      <c r="F100" s="1">
        <v>210000</v>
      </c>
      <c r="G100" t="s">
        <v>15</v>
      </c>
      <c r="H100" s="1">
        <v>38</v>
      </c>
      <c r="I100" t="str">
        <f t="shared" si="4"/>
        <v>Check</v>
      </c>
      <c r="J100">
        <f t="shared" si="5"/>
        <v>43.479523809523805</v>
      </c>
      <c r="K100">
        <f t="shared" si="7"/>
        <v>91307</v>
      </c>
      <c r="L100" t="str">
        <f t="shared" si="6"/>
        <v>Winner</v>
      </c>
    </row>
    <row r="101" spans="1:12" hidden="1" x14ac:dyDescent="0.3">
      <c r="A101" t="s">
        <v>41</v>
      </c>
      <c r="B101" t="s">
        <v>42</v>
      </c>
      <c r="C101" t="s">
        <v>10</v>
      </c>
      <c r="D101" t="s">
        <v>107</v>
      </c>
      <c r="E101" s="1">
        <v>41009</v>
      </c>
      <c r="F101" s="1">
        <v>175000</v>
      </c>
      <c r="G101" t="s">
        <v>15</v>
      </c>
      <c r="H101" s="1">
        <v>48</v>
      </c>
      <c r="I101" t="str">
        <f t="shared" si="4"/>
        <v>Check</v>
      </c>
      <c r="J101">
        <f t="shared" si="5"/>
        <v>23.433714285714284</v>
      </c>
      <c r="K101">
        <f t="shared" si="7"/>
        <v>77575</v>
      </c>
      <c r="L101" t="str">
        <f t="shared" si="6"/>
        <v/>
      </c>
    </row>
    <row r="102" spans="1:12" hidden="1" x14ac:dyDescent="0.3">
      <c r="A102" t="s">
        <v>25</v>
      </c>
      <c r="B102" t="s">
        <v>9</v>
      </c>
      <c r="C102" t="s">
        <v>18</v>
      </c>
      <c r="D102" t="s">
        <v>108</v>
      </c>
      <c r="E102" s="1">
        <v>42800</v>
      </c>
      <c r="F102" s="1">
        <v>110000</v>
      </c>
      <c r="G102" t="s">
        <v>15</v>
      </c>
      <c r="H102" s="1">
        <v>63</v>
      </c>
      <c r="I102" t="str">
        <f t="shared" si="4"/>
        <v>Check</v>
      </c>
      <c r="J102">
        <f t="shared" si="5"/>
        <v>38.909090909090907</v>
      </c>
      <c r="K102">
        <f t="shared" si="7"/>
        <v>45489</v>
      </c>
      <c r="L102" t="str">
        <f t="shared" si="6"/>
        <v/>
      </c>
    </row>
    <row r="103" spans="1:12" hidden="1" x14ac:dyDescent="0.3">
      <c r="A103" t="s">
        <v>8</v>
      </c>
      <c r="B103" t="s">
        <v>9</v>
      </c>
      <c r="C103" t="s">
        <v>16</v>
      </c>
      <c r="D103" t="s">
        <v>109</v>
      </c>
      <c r="E103" s="1">
        <v>46737</v>
      </c>
      <c r="F103" s="1">
        <v>120000</v>
      </c>
      <c r="G103" t="s">
        <v>12</v>
      </c>
      <c r="H103" s="1">
        <v>38</v>
      </c>
      <c r="I103" t="str">
        <f t="shared" si="4"/>
        <v>Check</v>
      </c>
      <c r="J103">
        <f t="shared" si="5"/>
        <v>38.947500000000005</v>
      </c>
      <c r="K103">
        <f t="shared" si="7"/>
        <v>49509</v>
      </c>
      <c r="L103" t="str">
        <f t="shared" si="6"/>
        <v/>
      </c>
    </row>
    <row r="104" spans="1:12" hidden="1" x14ac:dyDescent="0.3">
      <c r="A104" t="s">
        <v>35</v>
      </c>
      <c r="B104" t="s">
        <v>36</v>
      </c>
      <c r="C104" t="s">
        <v>10</v>
      </c>
      <c r="D104" t="s">
        <v>110</v>
      </c>
      <c r="E104" s="1">
        <v>83308</v>
      </c>
      <c r="F104" s="1">
        <v>200000</v>
      </c>
      <c r="G104" t="s">
        <v>12</v>
      </c>
      <c r="H104" s="1">
        <v>65</v>
      </c>
      <c r="I104" t="str">
        <f t="shared" si="4"/>
        <v>Check</v>
      </c>
      <c r="J104">
        <f t="shared" si="5"/>
        <v>41.654000000000003</v>
      </c>
      <c r="K104">
        <f t="shared" si="7"/>
        <v>89567</v>
      </c>
      <c r="L104" t="str">
        <f t="shared" si="6"/>
        <v/>
      </c>
    </row>
    <row r="105" spans="1:12" hidden="1" x14ac:dyDescent="0.3">
      <c r="A105" t="s">
        <v>25</v>
      </c>
      <c r="B105" t="s">
        <v>9</v>
      </c>
      <c r="C105" t="s">
        <v>16</v>
      </c>
      <c r="D105" t="s">
        <v>111</v>
      </c>
      <c r="E105" s="1">
        <v>34232</v>
      </c>
      <c r="F105" s="1">
        <v>110000</v>
      </c>
      <c r="G105" t="s">
        <v>12</v>
      </c>
      <c r="H105" s="1">
        <v>51</v>
      </c>
      <c r="I105" t="str">
        <f t="shared" si="4"/>
        <v>Check</v>
      </c>
      <c r="J105">
        <f t="shared" si="5"/>
        <v>31.119999999999997</v>
      </c>
      <c r="K105">
        <f t="shared" si="7"/>
        <v>45489</v>
      </c>
      <c r="L105" t="str">
        <f t="shared" si="6"/>
        <v/>
      </c>
    </row>
    <row r="106" spans="1:12" hidden="1" x14ac:dyDescent="0.3">
      <c r="A106" t="s">
        <v>30</v>
      </c>
      <c r="B106" t="s">
        <v>9</v>
      </c>
      <c r="C106" t="s">
        <v>16</v>
      </c>
      <c r="D106" t="s">
        <v>112</v>
      </c>
      <c r="E106" s="1">
        <v>58122</v>
      </c>
      <c r="F106" s="1">
        <v>180000</v>
      </c>
      <c r="G106" t="s">
        <v>15</v>
      </c>
      <c r="H106" s="1">
        <v>46</v>
      </c>
      <c r="I106" t="str">
        <f t="shared" si="4"/>
        <v>Check</v>
      </c>
      <c r="J106">
        <f t="shared" si="5"/>
        <v>32.29</v>
      </c>
      <c r="K106">
        <f t="shared" si="7"/>
        <v>80541</v>
      </c>
      <c r="L106" t="str">
        <f t="shared" si="6"/>
        <v/>
      </c>
    </row>
    <row r="107" spans="1:12" hidden="1" x14ac:dyDescent="0.3">
      <c r="A107" t="s">
        <v>8</v>
      </c>
      <c r="B107" t="s">
        <v>9</v>
      </c>
      <c r="C107" t="s">
        <v>10</v>
      </c>
      <c r="D107" t="s">
        <v>113</v>
      </c>
      <c r="E107" s="1">
        <v>45784</v>
      </c>
      <c r="F107" s="1">
        <v>120000</v>
      </c>
      <c r="G107" t="s">
        <v>15</v>
      </c>
      <c r="H107" s="1">
        <v>47</v>
      </c>
      <c r="I107" t="str">
        <f t="shared" si="4"/>
        <v>Correct</v>
      </c>
      <c r="J107">
        <f t="shared" si="5"/>
        <v>38.153333333333336</v>
      </c>
      <c r="K107">
        <f t="shared" si="7"/>
        <v>49509</v>
      </c>
      <c r="L107" t="str">
        <f t="shared" si="6"/>
        <v/>
      </c>
    </row>
    <row r="108" spans="1:12" hidden="1" x14ac:dyDescent="0.3">
      <c r="A108" t="s">
        <v>8</v>
      </c>
      <c r="B108" t="s">
        <v>9</v>
      </c>
      <c r="C108" t="s">
        <v>10</v>
      </c>
      <c r="D108" t="s">
        <v>114</v>
      </c>
      <c r="E108" s="1">
        <v>35929</v>
      </c>
      <c r="F108" s="1">
        <v>120000</v>
      </c>
      <c r="G108" t="s">
        <v>12</v>
      </c>
      <c r="H108" s="1">
        <v>46</v>
      </c>
      <c r="I108" t="str">
        <f t="shared" si="4"/>
        <v>Check</v>
      </c>
      <c r="J108">
        <f t="shared" si="5"/>
        <v>29.940833333333334</v>
      </c>
      <c r="K108">
        <f t="shared" si="7"/>
        <v>49509</v>
      </c>
      <c r="L108" t="str">
        <f t="shared" si="6"/>
        <v/>
      </c>
    </row>
    <row r="109" spans="1:12" hidden="1" x14ac:dyDescent="0.3">
      <c r="A109" t="s">
        <v>25</v>
      </c>
      <c r="B109" t="s">
        <v>9</v>
      </c>
      <c r="C109" t="s">
        <v>18</v>
      </c>
      <c r="D109" t="s">
        <v>115</v>
      </c>
      <c r="E109" s="1">
        <v>43077</v>
      </c>
      <c r="F109" s="1">
        <v>110000</v>
      </c>
      <c r="G109" t="s">
        <v>15</v>
      </c>
      <c r="H109" s="1">
        <v>65</v>
      </c>
      <c r="I109" t="str">
        <f t="shared" si="4"/>
        <v>Check</v>
      </c>
      <c r="J109">
        <f t="shared" si="5"/>
        <v>39.160909090909094</v>
      </c>
      <c r="K109">
        <f t="shared" si="7"/>
        <v>45489</v>
      </c>
      <c r="L109" t="str">
        <f t="shared" si="6"/>
        <v/>
      </c>
    </row>
    <row r="110" spans="1:12" hidden="1" x14ac:dyDescent="0.3">
      <c r="A110" t="s">
        <v>8</v>
      </c>
      <c r="B110" t="s">
        <v>9</v>
      </c>
      <c r="C110" t="s">
        <v>10</v>
      </c>
      <c r="D110" t="s">
        <v>116</v>
      </c>
      <c r="E110" s="1">
        <v>27465</v>
      </c>
      <c r="F110" s="1">
        <v>120000</v>
      </c>
      <c r="G110" t="s">
        <v>12</v>
      </c>
      <c r="H110" s="1">
        <v>64</v>
      </c>
      <c r="I110" t="str">
        <f t="shared" si="4"/>
        <v>Correct</v>
      </c>
      <c r="J110">
        <f t="shared" si="5"/>
        <v>22.887499999999999</v>
      </c>
      <c r="K110">
        <f t="shared" si="7"/>
        <v>49509</v>
      </c>
      <c r="L110" t="str">
        <f t="shared" si="6"/>
        <v/>
      </c>
    </row>
    <row r="111" spans="1:12" hidden="1" x14ac:dyDescent="0.3">
      <c r="A111" t="s">
        <v>8</v>
      </c>
      <c r="B111" t="s">
        <v>9</v>
      </c>
      <c r="C111" t="s">
        <v>16</v>
      </c>
      <c r="D111" t="s">
        <v>117</v>
      </c>
      <c r="E111" s="1">
        <v>44087</v>
      </c>
      <c r="F111" s="1">
        <v>120000</v>
      </c>
      <c r="G111" t="s">
        <v>12</v>
      </c>
      <c r="H111" s="1">
        <v>57</v>
      </c>
      <c r="I111" t="str">
        <f t="shared" si="4"/>
        <v>Check</v>
      </c>
      <c r="J111">
        <f t="shared" si="5"/>
        <v>36.739166666666669</v>
      </c>
      <c r="K111">
        <f t="shared" si="7"/>
        <v>49509</v>
      </c>
      <c r="L111" t="str">
        <f t="shared" si="6"/>
        <v/>
      </c>
    </row>
    <row r="112" spans="1:12" hidden="1" x14ac:dyDescent="0.3">
      <c r="A112" t="s">
        <v>25</v>
      </c>
      <c r="B112" t="s">
        <v>9</v>
      </c>
      <c r="C112" t="s">
        <v>10</v>
      </c>
      <c r="D112" t="s">
        <v>118</v>
      </c>
      <c r="E112" s="1">
        <v>35101</v>
      </c>
      <c r="F112" s="1">
        <v>110000</v>
      </c>
      <c r="G112" t="s">
        <v>15</v>
      </c>
      <c r="H112" s="1">
        <v>32</v>
      </c>
      <c r="I112" t="str">
        <f t="shared" si="4"/>
        <v>Check</v>
      </c>
      <c r="J112">
        <f t="shared" si="5"/>
        <v>31.91</v>
      </c>
      <c r="K112">
        <f t="shared" si="7"/>
        <v>45489</v>
      </c>
      <c r="L112" t="str">
        <f t="shared" si="6"/>
        <v/>
      </c>
    </row>
    <row r="113" spans="1:12" hidden="1" x14ac:dyDescent="0.3">
      <c r="A113" t="s">
        <v>41</v>
      </c>
      <c r="B113" t="s">
        <v>42</v>
      </c>
      <c r="C113" t="s">
        <v>13</v>
      </c>
      <c r="D113" t="s">
        <v>119</v>
      </c>
      <c r="E113" s="1">
        <v>69699</v>
      </c>
      <c r="F113" s="1">
        <v>175000</v>
      </c>
      <c r="G113" t="s">
        <v>12</v>
      </c>
      <c r="H113" s="1">
        <v>36</v>
      </c>
      <c r="I113" t="str">
        <f t="shared" si="4"/>
        <v>Correct</v>
      </c>
      <c r="J113">
        <f t="shared" si="5"/>
        <v>39.828000000000003</v>
      </c>
      <c r="K113">
        <f t="shared" si="7"/>
        <v>77575</v>
      </c>
      <c r="L113" t="str">
        <f t="shared" si="6"/>
        <v/>
      </c>
    </row>
    <row r="114" spans="1:12" hidden="1" x14ac:dyDescent="0.3">
      <c r="A114" t="s">
        <v>41</v>
      </c>
      <c r="B114" t="s">
        <v>42</v>
      </c>
      <c r="C114" t="s">
        <v>18</v>
      </c>
      <c r="D114" t="s">
        <v>120</v>
      </c>
      <c r="E114" s="1">
        <v>65675</v>
      </c>
      <c r="F114" s="1">
        <v>175000</v>
      </c>
      <c r="G114" t="s">
        <v>12</v>
      </c>
      <c r="H114" s="1">
        <v>45</v>
      </c>
      <c r="I114" t="str">
        <f t="shared" si="4"/>
        <v>Check</v>
      </c>
      <c r="J114">
        <f t="shared" si="5"/>
        <v>37.528571428571425</v>
      </c>
      <c r="K114">
        <f t="shared" si="7"/>
        <v>77575</v>
      </c>
      <c r="L114" t="str">
        <f t="shared" si="6"/>
        <v/>
      </c>
    </row>
    <row r="115" spans="1:12" hidden="1" x14ac:dyDescent="0.3">
      <c r="A115" t="s">
        <v>25</v>
      </c>
      <c r="B115" t="s">
        <v>9</v>
      </c>
      <c r="C115" t="s">
        <v>13</v>
      </c>
      <c r="D115" t="s">
        <v>121</v>
      </c>
      <c r="E115" s="1">
        <v>38510</v>
      </c>
      <c r="F115" s="1">
        <v>110000</v>
      </c>
      <c r="G115" t="s">
        <v>12</v>
      </c>
      <c r="H115" s="1">
        <v>41</v>
      </c>
      <c r="I115" t="str">
        <f t="shared" si="4"/>
        <v>Check</v>
      </c>
      <c r="J115">
        <f t="shared" si="5"/>
        <v>35.009090909090908</v>
      </c>
      <c r="K115">
        <f t="shared" si="7"/>
        <v>45489</v>
      </c>
      <c r="L115" t="str">
        <f t="shared" si="6"/>
        <v/>
      </c>
    </row>
    <row r="116" spans="1:12" x14ac:dyDescent="0.3">
      <c r="A116" t="s">
        <v>41</v>
      </c>
      <c r="B116" t="s">
        <v>42</v>
      </c>
      <c r="C116" t="s">
        <v>18</v>
      </c>
      <c r="D116" t="s">
        <v>122</v>
      </c>
      <c r="E116" s="1">
        <v>77575</v>
      </c>
      <c r="F116" s="1">
        <v>175000</v>
      </c>
      <c r="G116" t="s">
        <v>12</v>
      </c>
      <c r="H116" s="1">
        <v>47</v>
      </c>
      <c r="I116" t="str">
        <f t="shared" si="4"/>
        <v>Check</v>
      </c>
      <c r="J116">
        <f t="shared" si="5"/>
        <v>44.328571428571429</v>
      </c>
      <c r="K116">
        <f t="shared" si="7"/>
        <v>77575</v>
      </c>
      <c r="L116" t="str">
        <f t="shared" si="6"/>
        <v>Winner</v>
      </c>
    </row>
  </sheetData>
  <mergeCells count="1">
    <mergeCell ref="A22:L2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votes by party</vt:lpstr>
      <vt:lpstr>total votes by gender</vt:lpstr>
      <vt:lpstr>Election_Data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lakshman sai</cp:lastModifiedBy>
  <dcterms:created xsi:type="dcterms:W3CDTF">2026-05-07T15:01:25Z</dcterms:created>
  <dcterms:modified xsi:type="dcterms:W3CDTF">2026-05-07T15:57:15Z</dcterms:modified>
</cp:coreProperties>
</file>