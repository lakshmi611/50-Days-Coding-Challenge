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afff3750884c8e/Desktop/Desktop/lakshmi/sweety/Coding Challange/Day 4/"/>
    </mc:Choice>
  </mc:AlternateContent>
  <xr:revisionPtr revIDLastSave="348" documentId="8_{FC4DC3BC-0AFF-4E7B-B4DD-05174AD393DA}" xr6:coauthVersionLast="47" xr6:coauthVersionMax="47" xr10:uidLastSave="{7E7F2BDE-2E0E-4E02-837C-13D133CDA785}"/>
  <bookViews>
    <workbookView xWindow="-108" yWindow="-108" windowWidth="23256" windowHeight="12456" firstSheet="4" activeTab="6" xr2:uid="{17DB8122-3439-44BB-84E5-2C6AA8363E9E}"/>
  </bookViews>
  <sheets>
    <sheet name="banking_loan_data" sheetId="2" r:id="rId1"/>
    <sheet name="Loan status" sheetId="4" r:id="rId2"/>
    <sheet name="Loan grade" sheetId="5" r:id="rId3"/>
    <sheet name="Loan intent" sheetId="6" r:id="rId4"/>
    <sheet name="Monthly loan trend" sheetId="8" r:id="rId5"/>
    <sheet name="Distribution by loan grade" sheetId="9" r:id="rId6"/>
    <sheet name="cleaned data" sheetId="3" r:id="rId7"/>
  </sheets>
  <definedNames>
    <definedName name="ExternalData_1" localSheetId="0" hidden="1">banking_loan_data!$A$1:$P$1001</definedName>
    <definedName name="ExternalData_2" localSheetId="6" hidden="1">'cleaned data'!$A$1:$Z$1001</definedName>
  </definedNames>
  <calcPr calcId="191029"/>
  <pivotCaches>
    <pivotCache cacheId="1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2" l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T2" i="2"/>
  <c r="Y2" i="2" s="1"/>
  <c r="T3" i="2"/>
  <c r="Y3" i="2" s="1"/>
  <c r="T4" i="2"/>
  <c r="Y4" i="2" s="1"/>
  <c r="T5" i="2"/>
  <c r="Y5" i="2" s="1"/>
  <c r="T6" i="2"/>
  <c r="Y6" i="2" s="1"/>
  <c r="T7" i="2"/>
  <c r="Y7" i="2" s="1"/>
  <c r="T8" i="2"/>
  <c r="Y8" i="2" s="1"/>
  <c r="T9" i="2"/>
  <c r="Y9" i="2" s="1"/>
  <c r="T10" i="2"/>
  <c r="Y10" i="2" s="1"/>
  <c r="T11" i="2"/>
  <c r="Y11" i="2" s="1"/>
  <c r="T12" i="2"/>
  <c r="Y12" i="2" s="1"/>
  <c r="T13" i="2"/>
  <c r="Y13" i="2" s="1"/>
  <c r="T14" i="2"/>
  <c r="Y14" i="2" s="1"/>
  <c r="T15" i="2"/>
  <c r="Y15" i="2" s="1"/>
  <c r="T16" i="2"/>
  <c r="Y16" i="2" s="1"/>
  <c r="T17" i="2"/>
  <c r="Y17" i="2" s="1"/>
  <c r="T18" i="2"/>
  <c r="Y18" i="2" s="1"/>
  <c r="T19" i="2"/>
  <c r="Y19" i="2" s="1"/>
  <c r="T20" i="2"/>
  <c r="Y20" i="2" s="1"/>
  <c r="T21" i="2"/>
  <c r="Y21" i="2" s="1"/>
  <c r="T22" i="2"/>
  <c r="Y22" i="2" s="1"/>
  <c r="T23" i="2"/>
  <c r="Y23" i="2" s="1"/>
  <c r="T24" i="2"/>
  <c r="Y24" i="2" s="1"/>
  <c r="T25" i="2"/>
  <c r="Y25" i="2" s="1"/>
  <c r="T26" i="2"/>
  <c r="Y26" i="2" s="1"/>
  <c r="T27" i="2"/>
  <c r="Y27" i="2" s="1"/>
  <c r="T28" i="2"/>
  <c r="Y28" i="2" s="1"/>
  <c r="T29" i="2"/>
  <c r="Y29" i="2" s="1"/>
  <c r="T30" i="2"/>
  <c r="Y30" i="2" s="1"/>
  <c r="T31" i="2"/>
  <c r="Y31" i="2" s="1"/>
  <c r="T32" i="2"/>
  <c r="Y32" i="2" s="1"/>
  <c r="T33" i="2"/>
  <c r="Y33" i="2" s="1"/>
  <c r="T34" i="2"/>
  <c r="Y34" i="2" s="1"/>
  <c r="T35" i="2"/>
  <c r="Y35" i="2" s="1"/>
  <c r="T36" i="2"/>
  <c r="Y36" i="2" s="1"/>
  <c r="T37" i="2"/>
  <c r="Y37" i="2" s="1"/>
  <c r="T38" i="2"/>
  <c r="Y38" i="2" s="1"/>
  <c r="T39" i="2"/>
  <c r="Y39" i="2" s="1"/>
  <c r="T40" i="2"/>
  <c r="Y40" i="2" s="1"/>
  <c r="T41" i="2"/>
  <c r="Y41" i="2" s="1"/>
  <c r="T42" i="2"/>
  <c r="Y42" i="2" s="1"/>
  <c r="T43" i="2"/>
  <c r="Y43" i="2" s="1"/>
  <c r="T44" i="2"/>
  <c r="Y44" i="2" s="1"/>
  <c r="T45" i="2"/>
  <c r="Y45" i="2" s="1"/>
  <c r="T46" i="2"/>
  <c r="Y46" i="2" s="1"/>
  <c r="T47" i="2"/>
  <c r="Y47" i="2" s="1"/>
  <c r="T48" i="2"/>
  <c r="Y48" i="2" s="1"/>
  <c r="T49" i="2"/>
  <c r="Y49" i="2" s="1"/>
  <c r="T50" i="2"/>
  <c r="Y50" i="2" s="1"/>
  <c r="T51" i="2"/>
  <c r="Y51" i="2" s="1"/>
  <c r="T52" i="2"/>
  <c r="Y52" i="2" s="1"/>
  <c r="T53" i="2"/>
  <c r="Y53" i="2" s="1"/>
  <c r="T54" i="2"/>
  <c r="Y54" i="2" s="1"/>
  <c r="T55" i="2"/>
  <c r="Y55" i="2" s="1"/>
  <c r="T56" i="2"/>
  <c r="Y56" i="2" s="1"/>
  <c r="T57" i="2"/>
  <c r="Y57" i="2" s="1"/>
  <c r="T58" i="2"/>
  <c r="Y58" i="2" s="1"/>
  <c r="T59" i="2"/>
  <c r="Y59" i="2" s="1"/>
  <c r="T60" i="2"/>
  <c r="Y60" i="2" s="1"/>
  <c r="T61" i="2"/>
  <c r="Y61" i="2" s="1"/>
  <c r="T62" i="2"/>
  <c r="Y62" i="2" s="1"/>
  <c r="T63" i="2"/>
  <c r="Y63" i="2" s="1"/>
  <c r="T64" i="2"/>
  <c r="Y64" i="2" s="1"/>
  <c r="T65" i="2"/>
  <c r="Y65" i="2" s="1"/>
  <c r="T66" i="2"/>
  <c r="Y66" i="2" s="1"/>
  <c r="T67" i="2"/>
  <c r="Y67" i="2" s="1"/>
  <c r="T68" i="2"/>
  <c r="Y68" i="2" s="1"/>
  <c r="T69" i="2"/>
  <c r="Y69" i="2" s="1"/>
  <c r="T70" i="2"/>
  <c r="Y70" i="2" s="1"/>
  <c r="T71" i="2"/>
  <c r="Y71" i="2" s="1"/>
  <c r="T72" i="2"/>
  <c r="Y72" i="2" s="1"/>
  <c r="T73" i="2"/>
  <c r="Y73" i="2" s="1"/>
  <c r="T74" i="2"/>
  <c r="Y74" i="2" s="1"/>
  <c r="T75" i="2"/>
  <c r="Y75" i="2" s="1"/>
  <c r="T76" i="2"/>
  <c r="Y76" i="2" s="1"/>
  <c r="T77" i="2"/>
  <c r="Y77" i="2" s="1"/>
  <c r="T78" i="2"/>
  <c r="Y78" i="2" s="1"/>
  <c r="T79" i="2"/>
  <c r="Y79" i="2" s="1"/>
  <c r="T80" i="2"/>
  <c r="Y80" i="2" s="1"/>
  <c r="T81" i="2"/>
  <c r="Y81" i="2" s="1"/>
  <c r="T82" i="2"/>
  <c r="Y82" i="2" s="1"/>
  <c r="T83" i="2"/>
  <c r="Y83" i="2" s="1"/>
  <c r="T84" i="2"/>
  <c r="Y84" i="2" s="1"/>
  <c r="T85" i="2"/>
  <c r="Y85" i="2" s="1"/>
  <c r="T86" i="2"/>
  <c r="Y86" i="2" s="1"/>
  <c r="T87" i="2"/>
  <c r="Y87" i="2" s="1"/>
  <c r="T88" i="2"/>
  <c r="Y88" i="2" s="1"/>
  <c r="T89" i="2"/>
  <c r="Y89" i="2" s="1"/>
  <c r="T90" i="2"/>
  <c r="Y90" i="2" s="1"/>
  <c r="T91" i="2"/>
  <c r="Y91" i="2" s="1"/>
  <c r="T92" i="2"/>
  <c r="Y92" i="2" s="1"/>
  <c r="T93" i="2"/>
  <c r="Y93" i="2" s="1"/>
  <c r="T94" i="2"/>
  <c r="Y94" i="2" s="1"/>
  <c r="T95" i="2"/>
  <c r="Y95" i="2" s="1"/>
  <c r="T96" i="2"/>
  <c r="Y96" i="2" s="1"/>
  <c r="T97" i="2"/>
  <c r="Y97" i="2" s="1"/>
  <c r="T98" i="2"/>
  <c r="Y98" i="2" s="1"/>
  <c r="T99" i="2"/>
  <c r="Y99" i="2" s="1"/>
  <c r="T100" i="2"/>
  <c r="Y100" i="2" s="1"/>
  <c r="T101" i="2"/>
  <c r="Y101" i="2" s="1"/>
  <c r="T102" i="2"/>
  <c r="Y102" i="2" s="1"/>
  <c r="T103" i="2"/>
  <c r="Y103" i="2" s="1"/>
  <c r="T104" i="2"/>
  <c r="Y104" i="2" s="1"/>
  <c r="T105" i="2"/>
  <c r="Y105" i="2" s="1"/>
  <c r="T106" i="2"/>
  <c r="Y106" i="2" s="1"/>
  <c r="T107" i="2"/>
  <c r="Y107" i="2" s="1"/>
  <c r="T108" i="2"/>
  <c r="Y108" i="2" s="1"/>
  <c r="T109" i="2"/>
  <c r="Y109" i="2" s="1"/>
  <c r="T110" i="2"/>
  <c r="Y110" i="2" s="1"/>
  <c r="T111" i="2"/>
  <c r="Y111" i="2" s="1"/>
  <c r="T112" i="2"/>
  <c r="Y112" i="2" s="1"/>
  <c r="T113" i="2"/>
  <c r="Y113" i="2" s="1"/>
  <c r="T114" i="2"/>
  <c r="Y114" i="2" s="1"/>
  <c r="T115" i="2"/>
  <c r="Y115" i="2" s="1"/>
  <c r="T116" i="2"/>
  <c r="Y116" i="2" s="1"/>
  <c r="T117" i="2"/>
  <c r="Y117" i="2" s="1"/>
  <c r="T118" i="2"/>
  <c r="Y118" i="2" s="1"/>
  <c r="T119" i="2"/>
  <c r="Y119" i="2" s="1"/>
  <c r="T120" i="2"/>
  <c r="Y120" i="2" s="1"/>
  <c r="T121" i="2"/>
  <c r="Y121" i="2" s="1"/>
  <c r="T122" i="2"/>
  <c r="Y122" i="2" s="1"/>
  <c r="T123" i="2"/>
  <c r="Y123" i="2" s="1"/>
  <c r="T124" i="2"/>
  <c r="Y124" i="2" s="1"/>
  <c r="T125" i="2"/>
  <c r="Y125" i="2" s="1"/>
  <c r="T126" i="2"/>
  <c r="Y126" i="2" s="1"/>
  <c r="T127" i="2"/>
  <c r="Y127" i="2" s="1"/>
  <c r="T128" i="2"/>
  <c r="Y128" i="2" s="1"/>
  <c r="T129" i="2"/>
  <c r="Y129" i="2" s="1"/>
  <c r="T130" i="2"/>
  <c r="Y130" i="2" s="1"/>
  <c r="T131" i="2"/>
  <c r="Y131" i="2" s="1"/>
  <c r="T132" i="2"/>
  <c r="Y132" i="2" s="1"/>
  <c r="T133" i="2"/>
  <c r="Y133" i="2" s="1"/>
  <c r="T134" i="2"/>
  <c r="Y134" i="2" s="1"/>
  <c r="T135" i="2"/>
  <c r="Y135" i="2" s="1"/>
  <c r="T136" i="2"/>
  <c r="Y136" i="2" s="1"/>
  <c r="T137" i="2"/>
  <c r="Y137" i="2" s="1"/>
  <c r="T138" i="2"/>
  <c r="Y138" i="2" s="1"/>
  <c r="T139" i="2"/>
  <c r="Y139" i="2" s="1"/>
  <c r="T140" i="2"/>
  <c r="Y140" i="2" s="1"/>
  <c r="T141" i="2"/>
  <c r="Y141" i="2" s="1"/>
  <c r="T142" i="2"/>
  <c r="Y142" i="2" s="1"/>
  <c r="T143" i="2"/>
  <c r="Y143" i="2" s="1"/>
  <c r="T144" i="2"/>
  <c r="Y144" i="2" s="1"/>
  <c r="T145" i="2"/>
  <c r="Y145" i="2" s="1"/>
  <c r="T146" i="2"/>
  <c r="Y146" i="2" s="1"/>
  <c r="T147" i="2"/>
  <c r="Y147" i="2" s="1"/>
  <c r="T148" i="2"/>
  <c r="Y148" i="2" s="1"/>
  <c r="T149" i="2"/>
  <c r="Y149" i="2" s="1"/>
  <c r="T150" i="2"/>
  <c r="Y150" i="2" s="1"/>
  <c r="T151" i="2"/>
  <c r="Y151" i="2" s="1"/>
  <c r="T152" i="2"/>
  <c r="Y152" i="2" s="1"/>
  <c r="T153" i="2"/>
  <c r="Y153" i="2" s="1"/>
  <c r="T154" i="2"/>
  <c r="Y154" i="2" s="1"/>
  <c r="T155" i="2"/>
  <c r="Y155" i="2" s="1"/>
  <c r="T156" i="2"/>
  <c r="Y156" i="2" s="1"/>
  <c r="T157" i="2"/>
  <c r="Y157" i="2" s="1"/>
  <c r="T158" i="2"/>
  <c r="Y158" i="2" s="1"/>
  <c r="T159" i="2"/>
  <c r="Y159" i="2" s="1"/>
  <c r="T160" i="2"/>
  <c r="Y160" i="2" s="1"/>
  <c r="T161" i="2"/>
  <c r="Y161" i="2" s="1"/>
  <c r="T162" i="2"/>
  <c r="Y162" i="2" s="1"/>
  <c r="T163" i="2"/>
  <c r="Y163" i="2" s="1"/>
  <c r="T164" i="2"/>
  <c r="Y164" i="2" s="1"/>
  <c r="T165" i="2"/>
  <c r="Y165" i="2" s="1"/>
  <c r="T166" i="2"/>
  <c r="Y166" i="2" s="1"/>
  <c r="T167" i="2"/>
  <c r="Y167" i="2" s="1"/>
  <c r="T168" i="2"/>
  <c r="Y168" i="2" s="1"/>
  <c r="T169" i="2"/>
  <c r="Y169" i="2" s="1"/>
  <c r="T170" i="2"/>
  <c r="Y170" i="2" s="1"/>
  <c r="T171" i="2"/>
  <c r="Y171" i="2" s="1"/>
  <c r="T172" i="2"/>
  <c r="Y172" i="2" s="1"/>
  <c r="T173" i="2"/>
  <c r="Y173" i="2" s="1"/>
  <c r="T174" i="2"/>
  <c r="Y174" i="2" s="1"/>
  <c r="T175" i="2"/>
  <c r="Y175" i="2" s="1"/>
  <c r="T176" i="2"/>
  <c r="Y176" i="2" s="1"/>
  <c r="T177" i="2"/>
  <c r="Y177" i="2" s="1"/>
  <c r="T178" i="2"/>
  <c r="Y178" i="2" s="1"/>
  <c r="T179" i="2"/>
  <c r="Y179" i="2" s="1"/>
  <c r="T180" i="2"/>
  <c r="Y180" i="2" s="1"/>
  <c r="T181" i="2"/>
  <c r="Y181" i="2" s="1"/>
  <c r="T182" i="2"/>
  <c r="Y182" i="2" s="1"/>
  <c r="T183" i="2"/>
  <c r="Y183" i="2" s="1"/>
  <c r="T184" i="2"/>
  <c r="Y184" i="2" s="1"/>
  <c r="T185" i="2"/>
  <c r="Y185" i="2" s="1"/>
  <c r="T186" i="2"/>
  <c r="Y186" i="2" s="1"/>
  <c r="T187" i="2"/>
  <c r="Y187" i="2" s="1"/>
  <c r="T188" i="2"/>
  <c r="Y188" i="2" s="1"/>
  <c r="T189" i="2"/>
  <c r="Y189" i="2" s="1"/>
  <c r="T190" i="2"/>
  <c r="Y190" i="2" s="1"/>
  <c r="T191" i="2"/>
  <c r="Y191" i="2" s="1"/>
  <c r="T192" i="2"/>
  <c r="Y192" i="2" s="1"/>
  <c r="T193" i="2"/>
  <c r="Y193" i="2" s="1"/>
  <c r="T194" i="2"/>
  <c r="Y194" i="2" s="1"/>
  <c r="T195" i="2"/>
  <c r="Y195" i="2" s="1"/>
  <c r="T196" i="2"/>
  <c r="Y196" i="2" s="1"/>
  <c r="T197" i="2"/>
  <c r="Y197" i="2" s="1"/>
  <c r="T198" i="2"/>
  <c r="Y198" i="2" s="1"/>
  <c r="T199" i="2"/>
  <c r="Y199" i="2" s="1"/>
  <c r="T200" i="2"/>
  <c r="Y200" i="2" s="1"/>
  <c r="T201" i="2"/>
  <c r="Y201" i="2" s="1"/>
  <c r="T202" i="2"/>
  <c r="Y202" i="2" s="1"/>
  <c r="T203" i="2"/>
  <c r="Y203" i="2" s="1"/>
  <c r="T204" i="2"/>
  <c r="Y204" i="2" s="1"/>
  <c r="T205" i="2"/>
  <c r="Y205" i="2" s="1"/>
  <c r="T206" i="2"/>
  <c r="Y206" i="2" s="1"/>
  <c r="T207" i="2"/>
  <c r="Y207" i="2" s="1"/>
  <c r="T208" i="2"/>
  <c r="Y208" i="2" s="1"/>
  <c r="T209" i="2"/>
  <c r="Y209" i="2" s="1"/>
  <c r="T210" i="2"/>
  <c r="Y210" i="2" s="1"/>
  <c r="T211" i="2"/>
  <c r="Y211" i="2" s="1"/>
  <c r="T212" i="2"/>
  <c r="Y212" i="2" s="1"/>
  <c r="T213" i="2"/>
  <c r="Y213" i="2" s="1"/>
  <c r="T214" i="2"/>
  <c r="Y214" i="2" s="1"/>
  <c r="T215" i="2"/>
  <c r="Y215" i="2" s="1"/>
  <c r="T216" i="2"/>
  <c r="Y216" i="2" s="1"/>
  <c r="T217" i="2"/>
  <c r="Y217" i="2" s="1"/>
  <c r="T218" i="2"/>
  <c r="Y218" i="2" s="1"/>
  <c r="T219" i="2"/>
  <c r="Y219" i="2" s="1"/>
  <c r="T220" i="2"/>
  <c r="Y220" i="2" s="1"/>
  <c r="T221" i="2"/>
  <c r="Y221" i="2" s="1"/>
  <c r="T222" i="2"/>
  <c r="Y222" i="2" s="1"/>
  <c r="T223" i="2"/>
  <c r="Y223" i="2" s="1"/>
  <c r="T224" i="2"/>
  <c r="Y224" i="2" s="1"/>
  <c r="T225" i="2"/>
  <c r="Y225" i="2" s="1"/>
  <c r="T226" i="2"/>
  <c r="Y226" i="2" s="1"/>
  <c r="T227" i="2"/>
  <c r="Y227" i="2" s="1"/>
  <c r="T228" i="2"/>
  <c r="Y228" i="2" s="1"/>
  <c r="T229" i="2"/>
  <c r="Y229" i="2" s="1"/>
  <c r="T230" i="2"/>
  <c r="Y230" i="2" s="1"/>
  <c r="T231" i="2"/>
  <c r="Y231" i="2" s="1"/>
  <c r="T232" i="2"/>
  <c r="Y232" i="2" s="1"/>
  <c r="T233" i="2"/>
  <c r="Y233" i="2" s="1"/>
  <c r="T234" i="2"/>
  <c r="Y234" i="2" s="1"/>
  <c r="T235" i="2"/>
  <c r="Y235" i="2" s="1"/>
  <c r="T236" i="2"/>
  <c r="Y236" i="2" s="1"/>
  <c r="T237" i="2"/>
  <c r="Y237" i="2" s="1"/>
  <c r="T238" i="2"/>
  <c r="Y238" i="2" s="1"/>
  <c r="T239" i="2"/>
  <c r="Y239" i="2" s="1"/>
  <c r="T240" i="2"/>
  <c r="Y240" i="2" s="1"/>
  <c r="T241" i="2"/>
  <c r="Y241" i="2" s="1"/>
  <c r="T242" i="2"/>
  <c r="Y242" i="2" s="1"/>
  <c r="T243" i="2"/>
  <c r="Y243" i="2" s="1"/>
  <c r="T244" i="2"/>
  <c r="Y244" i="2" s="1"/>
  <c r="T245" i="2"/>
  <c r="Y245" i="2" s="1"/>
  <c r="T246" i="2"/>
  <c r="Y246" i="2" s="1"/>
  <c r="T247" i="2"/>
  <c r="Y247" i="2" s="1"/>
  <c r="T248" i="2"/>
  <c r="Y248" i="2" s="1"/>
  <c r="T249" i="2"/>
  <c r="Y249" i="2" s="1"/>
  <c r="T250" i="2"/>
  <c r="Y250" i="2" s="1"/>
  <c r="T251" i="2"/>
  <c r="Y251" i="2" s="1"/>
  <c r="T252" i="2"/>
  <c r="Y252" i="2" s="1"/>
  <c r="T253" i="2"/>
  <c r="Y253" i="2" s="1"/>
  <c r="T254" i="2"/>
  <c r="Y254" i="2" s="1"/>
  <c r="T255" i="2"/>
  <c r="Y255" i="2" s="1"/>
  <c r="T256" i="2"/>
  <c r="Y256" i="2" s="1"/>
  <c r="T257" i="2"/>
  <c r="Y257" i="2" s="1"/>
  <c r="T258" i="2"/>
  <c r="Y258" i="2" s="1"/>
  <c r="T259" i="2"/>
  <c r="Y259" i="2" s="1"/>
  <c r="T260" i="2"/>
  <c r="Y260" i="2" s="1"/>
  <c r="T261" i="2"/>
  <c r="Y261" i="2" s="1"/>
  <c r="T262" i="2"/>
  <c r="Y262" i="2" s="1"/>
  <c r="T263" i="2"/>
  <c r="Y263" i="2" s="1"/>
  <c r="T264" i="2"/>
  <c r="Y264" i="2" s="1"/>
  <c r="T265" i="2"/>
  <c r="Y265" i="2" s="1"/>
  <c r="T266" i="2"/>
  <c r="Y266" i="2" s="1"/>
  <c r="T267" i="2"/>
  <c r="Y267" i="2" s="1"/>
  <c r="T268" i="2"/>
  <c r="Y268" i="2" s="1"/>
  <c r="T269" i="2"/>
  <c r="Y269" i="2" s="1"/>
  <c r="T270" i="2"/>
  <c r="Y270" i="2" s="1"/>
  <c r="T271" i="2"/>
  <c r="Y271" i="2" s="1"/>
  <c r="T272" i="2"/>
  <c r="Y272" i="2" s="1"/>
  <c r="T273" i="2"/>
  <c r="Y273" i="2" s="1"/>
  <c r="T274" i="2"/>
  <c r="Y274" i="2" s="1"/>
  <c r="T275" i="2"/>
  <c r="Y275" i="2" s="1"/>
  <c r="T276" i="2"/>
  <c r="Y276" i="2" s="1"/>
  <c r="T277" i="2"/>
  <c r="Y277" i="2" s="1"/>
  <c r="T278" i="2"/>
  <c r="Y278" i="2" s="1"/>
  <c r="T279" i="2"/>
  <c r="Y279" i="2" s="1"/>
  <c r="T280" i="2"/>
  <c r="Y280" i="2" s="1"/>
  <c r="T281" i="2"/>
  <c r="Y281" i="2" s="1"/>
  <c r="T282" i="2"/>
  <c r="Y282" i="2" s="1"/>
  <c r="T283" i="2"/>
  <c r="Y283" i="2" s="1"/>
  <c r="T284" i="2"/>
  <c r="Y284" i="2" s="1"/>
  <c r="T285" i="2"/>
  <c r="Y285" i="2" s="1"/>
  <c r="T286" i="2"/>
  <c r="Y286" i="2" s="1"/>
  <c r="T287" i="2"/>
  <c r="Y287" i="2" s="1"/>
  <c r="T288" i="2"/>
  <c r="Y288" i="2" s="1"/>
  <c r="T289" i="2"/>
  <c r="Y289" i="2" s="1"/>
  <c r="T290" i="2"/>
  <c r="Y290" i="2" s="1"/>
  <c r="T291" i="2"/>
  <c r="Y291" i="2" s="1"/>
  <c r="T292" i="2"/>
  <c r="Y292" i="2" s="1"/>
  <c r="T293" i="2"/>
  <c r="Y293" i="2" s="1"/>
  <c r="T294" i="2"/>
  <c r="Y294" i="2" s="1"/>
  <c r="T295" i="2"/>
  <c r="Y295" i="2" s="1"/>
  <c r="T296" i="2"/>
  <c r="Y296" i="2" s="1"/>
  <c r="T297" i="2"/>
  <c r="Y297" i="2" s="1"/>
  <c r="T298" i="2"/>
  <c r="Y298" i="2" s="1"/>
  <c r="T299" i="2"/>
  <c r="Y299" i="2" s="1"/>
  <c r="T300" i="2"/>
  <c r="Y300" i="2" s="1"/>
  <c r="T301" i="2"/>
  <c r="Y301" i="2" s="1"/>
  <c r="T302" i="2"/>
  <c r="Y302" i="2" s="1"/>
  <c r="T303" i="2"/>
  <c r="Y303" i="2" s="1"/>
  <c r="T304" i="2"/>
  <c r="Y304" i="2" s="1"/>
  <c r="T305" i="2"/>
  <c r="Y305" i="2" s="1"/>
  <c r="T306" i="2"/>
  <c r="Y306" i="2" s="1"/>
  <c r="T307" i="2"/>
  <c r="Y307" i="2" s="1"/>
  <c r="T308" i="2"/>
  <c r="Y308" i="2" s="1"/>
  <c r="T309" i="2"/>
  <c r="Y309" i="2" s="1"/>
  <c r="T310" i="2"/>
  <c r="Y310" i="2" s="1"/>
  <c r="T311" i="2"/>
  <c r="Y311" i="2" s="1"/>
  <c r="T312" i="2"/>
  <c r="Y312" i="2" s="1"/>
  <c r="T313" i="2"/>
  <c r="Y313" i="2" s="1"/>
  <c r="T314" i="2"/>
  <c r="Y314" i="2" s="1"/>
  <c r="T315" i="2"/>
  <c r="Y315" i="2" s="1"/>
  <c r="T316" i="2"/>
  <c r="Y316" i="2" s="1"/>
  <c r="T317" i="2"/>
  <c r="Y317" i="2" s="1"/>
  <c r="T318" i="2"/>
  <c r="Y318" i="2" s="1"/>
  <c r="T319" i="2"/>
  <c r="Y319" i="2" s="1"/>
  <c r="T320" i="2"/>
  <c r="Y320" i="2" s="1"/>
  <c r="T321" i="2"/>
  <c r="Y321" i="2" s="1"/>
  <c r="T322" i="2"/>
  <c r="Y322" i="2" s="1"/>
  <c r="T323" i="2"/>
  <c r="Y323" i="2" s="1"/>
  <c r="T324" i="2"/>
  <c r="Y324" i="2" s="1"/>
  <c r="T325" i="2"/>
  <c r="Y325" i="2" s="1"/>
  <c r="T326" i="2"/>
  <c r="Y326" i="2" s="1"/>
  <c r="T327" i="2"/>
  <c r="Y327" i="2" s="1"/>
  <c r="T328" i="2"/>
  <c r="Y328" i="2" s="1"/>
  <c r="T329" i="2"/>
  <c r="Y329" i="2" s="1"/>
  <c r="T330" i="2"/>
  <c r="Y330" i="2" s="1"/>
  <c r="T331" i="2"/>
  <c r="Y331" i="2" s="1"/>
  <c r="T332" i="2"/>
  <c r="Y332" i="2" s="1"/>
  <c r="T333" i="2"/>
  <c r="Y333" i="2" s="1"/>
  <c r="T334" i="2"/>
  <c r="Y334" i="2" s="1"/>
  <c r="T335" i="2"/>
  <c r="Y335" i="2" s="1"/>
  <c r="T336" i="2"/>
  <c r="Y336" i="2" s="1"/>
  <c r="T337" i="2"/>
  <c r="Y337" i="2" s="1"/>
  <c r="T338" i="2"/>
  <c r="Y338" i="2" s="1"/>
  <c r="T339" i="2"/>
  <c r="Y339" i="2" s="1"/>
  <c r="T340" i="2"/>
  <c r="Y340" i="2" s="1"/>
  <c r="T341" i="2"/>
  <c r="Y341" i="2" s="1"/>
  <c r="T342" i="2"/>
  <c r="Y342" i="2" s="1"/>
  <c r="T343" i="2"/>
  <c r="Y343" i="2" s="1"/>
  <c r="T344" i="2"/>
  <c r="Y344" i="2" s="1"/>
  <c r="T345" i="2"/>
  <c r="Y345" i="2" s="1"/>
  <c r="T346" i="2"/>
  <c r="Y346" i="2" s="1"/>
  <c r="T347" i="2"/>
  <c r="Y347" i="2" s="1"/>
  <c r="T348" i="2"/>
  <c r="Y348" i="2" s="1"/>
  <c r="T349" i="2"/>
  <c r="Y349" i="2" s="1"/>
  <c r="T350" i="2"/>
  <c r="Y350" i="2" s="1"/>
  <c r="T351" i="2"/>
  <c r="Y351" i="2" s="1"/>
  <c r="T352" i="2"/>
  <c r="Y352" i="2" s="1"/>
  <c r="T353" i="2"/>
  <c r="Y353" i="2" s="1"/>
  <c r="T354" i="2"/>
  <c r="Y354" i="2" s="1"/>
  <c r="T355" i="2"/>
  <c r="Y355" i="2" s="1"/>
  <c r="T356" i="2"/>
  <c r="Y356" i="2" s="1"/>
  <c r="T357" i="2"/>
  <c r="Y357" i="2" s="1"/>
  <c r="T358" i="2"/>
  <c r="Y358" i="2" s="1"/>
  <c r="T359" i="2"/>
  <c r="Y359" i="2" s="1"/>
  <c r="T360" i="2"/>
  <c r="Y360" i="2" s="1"/>
  <c r="T361" i="2"/>
  <c r="Y361" i="2" s="1"/>
  <c r="T362" i="2"/>
  <c r="Y362" i="2" s="1"/>
  <c r="T363" i="2"/>
  <c r="Y363" i="2" s="1"/>
  <c r="T364" i="2"/>
  <c r="Y364" i="2" s="1"/>
  <c r="T365" i="2"/>
  <c r="Y365" i="2" s="1"/>
  <c r="T366" i="2"/>
  <c r="Y366" i="2" s="1"/>
  <c r="T367" i="2"/>
  <c r="Y367" i="2" s="1"/>
  <c r="T368" i="2"/>
  <c r="Y368" i="2" s="1"/>
  <c r="T369" i="2"/>
  <c r="Y369" i="2" s="1"/>
  <c r="T370" i="2"/>
  <c r="Y370" i="2" s="1"/>
  <c r="T371" i="2"/>
  <c r="Y371" i="2" s="1"/>
  <c r="T372" i="2"/>
  <c r="Y372" i="2" s="1"/>
  <c r="T373" i="2"/>
  <c r="Y373" i="2" s="1"/>
  <c r="T374" i="2"/>
  <c r="Y374" i="2" s="1"/>
  <c r="T375" i="2"/>
  <c r="Y375" i="2" s="1"/>
  <c r="T376" i="2"/>
  <c r="Y376" i="2" s="1"/>
  <c r="T377" i="2"/>
  <c r="Y377" i="2" s="1"/>
  <c r="T378" i="2"/>
  <c r="Y378" i="2" s="1"/>
  <c r="T379" i="2"/>
  <c r="Y379" i="2" s="1"/>
  <c r="T380" i="2"/>
  <c r="Y380" i="2" s="1"/>
  <c r="T381" i="2"/>
  <c r="Y381" i="2" s="1"/>
  <c r="T382" i="2"/>
  <c r="Y382" i="2" s="1"/>
  <c r="T383" i="2"/>
  <c r="Y383" i="2" s="1"/>
  <c r="T384" i="2"/>
  <c r="Y384" i="2" s="1"/>
  <c r="T385" i="2"/>
  <c r="Y385" i="2" s="1"/>
  <c r="T386" i="2"/>
  <c r="Y386" i="2" s="1"/>
  <c r="T387" i="2"/>
  <c r="Y387" i="2" s="1"/>
  <c r="T388" i="2"/>
  <c r="Y388" i="2" s="1"/>
  <c r="T389" i="2"/>
  <c r="Y389" i="2" s="1"/>
  <c r="T390" i="2"/>
  <c r="Y390" i="2" s="1"/>
  <c r="T391" i="2"/>
  <c r="Y391" i="2" s="1"/>
  <c r="T392" i="2"/>
  <c r="Y392" i="2" s="1"/>
  <c r="T393" i="2"/>
  <c r="Y393" i="2" s="1"/>
  <c r="T394" i="2"/>
  <c r="Y394" i="2" s="1"/>
  <c r="T395" i="2"/>
  <c r="Y395" i="2" s="1"/>
  <c r="T396" i="2"/>
  <c r="Y396" i="2" s="1"/>
  <c r="T397" i="2"/>
  <c r="Y397" i="2" s="1"/>
  <c r="T398" i="2"/>
  <c r="Y398" i="2" s="1"/>
  <c r="T399" i="2"/>
  <c r="Y399" i="2" s="1"/>
  <c r="T400" i="2"/>
  <c r="Y400" i="2" s="1"/>
  <c r="T401" i="2"/>
  <c r="Y401" i="2" s="1"/>
  <c r="T402" i="2"/>
  <c r="Y402" i="2" s="1"/>
  <c r="T403" i="2"/>
  <c r="Y403" i="2" s="1"/>
  <c r="T404" i="2"/>
  <c r="Y404" i="2" s="1"/>
  <c r="T405" i="2"/>
  <c r="Y405" i="2" s="1"/>
  <c r="T406" i="2"/>
  <c r="Y406" i="2" s="1"/>
  <c r="T407" i="2"/>
  <c r="Y407" i="2" s="1"/>
  <c r="T408" i="2"/>
  <c r="Y408" i="2" s="1"/>
  <c r="T409" i="2"/>
  <c r="Y409" i="2" s="1"/>
  <c r="T410" i="2"/>
  <c r="Y410" i="2" s="1"/>
  <c r="T411" i="2"/>
  <c r="Y411" i="2" s="1"/>
  <c r="T412" i="2"/>
  <c r="Y412" i="2" s="1"/>
  <c r="T413" i="2"/>
  <c r="Y413" i="2" s="1"/>
  <c r="T414" i="2"/>
  <c r="Y414" i="2" s="1"/>
  <c r="T415" i="2"/>
  <c r="Y415" i="2" s="1"/>
  <c r="T416" i="2"/>
  <c r="Y416" i="2" s="1"/>
  <c r="T417" i="2"/>
  <c r="Y417" i="2" s="1"/>
  <c r="T418" i="2"/>
  <c r="Y418" i="2" s="1"/>
  <c r="T419" i="2"/>
  <c r="Y419" i="2" s="1"/>
  <c r="T420" i="2"/>
  <c r="Y420" i="2" s="1"/>
  <c r="T421" i="2"/>
  <c r="Y421" i="2" s="1"/>
  <c r="T422" i="2"/>
  <c r="Y422" i="2" s="1"/>
  <c r="T423" i="2"/>
  <c r="Y423" i="2" s="1"/>
  <c r="T424" i="2"/>
  <c r="Y424" i="2" s="1"/>
  <c r="T425" i="2"/>
  <c r="Y425" i="2" s="1"/>
  <c r="T426" i="2"/>
  <c r="Y426" i="2" s="1"/>
  <c r="T427" i="2"/>
  <c r="Y427" i="2" s="1"/>
  <c r="T428" i="2"/>
  <c r="Y428" i="2" s="1"/>
  <c r="T429" i="2"/>
  <c r="Y429" i="2" s="1"/>
  <c r="T430" i="2"/>
  <c r="Y430" i="2" s="1"/>
  <c r="T431" i="2"/>
  <c r="Y431" i="2" s="1"/>
  <c r="T432" i="2"/>
  <c r="Y432" i="2" s="1"/>
  <c r="T433" i="2"/>
  <c r="Y433" i="2" s="1"/>
  <c r="T434" i="2"/>
  <c r="Y434" i="2" s="1"/>
  <c r="T435" i="2"/>
  <c r="Y435" i="2" s="1"/>
  <c r="T436" i="2"/>
  <c r="Y436" i="2" s="1"/>
  <c r="T437" i="2"/>
  <c r="Y437" i="2" s="1"/>
  <c r="T438" i="2"/>
  <c r="Y438" i="2" s="1"/>
  <c r="T439" i="2"/>
  <c r="Y439" i="2" s="1"/>
  <c r="T440" i="2"/>
  <c r="Y440" i="2" s="1"/>
  <c r="T441" i="2"/>
  <c r="Y441" i="2" s="1"/>
  <c r="T442" i="2"/>
  <c r="Y442" i="2" s="1"/>
  <c r="T443" i="2"/>
  <c r="Y443" i="2" s="1"/>
  <c r="T444" i="2"/>
  <c r="Y444" i="2" s="1"/>
  <c r="T445" i="2"/>
  <c r="Y445" i="2" s="1"/>
  <c r="T446" i="2"/>
  <c r="Y446" i="2" s="1"/>
  <c r="T447" i="2"/>
  <c r="Y447" i="2" s="1"/>
  <c r="T448" i="2"/>
  <c r="Y448" i="2" s="1"/>
  <c r="T449" i="2"/>
  <c r="Y449" i="2" s="1"/>
  <c r="T450" i="2"/>
  <c r="Y450" i="2" s="1"/>
  <c r="T451" i="2"/>
  <c r="Y451" i="2" s="1"/>
  <c r="T452" i="2"/>
  <c r="Y452" i="2" s="1"/>
  <c r="T453" i="2"/>
  <c r="Y453" i="2" s="1"/>
  <c r="T454" i="2"/>
  <c r="Y454" i="2" s="1"/>
  <c r="T455" i="2"/>
  <c r="Y455" i="2" s="1"/>
  <c r="T456" i="2"/>
  <c r="Y456" i="2" s="1"/>
  <c r="T457" i="2"/>
  <c r="Y457" i="2" s="1"/>
  <c r="T458" i="2"/>
  <c r="Y458" i="2" s="1"/>
  <c r="T459" i="2"/>
  <c r="Y459" i="2" s="1"/>
  <c r="T460" i="2"/>
  <c r="Y460" i="2" s="1"/>
  <c r="T461" i="2"/>
  <c r="Y461" i="2" s="1"/>
  <c r="T462" i="2"/>
  <c r="Y462" i="2" s="1"/>
  <c r="T463" i="2"/>
  <c r="Y463" i="2" s="1"/>
  <c r="T464" i="2"/>
  <c r="Y464" i="2" s="1"/>
  <c r="T465" i="2"/>
  <c r="Y465" i="2" s="1"/>
  <c r="T466" i="2"/>
  <c r="Y466" i="2" s="1"/>
  <c r="T467" i="2"/>
  <c r="Y467" i="2" s="1"/>
  <c r="T468" i="2"/>
  <c r="Y468" i="2" s="1"/>
  <c r="T469" i="2"/>
  <c r="Y469" i="2" s="1"/>
  <c r="T470" i="2"/>
  <c r="Y470" i="2" s="1"/>
  <c r="T471" i="2"/>
  <c r="Y471" i="2" s="1"/>
  <c r="T472" i="2"/>
  <c r="Y472" i="2" s="1"/>
  <c r="T473" i="2"/>
  <c r="Y473" i="2" s="1"/>
  <c r="T474" i="2"/>
  <c r="Y474" i="2" s="1"/>
  <c r="T475" i="2"/>
  <c r="Y475" i="2" s="1"/>
  <c r="T476" i="2"/>
  <c r="Y476" i="2" s="1"/>
  <c r="T477" i="2"/>
  <c r="Y477" i="2" s="1"/>
  <c r="T478" i="2"/>
  <c r="Y478" i="2" s="1"/>
  <c r="T479" i="2"/>
  <c r="Y479" i="2" s="1"/>
  <c r="T480" i="2"/>
  <c r="Y480" i="2" s="1"/>
  <c r="T481" i="2"/>
  <c r="Y481" i="2" s="1"/>
  <c r="T482" i="2"/>
  <c r="Y482" i="2" s="1"/>
  <c r="T483" i="2"/>
  <c r="Y483" i="2" s="1"/>
  <c r="T484" i="2"/>
  <c r="Y484" i="2" s="1"/>
  <c r="T485" i="2"/>
  <c r="Y485" i="2" s="1"/>
  <c r="T486" i="2"/>
  <c r="Y486" i="2" s="1"/>
  <c r="T487" i="2"/>
  <c r="Y487" i="2" s="1"/>
  <c r="T488" i="2"/>
  <c r="Y488" i="2" s="1"/>
  <c r="T489" i="2"/>
  <c r="Y489" i="2" s="1"/>
  <c r="T490" i="2"/>
  <c r="Y490" i="2" s="1"/>
  <c r="T491" i="2"/>
  <c r="Y491" i="2" s="1"/>
  <c r="T492" i="2"/>
  <c r="Y492" i="2" s="1"/>
  <c r="T493" i="2"/>
  <c r="Y493" i="2" s="1"/>
  <c r="T494" i="2"/>
  <c r="Y494" i="2" s="1"/>
  <c r="T495" i="2"/>
  <c r="Y495" i="2" s="1"/>
  <c r="T496" i="2"/>
  <c r="Y496" i="2" s="1"/>
  <c r="T497" i="2"/>
  <c r="Y497" i="2" s="1"/>
  <c r="T498" i="2"/>
  <c r="Y498" i="2" s="1"/>
  <c r="T499" i="2"/>
  <c r="Y499" i="2" s="1"/>
  <c r="T500" i="2"/>
  <c r="Y500" i="2" s="1"/>
  <c r="T501" i="2"/>
  <c r="Y501" i="2" s="1"/>
  <c r="T502" i="2"/>
  <c r="Y502" i="2" s="1"/>
  <c r="T503" i="2"/>
  <c r="Y503" i="2" s="1"/>
  <c r="T504" i="2"/>
  <c r="Y504" i="2" s="1"/>
  <c r="T505" i="2"/>
  <c r="Y505" i="2" s="1"/>
  <c r="T506" i="2"/>
  <c r="Y506" i="2" s="1"/>
  <c r="T507" i="2"/>
  <c r="Y507" i="2" s="1"/>
  <c r="T508" i="2"/>
  <c r="Y508" i="2" s="1"/>
  <c r="T509" i="2"/>
  <c r="Y509" i="2" s="1"/>
  <c r="T510" i="2"/>
  <c r="Y510" i="2" s="1"/>
  <c r="T511" i="2"/>
  <c r="Y511" i="2" s="1"/>
  <c r="T512" i="2"/>
  <c r="Y512" i="2" s="1"/>
  <c r="T513" i="2"/>
  <c r="Y513" i="2" s="1"/>
  <c r="T514" i="2"/>
  <c r="Y514" i="2" s="1"/>
  <c r="T515" i="2"/>
  <c r="Y515" i="2" s="1"/>
  <c r="T516" i="2"/>
  <c r="Y516" i="2" s="1"/>
  <c r="T517" i="2"/>
  <c r="Y517" i="2" s="1"/>
  <c r="T518" i="2"/>
  <c r="Y518" i="2" s="1"/>
  <c r="T519" i="2"/>
  <c r="Y519" i="2" s="1"/>
  <c r="T520" i="2"/>
  <c r="Y520" i="2" s="1"/>
  <c r="T521" i="2"/>
  <c r="Y521" i="2" s="1"/>
  <c r="T522" i="2"/>
  <c r="Y522" i="2" s="1"/>
  <c r="T523" i="2"/>
  <c r="Y523" i="2" s="1"/>
  <c r="T524" i="2"/>
  <c r="Y524" i="2" s="1"/>
  <c r="T525" i="2"/>
  <c r="Y525" i="2" s="1"/>
  <c r="T526" i="2"/>
  <c r="Y526" i="2" s="1"/>
  <c r="T527" i="2"/>
  <c r="Y527" i="2" s="1"/>
  <c r="T528" i="2"/>
  <c r="Y528" i="2" s="1"/>
  <c r="T529" i="2"/>
  <c r="Y529" i="2" s="1"/>
  <c r="T530" i="2"/>
  <c r="Y530" i="2" s="1"/>
  <c r="T531" i="2"/>
  <c r="Y531" i="2" s="1"/>
  <c r="T532" i="2"/>
  <c r="Y532" i="2" s="1"/>
  <c r="T533" i="2"/>
  <c r="Y533" i="2" s="1"/>
  <c r="T534" i="2"/>
  <c r="Y534" i="2" s="1"/>
  <c r="T535" i="2"/>
  <c r="Y535" i="2" s="1"/>
  <c r="T536" i="2"/>
  <c r="Y536" i="2" s="1"/>
  <c r="T537" i="2"/>
  <c r="Y537" i="2" s="1"/>
  <c r="T538" i="2"/>
  <c r="Y538" i="2" s="1"/>
  <c r="T539" i="2"/>
  <c r="Y539" i="2" s="1"/>
  <c r="T540" i="2"/>
  <c r="Y540" i="2" s="1"/>
  <c r="T541" i="2"/>
  <c r="Y541" i="2" s="1"/>
  <c r="T542" i="2"/>
  <c r="Y542" i="2" s="1"/>
  <c r="T543" i="2"/>
  <c r="Y543" i="2" s="1"/>
  <c r="T544" i="2"/>
  <c r="Y544" i="2" s="1"/>
  <c r="T545" i="2"/>
  <c r="Y545" i="2" s="1"/>
  <c r="T546" i="2"/>
  <c r="Y546" i="2" s="1"/>
  <c r="T547" i="2"/>
  <c r="Y547" i="2" s="1"/>
  <c r="T548" i="2"/>
  <c r="Y548" i="2" s="1"/>
  <c r="T549" i="2"/>
  <c r="Y549" i="2" s="1"/>
  <c r="T550" i="2"/>
  <c r="Y550" i="2" s="1"/>
  <c r="T551" i="2"/>
  <c r="Y551" i="2" s="1"/>
  <c r="T552" i="2"/>
  <c r="Y552" i="2" s="1"/>
  <c r="T553" i="2"/>
  <c r="Y553" i="2" s="1"/>
  <c r="T554" i="2"/>
  <c r="Y554" i="2" s="1"/>
  <c r="T555" i="2"/>
  <c r="Y555" i="2" s="1"/>
  <c r="T556" i="2"/>
  <c r="Y556" i="2" s="1"/>
  <c r="T557" i="2"/>
  <c r="Y557" i="2" s="1"/>
  <c r="T558" i="2"/>
  <c r="Y558" i="2" s="1"/>
  <c r="T559" i="2"/>
  <c r="Y559" i="2" s="1"/>
  <c r="T560" i="2"/>
  <c r="Y560" i="2" s="1"/>
  <c r="T561" i="2"/>
  <c r="Y561" i="2" s="1"/>
  <c r="T562" i="2"/>
  <c r="Y562" i="2" s="1"/>
  <c r="T563" i="2"/>
  <c r="Y563" i="2" s="1"/>
  <c r="T564" i="2"/>
  <c r="Y564" i="2" s="1"/>
  <c r="T565" i="2"/>
  <c r="Y565" i="2" s="1"/>
  <c r="T566" i="2"/>
  <c r="Y566" i="2" s="1"/>
  <c r="T567" i="2"/>
  <c r="Y567" i="2" s="1"/>
  <c r="T568" i="2"/>
  <c r="Y568" i="2" s="1"/>
  <c r="T569" i="2"/>
  <c r="Y569" i="2" s="1"/>
  <c r="T570" i="2"/>
  <c r="Y570" i="2" s="1"/>
  <c r="T571" i="2"/>
  <c r="Y571" i="2" s="1"/>
  <c r="T572" i="2"/>
  <c r="Y572" i="2" s="1"/>
  <c r="T573" i="2"/>
  <c r="Y573" i="2" s="1"/>
  <c r="T574" i="2"/>
  <c r="Y574" i="2" s="1"/>
  <c r="T575" i="2"/>
  <c r="Y575" i="2" s="1"/>
  <c r="T576" i="2"/>
  <c r="Y576" i="2" s="1"/>
  <c r="T577" i="2"/>
  <c r="Y577" i="2" s="1"/>
  <c r="T578" i="2"/>
  <c r="Y578" i="2" s="1"/>
  <c r="T579" i="2"/>
  <c r="Y579" i="2" s="1"/>
  <c r="T580" i="2"/>
  <c r="Y580" i="2" s="1"/>
  <c r="T581" i="2"/>
  <c r="Y581" i="2" s="1"/>
  <c r="T582" i="2"/>
  <c r="Y582" i="2" s="1"/>
  <c r="T583" i="2"/>
  <c r="Y583" i="2" s="1"/>
  <c r="T584" i="2"/>
  <c r="Y584" i="2" s="1"/>
  <c r="T585" i="2"/>
  <c r="Y585" i="2" s="1"/>
  <c r="T586" i="2"/>
  <c r="Y586" i="2" s="1"/>
  <c r="T587" i="2"/>
  <c r="Y587" i="2" s="1"/>
  <c r="T588" i="2"/>
  <c r="Y588" i="2" s="1"/>
  <c r="T589" i="2"/>
  <c r="Y589" i="2" s="1"/>
  <c r="T590" i="2"/>
  <c r="Y590" i="2" s="1"/>
  <c r="T591" i="2"/>
  <c r="Y591" i="2" s="1"/>
  <c r="T592" i="2"/>
  <c r="Y592" i="2" s="1"/>
  <c r="T593" i="2"/>
  <c r="Y593" i="2" s="1"/>
  <c r="T594" i="2"/>
  <c r="Y594" i="2" s="1"/>
  <c r="T595" i="2"/>
  <c r="Y595" i="2" s="1"/>
  <c r="T596" i="2"/>
  <c r="Y596" i="2" s="1"/>
  <c r="T597" i="2"/>
  <c r="Y597" i="2" s="1"/>
  <c r="T598" i="2"/>
  <c r="Y598" i="2" s="1"/>
  <c r="T599" i="2"/>
  <c r="Y599" i="2" s="1"/>
  <c r="T600" i="2"/>
  <c r="Y600" i="2" s="1"/>
  <c r="T601" i="2"/>
  <c r="Y601" i="2" s="1"/>
  <c r="T602" i="2"/>
  <c r="Y602" i="2" s="1"/>
  <c r="T603" i="2"/>
  <c r="Y603" i="2" s="1"/>
  <c r="T604" i="2"/>
  <c r="Y604" i="2" s="1"/>
  <c r="T605" i="2"/>
  <c r="Y605" i="2" s="1"/>
  <c r="T606" i="2"/>
  <c r="Y606" i="2" s="1"/>
  <c r="T607" i="2"/>
  <c r="Y607" i="2" s="1"/>
  <c r="T608" i="2"/>
  <c r="Y608" i="2" s="1"/>
  <c r="T609" i="2"/>
  <c r="Y609" i="2" s="1"/>
  <c r="T610" i="2"/>
  <c r="Y610" i="2" s="1"/>
  <c r="T611" i="2"/>
  <c r="Y611" i="2" s="1"/>
  <c r="T612" i="2"/>
  <c r="Y612" i="2" s="1"/>
  <c r="T613" i="2"/>
  <c r="Y613" i="2" s="1"/>
  <c r="T614" i="2"/>
  <c r="Y614" i="2" s="1"/>
  <c r="T615" i="2"/>
  <c r="Y615" i="2" s="1"/>
  <c r="T616" i="2"/>
  <c r="Y616" i="2" s="1"/>
  <c r="T617" i="2"/>
  <c r="Y617" i="2" s="1"/>
  <c r="T618" i="2"/>
  <c r="Y618" i="2" s="1"/>
  <c r="T619" i="2"/>
  <c r="Y619" i="2" s="1"/>
  <c r="T620" i="2"/>
  <c r="Y620" i="2" s="1"/>
  <c r="T621" i="2"/>
  <c r="Y621" i="2" s="1"/>
  <c r="T622" i="2"/>
  <c r="Y622" i="2" s="1"/>
  <c r="T623" i="2"/>
  <c r="Y623" i="2" s="1"/>
  <c r="T624" i="2"/>
  <c r="Y624" i="2" s="1"/>
  <c r="T625" i="2"/>
  <c r="Y625" i="2" s="1"/>
  <c r="T626" i="2"/>
  <c r="Y626" i="2" s="1"/>
  <c r="T627" i="2"/>
  <c r="Y627" i="2" s="1"/>
  <c r="T628" i="2"/>
  <c r="Y628" i="2" s="1"/>
  <c r="T629" i="2"/>
  <c r="Y629" i="2" s="1"/>
  <c r="T630" i="2"/>
  <c r="Y630" i="2" s="1"/>
  <c r="T631" i="2"/>
  <c r="Y631" i="2" s="1"/>
  <c r="T632" i="2"/>
  <c r="Y632" i="2" s="1"/>
  <c r="T633" i="2"/>
  <c r="Y633" i="2" s="1"/>
  <c r="T634" i="2"/>
  <c r="Y634" i="2" s="1"/>
  <c r="T635" i="2"/>
  <c r="Y635" i="2" s="1"/>
  <c r="T636" i="2"/>
  <c r="Y636" i="2" s="1"/>
  <c r="T637" i="2"/>
  <c r="Y637" i="2" s="1"/>
  <c r="T638" i="2"/>
  <c r="Y638" i="2" s="1"/>
  <c r="T639" i="2"/>
  <c r="Y639" i="2" s="1"/>
  <c r="T640" i="2"/>
  <c r="Y640" i="2" s="1"/>
  <c r="T641" i="2"/>
  <c r="Y641" i="2" s="1"/>
  <c r="T642" i="2"/>
  <c r="Y642" i="2" s="1"/>
  <c r="T643" i="2"/>
  <c r="Y643" i="2" s="1"/>
  <c r="T644" i="2"/>
  <c r="Y644" i="2" s="1"/>
  <c r="T645" i="2"/>
  <c r="Y645" i="2" s="1"/>
  <c r="T646" i="2"/>
  <c r="Y646" i="2" s="1"/>
  <c r="T647" i="2"/>
  <c r="Y647" i="2" s="1"/>
  <c r="T648" i="2"/>
  <c r="Y648" i="2" s="1"/>
  <c r="T649" i="2"/>
  <c r="Y649" i="2" s="1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Y965" i="2" s="1"/>
  <c r="T966" i="2"/>
  <c r="Y966" i="2" s="1"/>
  <c r="T967" i="2"/>
  <c r="Y967" i="2" s="1"/>
  <c r="T968" i="2"/>
  <c r="Y968" i="2" s="1"/>
  <c r="T969" i="2"/>
  <c r="Y969" i="2" s="1"/>
  <c r="T970" i="2"/>
  <c r="Y970" i="2" s="1"/>
  <c r="T971" i="2"/>
  <c r="Y971" i="2" s="1"/>
  <c r="T972" i="2"/>
  <c r="Y972" i="2" s="1"/>
  <c r="T973" i="2"/>
  <c r="Y973" i="2" s="1"/>
  <c r="T974" i="2"/>
  <c r="Y974" i="2" s="1"/>
  <c r="T975" i="2"/>
  <c r="Y975" i="2" s="1"/>
  <c r="T976" i="2"/>
  <c r="Y976" i="2" s="1"/>
  <c r="T977" i="2"/>
  <c r="Y977" i="2" s="1"/>
  <c r="T978" i="2"/>
  <c r="Y978" i="2" s="1"/>
  <c r="T979" i="2"/>
  <c r="Y979" i="2" s="1"/>
  <c r="T980" i="2"/>
  <c r="Y980" i="2" s="1"/>
  <c r="T981" i="2"/>
  <c r="Y981" i="2" s="1"/>
  <c r="T982" i="2"/>
  <c r="Y982" i="2" s="1"/>
  <c r="T983" i="2"/>
  <c r="Y983" i="2" s="1"/>
  <c r="T984" i="2"/>
  <c r="Y984" i="2" s="1"/>
  <c r="T985" i="2"/>
  <c r="Y985" i="2" s="1"/>
  <c r="T986" i="2"/>
  <c r="Y986" i="2" s="1"/>
  <c r="T987" i="2"/>
  <c r="Y987" i="2" s="1"/>
  <c r="T988" i="2"/>
  <c r="Y988" i="2" s="1"/>
  <c r="T989" i="2"/>
  <c r="Y989" i="2" s="1"/>
  <c r="T990" i="2"/>
  <c r="Y990" i="2" s="1"/>
  <c r="T991" i="2"/>
  <c r="Y991" i="2" s="1"/>
  <c r="T992" i="2"/>
  <c r="Y992" i="2" s="1"/>
  <c r="T993" i="2"/>
  <c r="Y993" i="2" s="1"/>
  <c r="T994" i="2"/>
  <c r="Y994" i="2" s="1"/>
  <c r="T995" i="2"/>
  <c r="Y995" i="2" s="1"/>
  <c r="T996" i="2"/>
  <c r="Y996" i="2" s="1"/>
  <c r="T997" i="2"/>
  <c r="Y997" i="2" s="1"/>
  <c r="T998" i="2"/>
  <c r="Y998" i="2" s="1"/>
  <c r="T999" i="2"/>
  <c r="Y999" i="2" s="1"/>
  <c r="T1000" i="2"/>
  <c r="Y1000" i="2" s="1"/>
  <c r="T1001" i="2"/>
  <c r="Y1001" i="2" s="1"/>
  <c r="R2" i="2"/>
  <c r="S2" i="2" s="1"/>
  <c r="R3" i="2"/>
  <c r="S3" i="2" s="1"/>
  <c r="R4" i="2"/>
  <c r="S4" i="2" s="1"/>
  <c r="R5" i="2"/>
  <c r="S5" i="2" s="1"/>
  <c r="R6" i="2"/>
  <c r="S6" i="2" s="1"/>
  <c r="R7" i="2"/>
  <c r="S7" i="2" s="1"/>
  <c r="R8" i="2"/>
  <c r="S8" i="2" s="1"/>
  <c r="R9" i="2"/>
  <c r="S9" i="2" s="1"/>
  <c r="R10" i="2"/>
  <c r="S10" i="2" s="1"/>
  <c r="R11" i="2"/>
  <c r="S11" i="2" s="1"/>
  <c r="R12" i="2"/>
  <c r="S12" i="2" s="1"/>
  <c r="R13" i="2"/>
  <c r="S13" i="2" s="1"/>
  <c r="R14" i="2"/>
  <c r="S14" i="2" s="1"/>
  <c r="R15" i="2"/>
  <c r="S15" i="2" s="1"/>
  <c r="R16" i="2"/>
  <c r="S16" i="2" s="1"/>
  <c r="R17" i="2"/>
  <c r="S17" i="2" s="1"/>
  <c r="R18" i="2"/>
  <c r="S18" i="2" s="1"/>
  <c r="R19" i="2"/>
  <c r="S19" i="2" s="1"/>
  <c r="R20" i="2"/>
  <c r="S20" i="2" s="1"/>
  <c r="R21" i="2"/>
  <c r="S21" i="2" s="1"/>
  <c r="R22" i="2"/>
  <c r="S22" i="2" s="1"/>
  <c r="R23" i="2"/>
  <c r="S23" i="2" s="1"/>
  <c r="R24" i="2"/>
  <c r="S24" i="2" s="1"/>
  <c r="R25" i="2"/>
  <c r="S25" i="2" s="1"/>
  <c r="R26" i="2"/>
  <c r="S26" i="2" s="1"/>
  <c r="R27" i="2"/>
  <c r="S27" i="2" s="1"/>
  <c r="R28" i="2"/>
  <c r="S28" i="2" s="1"/>
  <c r="R29" i="2"/>
  <c r="S29" i="2" s="1"/>
  <c r="R30" i="2"/>
  <c r="S30" i="2" s="1"/>
  <c r="R31" i="2"/>
  <c r="S31" i="2" s="1"/>
  <c r="R32" i="2"/>
  <c r="S32" i="2" s="1"/>
  <c r="R33" i="2"/>
  <c r="S33" i="2" s="1"/>
  <c r="R34" i="2"/>
  <c r="S34" i="2" s="1"/>
  <c r="R35" i="2"/>
  <c r="S35" i="2" s="1"/>
  <c r="R36" i="2"/>
  <c r="S36" i="2" s="1"/>
  <c r="R37" i="2"/>
  <c r="S37" i="2" s="1"/>
  <c r="R38" i="2"/>
  <c r="S38" i="2" s="1"/>
  <c r="R39" i="2"/>
  <c r="S39" i="2" s="1"/>
  <c r="R40" i="2"/>
  <c r="S40" i="2" s="1"/>
  <c r="R41" i="2"/>
  <c r="S41" i="2" s="1"/>
  <c r="R42" i="2"/>
  <c r="S42" i="2" s="1"/>
  <c r="R43" i="2"/>
  <c r="S43" i="2" s="1"/>
  <c r="R44" i="2"/>
  <c r="S44" i="2" s="1"/>
  <c r="R45" i="2"/>
  <c r="S45" i="2" s="1"/>
  <c r="R46" i="2"/>
  <c r="S46" i="2" s="1"/>
  <c r="R47" i="2"/>
  <c r="S47" i="2" s="1"/>
  <c r="R48" i="2"/>
  <c r="S48" i="2" s="1"/>
  <c r="R49" i="2"/>
  <c r="S49" i="2" s="1"/>
  <c r="R50" i="2"/>
  <c r="S50" i="2" s="1"/>
  <c r="R51" i="2"/>
  <c r="S51" i="2" s="1"/>
  <c r="R52" i="2"/>
  <c r="S52" i="2" s="1"/>
  <c r="R53" i="2"/>
  <c r="S53" i="2" s="1"/>
  <c r="R54" i="2"/>
  <c r="S54" i="2" s="1"/>
  <c r="R55" i="2"/>
  <c r="S55" i="2" s="1"/>
  <c r="R56" i="2"/>
  <c r="S56" i="2" s="1"/>
  <c r="R57" i="2"/>
  <c r="S57" i="2" s="1"/>
  <c r="R58" i="2"/>
  <c r="S58" i="2" s="1"/>
  <c r="R59" i="2"/>
  <c r="S59" i="2" s="1"/>
  <c r="R60" i="2"/>
  <c r="S60" i="2" s="1"/>
  <c r="R61" i="2"/>
  <c r="S61" i="2" s="1"/>
  <c r="R62" i="2"/>
  <c r="S62" i="2" s="1"/>
  <c r="R63" i="2"/>
  <c r="S63" i="2" s="1"/>
  <c r="R64" i="2"/>
  <c r="S64" i="2" s="1"/>
  <c r="R65" i="2"/>
  <c r="S65" i="2" s="1"/>
  <c r="R66" i="2"/>
  <c r="S66" i="2" s="1"/>
  <c r="R67" i="2"/>
  <c r="S67" i="2" s="1"/>
  <c r="R68" i="2"/>
  <c r="S68" i="2" s="1"/>
  <c r="R69" i="2"/>
  <c r="S69" i="2" s="1"/>
  <c r="R70" i="2"/>
  <c r="S70" i="2" s="1"/>
  <c r="R71" i="2"/>
  <c r="S71" i="2" s="1"/>
  <c r="R72" i="2"/>
  <c r="S72" i="2" s="1"/>
  <c r="R73" i="2"/>
  <c r="S73" i="2" s="1"/>
  <c r="R74" i="2"/>
  <c r="S74" i="2" s="1"/>
  <c r="R75" i="2"/>
  <c r="S75" i="2" s="1"/>
  <c r="R76" i="2"/>
  <c r="S76" i="2" s="1"/>
  <c r="R77" i="2"/>
  <c r="S77" i="2" s="1"/>
  <c r="R78" i="2"/>
  <c r="S78" i="2" s="1"/>
  <c r="R79" i="2"/>
  <c r="S79" i="2" s="1"/>
  <c r="R80" i="2"/>
  <c r="S80" i="2" s="1"/>
  <c r="R81" i="2"/>
  <c r="S81" i="2" s="1"/>
  <c r="R82" i="2"/>
  <c r="S82" i="2" s="1"/>
  <c r="R83" i="2"/>
  <c r="S83" i="2" s="1"/>
  <c r="R84" i="2"/>
  <c r="S84" i="2" s="1"/>
  <c r="R85" i="2"/>
  <c r="S85" i="2" s="1"/>
  <c r="R86" i="2"/>
  <c r="S86" i="2" s="1"/>
  <c r="R87" i="2"/>
  <c r="S87" i="2" s="1"/>
  <c r="R88" i="2"/>
  <c r="S88" i="2" s="1"/>
  <c r="R89" i="2"/>
  <c r="S89" i="2" s="1"/>
  <c r="R90" i="2"/>
  <c r="S90" i="2" s="1"/>
  <c r="R91" i="2"/>
  <c r="S91" i="2" s="1"/>
  <c r="R92" i="2"/>
  <c r="S92" i="2" s="1"/>
  <c r="R93" i="2"/>
  <c r="S93" i="2" s="1"/>
  <c r="R94" i="2"/>
  <c r="S94" i="2" s="1"/>
  <c r="R95" i="2"/>
  <c r="S95" i="2" s="1"/>
  <c r="R96" i="2"/>
  <c r="S96" i="2" s="1"/>
  <c r="R97" i="2"/>
  <c r="S97" i="2" s="1"/>
  <c r="R98" i="2"/>
  <c r="S98" i="2" s="1"/>
  <c r="R99" i="2"/>
  <c r="S99" i="2" s="1"/>
  <c r="R100" i="2"/>
  <c r="S100" i="2" s="1"/>
  <c r="R101" i="2"/>
  <c r="S101" i="2" s="1"/>
  <c r="R102" i="2"/>
  <c r="S102" i="2" s="1"/>
  <c r="R103" i="2"/>
  <c r="S103" i="2" s="1"/>
  <c r="R104" i="2"/>
  <c r="S104" i="2" s="1"/>
  <c r="R105" i="2"/>
  <c r="S105" i="2" s="1"/>
  <c r="R106" i="2"/>
  <c r="S106" i="2" s="1"/>
  <c r="R107" i="2"/>
  <c r="S107" i="2" s="1"/>
  <c r="R108" i="2"/>
  <c r="S108" i="2" s="1"/>
  <c r="R109" i="2"/>
  <c r="S109" i="2" s="1"/>
  <c r="R110" i="2"/>
  <c r="S110" i="2" s="1"/>
  <c r="R111" i="2"/>
  <c r="S111" i="2" s="1"/>
  <c r="R112" i="2"/>
  <c r="S112" i="2" s="1"/>
  <c r="R113" i="2"/>
  <c r="S113" i="2" s="1"/>
  <c r="R114" i="2"/>
  <c r="S114" i="2" s="1"/>
  <c r="R115" i="2"/>
  <c r="S115" i="2" s="1"/>
  <c r="R116" i="2"/>
  <c r="S116" i="2" s="1"/>
  <c r="R117" i="2"/>
  <c r="S117" i="2" s="1"/>
  <c r="R118" i="2"/>
  <c r="S118" i="2" s="1"/>
  <c r="R119" i="2"/>
  <c r="S119" i="2" s="1"/>
  <c r="R120" i="2"/>
  <c r="S120" i="2" s="1"/>
  <c r="R121" i="2"/>
  <c r="S121" i="2" s="1"/>
  <c r="R122" i="2"/>
  <c r="S122" i="2" s="1"/>
  <c r="R123" i="2"/>
  <c r="S123" i="2" s="1"/>
  <c r="R124" i="2"/>
  <c r="S124" i="2" s="1"/>
  <c r="R125" i="2"/>
  <c r="S125" i="2" s="1"/>
  <c r="R126" i="2"/>
  <c r="S126" i="2" s="1"/>
  <c r="R127" i="2"/>
  <c r="S127" i="2" s="1"/>
  <c r="R128" i="2"/>
  <c r="S128" i="2" s="1"/>
  <c r="R129" i="2"/>
  <c r="S129" i="2" s="1"/>
  <c r="R130" i="2"/>
  <c r="S130" i="2" s="1"/>
  <c r="R131" i="2"/>
  <c r="S131" i="2" s="1"/>
  <c r="R132" i="2"/>
  <c r="S132" i="2" s="1"/>
  <c r="R133" i="2"/>
  <c r="S133" i="2" s="1"/>
  <c r="R134" i="2"/>
  <c r="S134" i="2" s="1"/>
  <c r="R135" i="2"/>
  <c r="S135" i="2" s="1"/>
  <c r="R136" i="2"/>
  <c r="S136" i="2" s="1"/>
  <c r="R137" i="2"/>
  <c r="S137" i="2" s="1"/>
  <c r="R138" i="2"/>
  <c r="S138" i="2" s="1"/>
  <c r="R139" i="2"/>
  <c r="S139" i="2" s="1"/>
  <c r="R140" i="2"/>
  <c r="S140" i="2" s="1"/>
  <c r="R141" i="2"/>
  <c r="S141" i="2" s="1"/>
  <c r="R142" i="2"/>
  <c r="S142" i="2" s="1"/>
  <c r="R143" i="2"/>
  <c r="S143" i="2" s="1"/>
  <c r="R144" i="2"/>
  <c r="S144" i="2" s="1"/>
  <c r="R145" i="2"/>
  <c r="S145" i="2" s="1"/>
  <c r="R146" i="2"/>
  <c r="S146" i="2" s="1"/>
  <c r="R147" i="2"/>
  <c r="S147" i="2" s="1"/>
  <c r="R148" i="2"/>
  <c r="S148" i="2" s="1"/>
  <c r="R149" i="2"/>
  <c r="S149" i="2" s="1"/>
  <c r="R150" i="2"/>
  <c r="S150" i="2" s="1"/>
  <c r="R151" i="2"/>
  <c r="S151" i="2" s="1"/>
  <c r="R152" i="2"/>
  <c r="S152" i="2" s="1"/>
  <c r="R153" i="2"/>
  <c r="S153" i="2" s="1"/>
  <c r="R154" i="2"/>
  <c r="S154" i="2" s="1"/>
  <c r="R155" i="2"/>
  <c r="S155" i="2" s="1"/>
  <c r="R156" i="2"/>
  <c r="S156" i="2" s="1"/>
  <c r="R157" i="2"/>
  <c r="S157" i="2" s="1"/>
  <c r="R158" i="2"/>
  <c r="S158" i="2" s="1"/>
  <c r="R159" i="2"/>
  <c r="S159" i="2" s="1"/>
  <c r="R160" i="2"/>
  <c r="S160" i="2" s="1"/>
  <c r="R161" i="2"/>
  <c r="S161" i="2" s="1"/>
  <c r="R162" i="2"/>
  <c r="S162" i="2" s="1"/>
  <c r="R163" i="2"/>
  <c r="S163" i="2" s="1"/>
  <c r="R164" i="2"/>
  <c r="S164" i="2" s="1"/>
  <c r="R165" i="2"/>
  <c r="S165" i="2" s="1"/>
  <c r="R166" i="2"/>
  <c r="S166" i="2" s="1"/>
  <c r="R167" i="2"/>
  <c r="S167" i="2" s="1"/>
  <c r="R168" i="2"/>
  <c r="S168" i="2" s="1"/>
  <c r="R169" i="2"/>
  <c r="S169" i="2" s="1"/>
  <c r="R170" i="2"/>
  <c r="S170" i="2" s="1"/>
  <c r="R171" i="2"/>
  <c r="S171" i="2" s="1"/>
  <c r="R172" i="2"/>
  <c r="S172" i="2" s="1"/>
  <c r="R173" i="2"/>
  <c r="S173" i="2" s="1"/>
  <c r="R174" i="2"/>
  <c r="S174" i="2" s="1"/>
  <c r="R175" i="2"/>
  <c r="S175" i="2" s="1"/>
  <c r="R176" i="2"/>
  <c r="S176" i="2" s="1"/>
  <c r="R177" i="2"/>
  <c r="S177" i="2" s="1"/>
  <c r="R178" i="2"/>
  <c r="S178" i="2" s="1"/>
  <c r="R179" i="2"/>
  <c r="S179" i="2" s="1"/>
  <c r="R180" i="2"/>
  <c r="S180" i="2" s="1"/>
  <c r="R181" i="2"/>
  <c r="S181" i="2" s="1"/>
  <c r="R182" i="2"/>
  <c r="S182" i="2" s="1"/>
  <c r="R183" i="2"/>
  <c r="S183" i="2" s="1"/>
  <c r="R184" i="2"/>
  <c r="S184" i="2" s="1"/>
  <c r="R185" i="2"/>
  <c r="S185" i="2" s="1"/>
  <c r="R186" i="2"/>
  <c r="S186" i="2" s="1"/>
  <c r="R187" i="2"/>
  <c r="S187" i="2" s="1"/>
  <c r="R188" i="2"/>
  <c r="S188" i="2" s="1"/>
  <c r="R189" i="2"/>
  <c r="S189" i="2" s="1"/>
  <c r="R190" i="2"/>
  <c r="S190" i="2" s="1"/>
  <c r="R191" i="2"/>
  <c r="S191" i="2" s="1"/>
  <c r="R192" i="2"/>
  <c r="S192" i="2" s="1"/>
  <c r="R193" i="2"/>
  <c r="S193" i="2" s="1"/>
  <c r="R194" i="2"/>
  <c r="S194" i="2" s="1"/>
  <c r="R195" i="2"/>
  <c r="S195" i="2" s="1"/>
  <c r="R196" i="2"/>
  <c r="S196" i="2" s="1"/>
  <c r="R197" i="2"/>
  <c r="S197" i="2" s="1"/>
  <c r="R198" i="2"/>
  <c r="S198" i="2" s="1"/>
  <c r="R199" i="2"/>
  <c r="S199" i="2" s="1"/>
  <c r="R200" i="2"/>
  <c r="S200" i="2" s="1"/>
  <c r="R201" i="2"/>
  <c r="S201" i="2" s="1"/>
  <c r="R202" i="2"/>
  <c r="S202" i="2" s="1"/>
  <c r="R203" i="2"/>
  <c r="S203" i="2" s="1"/>
  <c r="R204" i="2"/>
  <c r="S204" i="2" s="1"/>
  <c r="R205" i="2"/>
  <c r="S205" i="2" s="1"/>
  <c r="R206" i="2"/>
  <c r="S206" i="2" s="1"/>
  <c r="R207" i="2"/>
  <c r="S207" i="2" s="1"/>
  <c r="R208" i="2"/>
  <c r="S208" i="2" s="1"/>
  <c r="R209" i="2"/>
  <c r="S209" i="2" s="1"/>
  <c r="R210" i="2"/>
  <c r="S210" i="2" s="1"/>
  <c r="R211" i="2"/>
  <c r="S211" i="2" s="1"/>
  <c r="R212" i="2"/>
  <c r="S212" i="2" s="1"/>
  <c r="R213" i="2"/>
  <c r="S213" i="2" s="1"/>
  <c r="R214" i="2"/>
  <c r="S214" i="2" s="1"/>
  <c r="R215" i="2"/>
  <c r="S215" i="2" s="1"/>
  <c r="R216" i="2"/>
  <c r="S216" i="2" s="1"/>
  <c r="R217" i="2"/>
  <c r="S217" i="2" s="1"/>
  <c r="R218" i="2"/>
  <c r="S218" i="2" s="1"/>
  <c r="R219" i="2"/>
  <c r="S219" i="2" s="1"/>
  <c r="R220" i="2"/>
  <c r="S220" i="2" s="1"/>
  <c r="R221" i="2"/>
  <c r="S221" i="2" s="1"/>
  <c r="R222" i="2"/>
  <c r="S222" i="2" s="1"/>
  <c r="R223" i="2"/>
  <c r="S223" i="2" s="1"/>
  <c r="R224" i="2"/>
  <c r="S224" i="2" s="1"/>
  <c r="R225" i="2"/>
  <c r="S225" i="2" s="1"/>
  <c r="R226" i="2"/>
  <c r="S226" i="2" s="1"/>
  <c r="R227" i="2"/>
  <c r="S227" i="2" s="1"/>
  <c r="R228" i="2"/>
  <c r="S228" i="2" s="1"/>
  <c r="R229" i="2"/>
  <c r="S229" i="2" s="1"/>
  <c r="R230" i="2"/>
  <c r="S230" i="2" s="1"/>
  <c r="R231" i="2"/>
  <c r="S231" i="2" s="1"/>
  <c r="R232" i="2"/>
  <c r="S232" i="2" s="1"/>
  <c r="R233" i="2"/>
  <c r="S233" i="2" s="1"/>
  <c r="R234" i="2"/>
  <c r="S234" i="2" s="1"/>
  <c r="R235" i="2"/>
  <c r="S235" i="2" s="1"/>
  <c r="R236" i="2"/>
  <c r="S236" i="2" s="1"/>
  <c r="R237" i="2"/>
  <c r="S237" i="2" s="1"/>
  <c r="R238" i="2"/>
  <c r="S238" i="2" s="1"/>
  <c r="R239" i="2"/>
  <c r="S239" i="2" s="1"/>
  <c r="R240" i="2"/>
  <c r="S240" i="2" s="1"/>
  <c r="R241" i="2"/>
  <c r="S241" i="2" s="1"/>
  <c r="R242" i="2"/>
  <c r="S242" i="2" s="1"/>
  <c r="R243" i="2"/>
  <c r="S243" i="2" s="1"/>
  <c r="R244" i="2"/>
  <c r="S244" i="2" s="1"/>
  <c r="R245" i="2"/>
  <c r="S245" i="2" s="1"/>
  <c r="R246" i="2"/>
  <c r="S246" i="2" s="1"/>
  <c r="R247" i="2"/>
  <c r="S247" i="2" s="1"/>
  <c r="R248" i="2"/>
  <c r="S248" i="2" s="1"/>
  <c r="R249" i="2"/>
  <c r="S249" i="2" s="1"/>
  <c r="R250" i="2"/>
  <c r="S250" i="2" s="1"/>
  <c r="R251" i="2"/>
  <c r="S251" i="2" s="1"/>
  <c r="R252" i="2"/>
  <c r="S252" i="2" s="1"/>
  <c r="R253" i="2"/>
  <c r="S253" i="2" s="1"/>
  <c r="R254" i="2"/>
  <c r="S254" i="2" s="1"/>
  <c r="R255" i="2"/>
  <c r="S255" i="2" s="1"/>
  <c r="R256" i="2"/>
  <c r="S256" i="2" s="1"/>
  <c r="R257" i="2"/>
  <c r="S257" i="2" s="1"/>
  <c r="R258" i="2"/>
  <c r="S258" i="2" s="1"/>
  <c r="R259" i="2"/>
  <c r="S259" i="2" s="1"/>
  <c r="R260" i="2"/>
  <c r="S260" i="2" s="1"/>
  <c r="R261" i="2"/>
  <c r="S261" i="2" s="1"/>
  <c r="R262" i="2"/>
  <c r="S262" i="2" s="1"/>
  <c r="R263" i="2"/>
  <c r="S263" i="2" s="1"/>
  <c r="R264" i="2"/>
  <c r="S264" i="2" s="1"/>
  <c r="R265" i="2"/>
  <c r="S265" i="2" s="1"/>
  <c r="R266" i="2"/>
  <c r="S266" i="2" s="1"/>
  <c r="R267" i="2"/>
  <c r="S267" i="2" s="1"/>
  <c r="R268" i="2"/>
  <c r="S268" i="2" s="1"/>
  <c r="R269" i="2"/>
  <c r="S269" i="2" s="1"/>
  <c r="R270" i="2"/>
  <c r="S270" i="2" s="1"/>
  <c r="R271" i="2"/>
  <c r="S271" i="2" s="1"/>
  <c r="R272" i="2"/>
  <c r="S272" i="2" s="1"/>
  <c r="R273" i="2"/>
  <c r="S273" i="2" s="1"/>
  <c r="R274" i="2"/>
  <c r="S274" i="2" s="1"/>
  <c r="R275" i="2"/>
  <c r="S275" i="2" s="1"/>
  <c r="R276" i="2"/>
  <c r="S276" i="2" s="1"/>
  <c r="R277" i="2"/>
  <c r="S277" i="2" s="1"/>
  <c r="R278" i="2"/>
  <c r="S278" i="2" s="1"/>
  <c r="R279" i="2"/>
  <c r="S279" i="2" s="1"/>
  <c r="R280" i="2"/>
  <c r="S280" i="2" s="1"/>
  <c r="R281" i="2"/>
  <c r="S281" i="2" s="1"/>
  <c r="R282" i="2"/>
  <c r="S282" i="2" s="1"/>
  <c r="R283" i="2"/>
  <c r="S283" i="2" s="1"/>
  <c r="R284" i="2"/>
  <c r="S284" i="2" s="1"/>
  <c r="R285" i="2"/>
  <c r="S285" i="2" s="1"/>
  <c r="R286" i="2"/>
  <c r="S286" i="2" s="1"/>
  <c r="R287" i="2"/>
  <c r="S287" i="2" s="1"/>
  <c r="R288" i="2"/>
  <c r="S288" i="2" s="1"/>
  <c r="R289" i="2"/>
  <c r="S289" i="2" s="1"/>
  <c r="R290" i="2"/>
  <c r="S290" i="2" s="1"/>
  <c r="R291" i="2"/>
  <c r="S291" i="2" s="1"/>
  <c r="R292" i="2"/>
  <c r="S292" i="2" s="1"/>
  <c r="R293" i="2"/>
  <c r="S293" i="2" s="1"/>
  <c r="R294" i="2"/>
  <c r="S294" i="2" s="1"/>
  <c r="R295" i="2"/>
  <c r="S295" i="2" s="1"/>
  <c r="R296" i="2"/>
  <c r="S296" i="2" s="1"/>
  <c r="R297" i="2"/>
  <c r="S297" i="2" s="1"/>
  <c r="R298" i="2"/>
  <c r="S298" i="2" s="1"/>
  <c r="R299" i="2"/>
  <c r="S299" i="2" s="1"/>
  <c r="R300" i="2"/>
  <c r="S300" i="2" s="1"/>
  <c r="R301" i="2"/>
  <c r="S301" i="2" s="1"/>
  <c r="R302" i="2"/>
  <c r="S302" i="2" s="1"/>
  <c r="R303" i="2"/>
  <c r="S303" i="2" s="1"/>
  <c r="R304" i="2"/>
  <c r="S304" i="2" s="1"/>
  <c r="R305" i="2"/>
  <c r="S305" i="2" s="1"/>
  <c r="R306" i="2"/>
  <c r="S306" i="2" s="1"/>
  <c r="R307" i="2"/>
  <c r="S307" i="2" s="1"/>
  <c r="R308" i="2"/>
  <c r="S308" i="2" s="1"/>
  <c r="R309" i="2"/>
  <c r="S309" i="2" s="1"/>
  <c r="R310" i="2"/>
  <c r="S310" i="2" s="1"/>
  <c r="R311" i="2"/>
  <c r="S311" i="2" s="1"/>
  <c r="R312" i="2"/>
  <c r="S312" i="2" s="1"/>
  <c r="R313" i="2"/>
  <c r="S313" i="2" s="1"/>
  <c r="R314" i="2"/>
  <c r="S314" i="2" s="1"/>
  <c r="R315" i="2"/>
  <c r="S315" i="2" s="1"/>
  <c r="R316" i="2"/>
  <c r="S316" i="2" s="1"/>
  <c r="R317" i="2"/>
  <c r="S317" i="2" s="1"/>
  <c r="R318" i="2"/>
  <c r="S318" i="2" s="1"/>
  <c r="R319" i="2"/>
  <c r="S319" i="2" s="1"/>
  <c r="R320" i="2"/>
  <c r="S320" i="2" s="1"/>
  <c r="R321" i="2"/>
  <c r="S321" i="2" s="1"/>
  <c r="R322" i="2"/>
  <c r="S322" i="2" s="1"/>
  <c r="R323" i="2"/>
  <c r="S323" i="2" s="1"/>
  <c r="R324" i="2"/>
  <c r="S324" i="2" s="1"/>
  <c r="R325" i="2"/>
  <c r="S325" i="2" s="1"/>
  <c r="R326" i="2"/>
  <c r="S326" i="2" s="1"/>
  <c r="R327" i="2"/>
  <c r="S327" i="2" s="1"/>
  <c r="R328" i="2"/>
  <c r="S328" i="2" s="1"/>
  <c r="R329" i="2"/>
  <c r="S329" i="2" s="1"/>
  <c r="R330" i="2"/>
  <c r="S330" i="2" s="1"/>
  <c r="R331" i="2"/>
  <c r="S331" i="2" s="1"/>
  <c r="R332" i="2"/>
  <c r="S332" i="2" s="1"/>
  <c r="R333" i="2"/>
  <c r="S333" i="2" s="1"/>
  <c r="R334" i="2"/>
  <c r="S334" i="2" s="1"/>
  <c r="R335" i="2"/>
  <c r="S335" i="2" s="1"/>
  <c r="R336" i="2"/>
  <c r="S336" i="2" s="1"/>
  <c r="R337" i="2"/>
  <c r="S337" i="2" s="1"/>
  <c r="R338" i="2"/>
  <c r="S338" i="2" s="1"/>
  <c r="R339" i="2"/>
  <c r="S339" i="2" s="1"/>
  <c r="R340" i="2"/>
  <c r="S340" i="2" s="1"/>
  <c r="R341" i="2"/>
  <c r="S341" i="2" s="1"/>
  <c r="R342" i="2"/>
  <c r="S342" i="2" s="1"/>
  <c r="R343" i="2"/>
  <c r="S343" i="2" s="1"/>
  <c r="R344" i="2"/>
  <c r="S344" i="2" s="1"/>
  <c r="R345" i="2"/>
  <c r="S345" i="2" s="1"/>
  <c r="R346" i="2"/>
  <c r="S346" i="2" s="1"/>
  <c r="R347" i="2"/>
  <c r="S347" i="2" s="1"/>
  <c r="R348" i="2"/>
  <c r="S348" i="2" s="1"/>
  <c r="R349" i="2"/>
  <c r="S349" i="2" s="1"/>
  <c r="R350" i="2"/>
  <c r="S350" i="2" s="1"/>
  <c r="R351" i="2"/>
  <c r="S351" i="2" s="1"/>
  <c r="R352" i="2"/>
  <c r="S352" i="2" s="1"/>
  <c r="R353" i="2"/>
  <c r="S353" i="2" s="1"/>
  <c r="R354" i="2"/>
  <c r="S354" i="2" s="1"/>
  <c r="R355" i="2"/>
  <c r="S355" i="2" s="1"/>
  <c r="R356" i="2"/>
  <c r="S356" i="2" s="1"/>
  <c r="R357" i="2"/>
  <c r="S357" i="2" s="1"/>
  <c r="R358" i="2"/>
  <c r="S358" i="2" s="1"/>
  <c r="R359" i="2"/>
  <c r="S359" i="2" s="1"/>
  <c r="R360" i="2"/>
  <c r="S360" i="2" s="1"/>
  <c r="R361" i="2"/>
  <c r="S361" i="2" s="1"/>
  <c r="R362" i="2"/>
  <c r="S362" i="2" s="1"/>
  <c r="R363" i="2"/>
  <c r="S363" i="2" s="1"/>
  <c r="R364" i="2"/>
  <c r="S364" i="2" s="1"/>
  <c r="R365" i="2"/>
  <c r="S365" i="2" s="1"/>
  <c r="R366" i="2"/>
  <c r="S366" i="2" s="1"/>
  <c r="R367" i="2"/>
  <c r="S367" i="2" s="1"/>
  <c r="R368" i="2"/>
  <c r="S368" i="2" s="1"/>
  <c r="R369" i="2"/>
  <c r="S369" i="2" s="1"/>
  <c r="R370" i="2"/>
  <c r="S370" i="2" s="1"/>
  <c r="R371" i="2"/>
  <c r="S371" i="2" s="1"/>
  <c r="R372" i="2"/>
  <c r="S372" i="2" s="1"/>
  <c r="R373" i="2"/>
  <c r="S373" i="2" s="1"/>
  <c r="R374" i="2"/>
  <c r="S374" i="2" s="1"/>
  <c r="R375" i="2"/>
  <c r="S375" i="2" s="1"/>
  <c r="R376" i="2"/>
  <c r="S376" i="2" s="1"/>
  <c r="R377" i="2"/>
  <c r="S377" i="2" s="1"/>
  <c r="R378" i="2"/>
  <c r="S378" i="2" s="1"/>
  <c r="R379" i="2"/>
  <c r="S379" i="2" s="1"/>
  <c r="R380" i="2"/>
  <c r="S380" i="2" s="1"/>
  <c r="R381" i="2"/>
  <c r="S381" i="2" s="1"/>
  <c r="R382" i="2"/>
  <c r="S382" i="2" s="1"/>
  <c r="R383" i="2"/>
  <c r="S383" i="2" s="1"/>
  <c r="R384" i="2"/>
  <c r="S384" i="2" s="1"/>
  <c r="R385" i="2"/>
  <c r="S385" i="2" s="1"/>
  <c r="R386" i="2"/>
  <c r="S386" i="2" s="1"/>
  <c r="R387" i="2"/>
  <c r="S387" i="2" s="1"/>
  <c r="R388" i="2"/>
  <c r="S388" i="2" s="1"/>
  <c r="R389" i="2"/>
  <c r="S389" i="2" s="1"/>
  <c r="R390" i="2"/>
  <c r="S390" i="2" s="1"/>
  <c r="R391" i="2"/>
  <c r="S391" i="2" s="1"/>
  <c r="R392" i="2"/>
  <c r="S392" i="2" s="1"/>
  <c r="R393" i="2"/>
  <c r="S393" i="2" s="1"/>
  <c r="R394" i="2"/>
  <c r="S394" i="2" s="1"/>
  <c r="R395" i="2"/>
  <c r="S395" i="2" s="1"/>
  <c r="R396" i="2"/>
  <c r="S396" i="2" s="1"/>
  <c r="R397" i="2"/>
  <c r="S397" i="2" s="1"/>
  <c r="R398" i="2"/>
  <c r="S398" i="2" s="1"/>
  <c r="R399" i="2"/>
  <c r="S399" i="2" s="1"/>
  <c r="R400" i="2"/>
  <c r="S400" i="2" s="1"/>
  <c r="R401" i="2"/>
  <c r="S401" i="2" s="1"/>
  <c r="R402" i="2"/>
  <c r="S402" i="2" s="1"/>
  <c r="R403" i="2"/>
  <c r="S403" i="2" s="1"/>
  <c r="R404" i="2"/>
  <c r="S404" i="2" s="1"/>
  <c r="R405" i="2"/>
  <c r="S405" i="2" s="1"/>
  <c r="R406" i="2"/>
  <c r="S406" i="2" s="1"/>
  <c r="R407" i="2"/>
  <c r="S407" i="2" s="1"/>
  <c r="R408" i="2"/>
  <c r="S408" i="2" s="1"/>
  <c r="R409" i="2"/>
  <c r="S409" i="2" s="1"/>
  <c r="R410" i="2"/>
  <c r="S410" i="2" s="1"/>
  <c r="R411" i="2"/>
  <c r="S411" i="2" s="1"/>
  <c r="R412" i="2"/>
  <c r="S412" i="2" s="1"/>
  <c r="R413" i="2"/>
  <c r="S413" i="2" s="1"/>
  <c r="R414" i="2"/>
  <c r="S414" i="2" s="1"/>
  <c r="R415" i="2"/>
  <c r="S415" i="2" s="1"/>
  <c r="R416" i="2"/>
  <c r="S416" i="2" s="1"/>
  <c r="R417" i="2"/>
  <c r="S417" i="2" s="1"/>
  <c r="R418" i="2"/>
  <c r="S418" i="2" s="1"/>
  <c r="R419" i="2"/>
  <c r="S419" i="2" s="1"/>
  <c r="R420" i="2"/>
  <c r="S420" i="2" s="1"/>
  <c r="R421" i="2"/>
  <c r="S421" i="2" s="1"/>
  <c r="R422" i="2"/>
  <c r="S422" i="2" s="1"/>
  <c r="R423" i="2"/>
  <c r="S423" i="2" s="1"/>
  <c r="R424" i="2"/>
  <c r="S424" i="2" s="1"/>
  <c r="R425" i="2"/>
  <c r="S425" i="2" s="1"/>
  <c r="R426" i="2"/>
  <c r="S426" i="2" s="1"/>
  <c r="R427" i="2"/>
  <c r="S427" i="2" s="1"/>
  <c r="R428" i="2"/>
  <c r="S428" i="2" s="1"/>
  <c r="R429" i="2"/>
  <c r="S429" i="2" s="1"/>
  <c r="R430" i="2"/>
  <c r="S430" i="2" s="1"/>
  <c r="R431" i="2"/>
  <c r="S431" i="2" s="1"/>
  <c r="R432" i="2"/>
  <c r="S432" i="2" s="1"/>
  <c r="R433" i="2"/>
  <c r="S433" i="2" s="1"/>
  <c r="R434" i="2"/>
  <c r="S434" i="2" s="1"/>
  <c r="R435" i="2"/>
  <c r="S435" i="2" s="1"/>
  <c r="R436" i="2"/>
  <c r="S436" i="2" s="1"/>
  <c r="R437" i="2"/>
  <c r="S437" i="2" s="1"/>
  <c r="R438" i="2"/>
  <c r="S438" i="2" s="1"/>
  <c r="R439" i="2"/>
  <c r="S439" i="2" s="1"/>
  <c r="R440" i="2"/>
  <c r="S440" i="2" s="1"/>
  <c r="R441" i="2"/>
  <c r="S441" i="2" s="1"/>
  <c r="R442" i="2"/>
  <c r="S442" i="2" s="1"/>
  <c r="R443" i="2"/>
  <c r="S443" i="2" s="1"/>
  <c r="R444" i="2"/>
  <c r="S444" i="2" s="1"/>
  <c r="R445" i="2"/>
  <c r="S445" i="2" s="1"/>
  <c r="R446" i="2"/>
  <c r="S446" i="2" s="1"/>
  <c r="R447" i="2"/>
  <c r="S447" i="2" s="1"/>
  <c r="R448" i="2"/>
  <c r="S448" i="2" s="1"/>
  <c r="R449" i="2"/>
  <c r="S449" i="2" s="1"/>
  <c r="R450" i="2"/>
  <c r="S450" i="2" s="1"/>
  <c r="R451" i="2"/>
  <c r="S451" i="2" s="1"/>
  <c r="R452" i="2"/>
  <c r="S452" i="2" s="1"/>
  <c r="R453" i="2"/>
  <c r="S453" i="2" s="1"/>
  <c r="R454" i="2"/>
  <c r="S454" i="2" s="1"/>
  <c r="R455" i="2"/>
  <c r="S455" i="2" s="1"/>
  <c r="R456" i="2"/>
  <c r="S456" i="2" s="1"/>
  <c r="R457" i="2"/>
  <c r="S457" i="2" s="1"/>
  <c r="R458" i="2"/>
  <c r="S458" i="2" s="1"/>
  <c r="R459" i="2"/>
  <c r="S459" i="2" s="1"/>
  <c r="R460" i="2"/>
  <c r="S460" i="2" s="1"/>
  <c r="R461" i="2"/>
  <c r="S461" i="2" s="1"/>
  <c r="R462" i="2"/>
  <c r="S462" i="2" s="1"/>
  <c r="R463" i="2"/>
  <c r="S463" i="2" s="1"/>
  <c r="R464" i="2"/>
  <c r="S464" i="2" s="1"/>
  <c r="R465" i="2"/>
  <c r="S465" i="2" s="1"/>
  <c r="R466" i="2"/>
  <c r="S466" i="2" s="1"/>
  <c r="R467" i="2"/>
  <c r="S467" i="2" s="1"/>
  <c r="R468" i="2"/>
  <c r="S468" i="2" s="1"/>
  <c r="R469" i="2"/>
  <c r="S469" i="2" s="1"/>
  <c r="R470" i="2"/>
  <c r="S470" i="2" s="1"/>
  <c r="R471" i="2"/>
  <c r="S471" i="2" s="1"/>
  <c r="R472" i="2"/>
  <c r="S472" i="2" s="1"/>
  <c r="R473" i="2"/>
  <c r="S473" i="2" s="1"/>
  <c r="R474" i="2"/>
  <c r="S474" i="2" s="1"/>
  <c r="R475" i="2"/>
  <c r="S475" i="2" s="1"/>
  <c r="R476" i="2"/>
  <c r="S476" i="2" s="1"/>
  <c r="R477" i="2"/>
  <c r="S477" i="2" s="1"/>
  <c r="R478" i="2"/>
  <c r="S478" i="2" s="1"/>
  <c r="R479" i="2"/>
  <c r="S479" i="2" s="1"/>
  <c r="R480" i="2"/>
  <c r="S480" i="2" s="1"/>
  <c r="R481" i="2"/>
  <c r="S481" i="2" s="1"/>
  <c r="R482" i="2"/>
  <c r="S482" i="2" s="1"/>
  <c r="R483" i="2"/>
  <c r="S483" i="2" s="1"/>
  <c r="R484" i="2"/>
  <c r="S484" i="2" s="1"/>
  <c r="R485" i="2"/>
  <c r="S485" i="2" s="1"/>
  <c r="R486" i="2"/>
  <c r="S486" i="2" s="1"/>
  <c r="R487" i="2"/>
  <c r="S487" i="2" s="1"/>
  <c r="R488" i="2"/>
  <c r="S488" i="2" s="1"/>
  <c r="R489" i="2"/>
  <c r="S489" i="2" s="1"/>
  <c r="R490" i="2"/>
  <c r="S490" i="2" s="1"/>
  <c r="R491" i="2"/>
  <c r="S491" i="2" s="1"/>
  <c r="R492" i="2"/>
  <c r="S492" i="2" s="1"/>
  <c r="R493" i="2"/>
  <c r="S493" i="2" s="1"/>
  <c r="R494" i="2"/>
  <c r="S494" i="2" s="1"/>
  <c r="R495" i="2"/>
  <c r="S495" i="2" s="1"/>
  <c r="R496" i="2"/>
  <c r="S496" i="2" s="1"/>
  <c r="R497" i="2"/>
  <c r="S497" i="2" s="1"/>
  <c r="R498" i="2"/>
  <c r="S498" i="2" s="1"/>
  <c r="R499" i="2"/>
  <c r="S499" i="2" s="1"/>
  <c r="R500" i="2"/>
  <c r="S500" i="2" s="1"/>
  <c r="R501" i="2"/>
  <c r="S501" i="2" s="1"/>
  <c r="R502" i="2"/>
  <c r="S502" i="2" s="1"/>
  <c r="R503" i="2"/>
  <c r="S503" i="2" s="1"/>
  <c r="R504" i="2"/>
  <c r="S504" i="2" s="1"/>
  <c r="R505" i="2"/>
  <c r="S505" i="2" s="1"/>
  <c r="R506" i="2"/>
  <c r="S506" i="2" s="1"/>
  <c r="R507" i="2"/>
  <c r="S507" i="2" s="1"/>
  <c r="R508" i="2"/>
  <c r="S508" i="2" s="1"/>
  <c r="R509" i="2"/>
  <c r="S509" i="2" s="1"/>
  <c r="R510" i="2"/>
  <c r="S510" i="2" s="1"/>
  <c r="R511" i="2"/>
  <c r="S511" i="2" s="1"/>
  <c r="R512" i="2"/>
  <c r="S512" i="2" s="1"/>
  <c r="R513" i="2"/>
  <c r="S513" i="2" s="1"/>
  <c r="R514" i="2"/>
  <c r="S514" i="2" s="1"/>
  <c r="R515" i="2"/>
  <c r="S515" i="2" s="1"/>
  <c r="R516" i="2"/>
  <c r="S516" i="2" s="1"/>
  <c r="R517" i="2"/>
  <c r="S517" i="2" s="1"/>
  <c r="R518" i="2"/>
  <c r="S518" i="2" s="1"/>
  <c r="R519" i="2"/>
  <c r="S519" i="2" s="1"/>
  <c r="R520" i="2"/>
  <c r="S520" i="2" s="1"/>
  <c r="R521" i="2"/>
  <c r="S521" i="2" s="1"/>
  <c r="R522" i="2"/>
  <c r="S522" i="2" s="1"/>
  <c r="R523" i="2"/>
  <c r="S523" i="2" s="1"/>
  <c r="R524" i="2"/>
  <c r="S524" i="2" s="1"/>
  <c r="R525" i="2"/>
  <c r="S525" i="2" s="1"/>
  <c r="R526" i="2"/>
  <c r="S526" i="2" s="1"/>
  <c r="R527" i="2"/>
  <c r="S527" i="2" s="1"/>
  <c r="R528" i="2"/>
  <c r="S528" i="2" s="1"/>
  <c r="R529" i="2"/>
  <c r="S529" i="2" s="1"/>
  <c r="R530" i="2"/>
  <c r="S530" i="2" s="1"/>
  <c r="R531" i="2"/>
  <c r="S531" i="2" s="1"/>
  <c r="R532" i="2"/>
  <c r="S532" i="2" s="1"/>
  <c r="R533" i="2"/>
  <c r="S533" i="2" s="1"/>
  <c r="R534" i="2"/>
  <c r="S534" i="2" s="1"/>
  <c r="R535" i="2"/>
  <c r="S535" i="2" s="1"/>
  <c r="R536" i="2"/>
  <c r="S536" i="2" s="1"/>
  <c r="R537" i="2"/>
  <c r="S537" i="2" s="1"/>
  <c r="R538" i="2"/>
  <c r="S538" i="2" s="1"/>
  <c r="R539" i="2"/>
  <c r="S539" i="2" s="1"/>
  <c r="R540" i="2"/>
  <c r="S540" i="2" s="1"/>
  <c r="R541" i="2"/>
  <c r="S541" i="2" s="1"/>
  <c r="R542" i="2"/>
  <c r="S542" i="2" s="1"/>
  <c r="R543" i="2"/>
  <c r="S543" i="2" s="1"/>
  <c r="R544" i="2"/>
  <c r="S544" i="2" s="1"/>
  <c r="R545" i="2"/>
  <c r="S545" i="2" s="1"/>
  <c r="R546" i="2"/>
  <c r="S546" i="2" s="1"/>
  <c r="R547" i="2"/>
  <c r="S547" i="2" s="1"/>
  <c r="R548" i="2"/>
  <c r="S548" i="2" s="1"/>
  <c r="R549" i="2"/>
  <c r="S549" i="2" s="1"/>
  <c r="R550" i="2"/>
  <c r="S550" i="2" s="1"/>
  <c r="R551" i="2"/>
  <c r="S551" i="2" s="1"/>
  <c r="R552" i="2"/>
  <c r="S552" i="2" s="1"/>
  <c r="R553" i="2"/>
  <c r="S553" i="2" s="1"/>
  <c r="R554" i="2"/>
  <c r="S554" i="2" s="1"/>
  <c r="R555" i="2"/>
  <c r="S555" i="2" s="1"/>
  <c r="R556" i="2"/>
  <c r="S556" i="2" s="1"/>
  <c r="R557" i="2"/>
  <c r="S557" i="2" s="1"/>
  <c r="R558" i="2"/>
  <c r="S558" i="2" s="1"/>
  <c r="R559" i="2"/>
  <c r="S559" i="2" s="1"/>
  <c r="R560" i="2"/>
  <c r="S560" i="2" s="1"/>
  <c r="R561" i="2"/>
  <c r="S561" i="2" s="1"/>
  <c r="R562" i="2"/>
  <c r="S562" i="2" s="1"/>
  <c r="R563" i="2"/>
  <c r="S563" i="2" s="1"/>
  <c r="R564" i="2"/>
  <c r="S564" i="2" s="1"/>
  <c r="R565" i="2"/>
  <c r="S565" i="2" s="1"/>
  <c r="R566" i="2"/>
  <c r="S566" i="2" s="1"/>
  <c r="R567" i="2"/>
  <c r="S567" i="2" s="1"/>
  <c r="R568" i="2"/>
  <c r="S568" i="2" s="1"/>
  <c r="R569" i="2"/>
  <c r="S569" i="2" s="1"/>
  <c r="R570" i="2"/>
  <c r="S570" i="2" s="1"/>
  <c r="R571" i="2"/>
  <c r="S571" i="2" s="1"/>
  <c r="R572" i="2"/>
  <c r="S572" i="2" s="1"/>
  <c r="R573" i="2"/>
  <c r="S573" i="2" s="1"/>
  <c r="R574" i="2"/>
  <c r="S574" i="2" s="1"/>
  <c r="R575" i="2"/>
  <c r="S575" i="2" s="1"/>
  <c r="R576" i="2"/>
  <c r="S576" i="2" s="1"/>
  <c r="R577" i="2"/>
  <c r="S577" i="2" s="1"/>
  <c r="R578" i="2"/>
  <c r="S578" i="2" s="1"/>
  <c r="R579" i="2"/>
  <c r="S579" i="2" s="1"/>
  <c r="R580" i="2"/>
  <c r="S580" i="2" s="1"/>
  <c r="R581" i="2"/>
  <c r="S581" i="2" s="1"/>
  <c r="R582" i="2"/>
  <c r="S582" i="2" s="1"/>
  <c r="R583" i="2"/>
  <c r="S583" i="2" s="1"/>
  <c r="R584" i="2"/>
  <c r="S584" i="2" s="1"/>
  <c r="R585" i="2"/>
  <c r="S585" i="2" s="1"/>
  <c r="R586" i="2"/>
  <c r="S586" i="2" s="1"/>
  <c r="R587" i="2"/>
  <c r="S587" i="2" s="1"/>
  <c r="R588" i="2"/>
  <c r="S588" i="2" s="1"/>
  <c r="R589" i="2"/>
  <c r="S589" i="2" s="1"/>
  <c r="R590" i="2"/>
  <c r="S590" i="2" s="1"/>
  <c r="R591" i="2"/>
  <c r="S591" i="2" s="1"/>
  <c r="R592" i="2"/>
  <c r="S592" i="2" s="1"/>
  <c r="R593" i="2"/>
  <c r="S593" i="2" s="1"/>
  <c r="R594" i="2"/>
  <c r="S594" i="2" s="1"/>
  <c r="R595" i="2"/>
  <c r="S595" i="2" s="1"/>
  <c r="R596" i="2"/>
  <c r="S596" i="2" s="1"/>
  <c r="R597" i="2"/>
  <c r="S597" i="2" s="1"/>
  <c r="R598" i="2"/>
  <c r="S598" i="2" s="1"/>
  <c r="R599" i="2"/>
  <c r="S599" i="2" s="1"/>
  <c r="R600" i="2"/>
  <c r="S600" i="2" s="1"/>
  <c r="R601" i="2"/>
  <c r="S601" i="2" s="1"/>
  <c r="R602" i="2"/>
  <c r="S602" i="2" s="1"/>
  <c r="R603" i="2"/>
  <c r="S603" i="2" s="1"/>
  <c r="R604" i="2"/>
  <c r="S604" i="2" s="1"/>
  <c r="R605" i="2"/>
  <c r="S605" i="2" s="1"/>
  <c r="R606" i="2"/>
  <c r="S606" i="2" s="1"/>
  <c r="R607" i="2"/>
  <c r="S607" i="2" s="1"/>
  <c r="R608" i="2"/>
  <c r="S608" i="2" s="1"/>
  <c r="R609" i="2"/>
  <c r="S609" i="2" s="1"/>
  <c r="R610" i="2"/>
  <c r="S610" i="2" s="1"/>
  <c r="R611" i="2"/>
  <c r="S611" i="2" s="1"/>
  <c r="R612" i="2"/>
  <c r="S612" i="2" s="1"/>
  <c r="R613" i="2"/>
  <c r="S613" i="2" s="1"/>
  <c r="R614" i="2"/>
  <c r="S614" i="2" s="1"/>
  <c r="R615" i="2"/>
  <c r="S615" i="2" s="1"/>
  <c r="R616" i="2"/>
  <c r="S616" i="2" s="1"/>
  <c r="R617" i="2"/>
  <c r="S617" i="2" s="1"/>
  <c r="R618" i="2"/>
  <c r="S618" i="2" s="1"/>
  <c r="R619" i="2"/>
  <c r="S619" i="2" s="1"/>
  <c r="R620" i="2"/>
  <c r="S620" i="2" s="1"/>
  <c r="R621" i="2"/>
  <c r="S621" i="2" s="1"/>
  <c r="R622" i="2"/>
  <c r="S622" i="2" s="1"/>
  <c r="R623" i="2"/>
  <c r="S623" i="2" s="1"/>
  <c r="R624" i="2"/>
  <c r="S624" i="2" s="1"/>
  <c r="R625" i="2"/>
  <c r="S625" i="2" s="1"/>
  <c r="R626" i="2"/>
  <c r="S626" i="2" s="1"/>
  <c r="R627" i="2"/>
  <c r="S627" i="2" s="1"/>
  <c r="R628" i="2"/>
  <c r="S628" i="2" s="1"/>
  <c r="R629" i="2"/>
  <c r="S629" i="2" s="1"/>
  <c r="R630" i="2"/>
  <c r="S630" i="2" s="1"/>
  <c r="R631" i="2"/>
  <c r="S631" i="2" s="1"/>
  <c r="R632" i="2"/>
  <c r="S632" i="2" s="1"/>
  <c r="R633" i="2"/>
  <c r="S633" i="2" s="1"/>
  <c r="R634" i="2"/>
  <c r="S634" i="2" s="1"/>
  <c r="R635" i="2"/>
  <c r="S635" i="2" s="1"/>
  <c r="R636" i="2"/>
  <c r="S636" i="2" s="1"/>
  <c r="R637" i="2"/>
  <c r="S637" i="2" s="1"/>
  <c r="R638" i="2"/>
  <c r="S638" i="2" s="1"/>
  <c r="R639" i="2"/>
  <c r="S639" i="2" s="1"/>
  <c r="R640" i="2"/>
  <c r="S640" i="2" s="1"/>
  <c r="R641" i="2"/>
  <c r="S641" i="2" s="1"/>
  <c r="R642" i="2"/>
  <c r="S642" i="2" s="1"/>
  <c r="R643" i="2"/>
  <c r="S643" i="2" s="1"/>
  <c r="R644" i="2"/>
  <c r="S644" i="2" s="1"/>
  <c r="R645" i="2"/>
  <c r="S645" i="2" s="1"/>
  <c r="R646" i="2"/>
  <c r="S646" i="2" s="1"/>
  <c r="R647" i="2"/>
  <c r="S647" i="2" s="1"/>
  <c r="R648" i="2"/>
  <c r="S648" i="2" s="1"/>
  <c r="R649" i="2"/>
  <c r="S649" i="2" s="1"/>
  <c r="R650" i="2"/>
  <c r="S650" i="2" s="1"/>
  <c r="R651" i="2"/>
  <c r="S651" i="2" s="1"/>
  <c r="R652" i="2"/>
  <c r="S652" i="2" s="1"/>
  <c r="R653" i="2"/>
  <c r="S653" i="2" s="1"/>
  <c r="R654" i="2"/>
  <c r="S654" i="2" s="1"/>
  <c r="R655" i="2"/>
  <c r="S655" i="2" s="1"/>
  <c r="R656" i="2"/>
  <c r="S656" i="2" s="1"/>
  <c r="R657" i="2"/>
  <c r="S657" i="2" s="1"/>
  <c r="R658" i="2"/>
  <c r="S658" i="2" s="1"/>
  <c r="R659" i="2"/>
  <c r="S659" i="2" s="1"/>
  <c r="R660" i="2"/>
  <c r="S660" i="2" s="1"/>
  <c r="R661" i="2"/>
  <c r="S661" i="2" s="1"/>
  <c r="R662" i="2"/>
  <c r="S662" i="2" s="1"/>
  <c r="R663" i="2"/>
  <c r="S663" i="2" s="1"/>
  <c r="R664" i="2"/>
  <c r="S664" i="2" s="1"/>
  <c r="R665" i="2"/>
  <c r="S665" i="2" s="1"/>
  <c r="R666" i="2"/>
  <c r="S666" i="2" s="1"/>
  <c r="R667" i="2"/>
  <c r="S667" i="2" s="1"/>
  <c r="R668" i="2"/>
  <c r="S668" i="2" s="1"/>
  <c r="R669" i="2"/>
  <c r="S669" i="2" s="1"/>
  <c r="R670" i="2"/>
  <c r="S670" i="2" s="1"/>
  <c r="R671" i="2"/>
  <c r="S671" i="2" s="1"/>
  <c r="R672" i="2"/>
  <c r="S672" i="2" s="1"/>
  <c r="R673" i="2"/>
  <c r="S673" i="2" s="1"/>
  <c r="R674" i="2"/>
  <c r="S674" i="2" s="1"/>
  <c r="R675" i="2"/>
  <c r="S675" i="2" s="1"/>
  <c r="R676" i="2"/>
  <c r="S676" i="2" s="1"/>
  <c r="R677" i="2"/>
  <c r="S677" i="2" s="1"/>
  <c r="R678" i="2"/>
  <c r="S678" i="2" s="1"/>
  <c r="R679" i="2"/>
  <c r="S679" i="2" s="1"/>
  <c r="R680" i="2"/>
  <c r="S680" i="2" s="1"/>
  <c r="R681" i="2"/>
  <c r="S681" i="2" s="1"/>
  <c r="R682" i="2"/>
  <c r="S682" i="2" s="1"/>
  <c r="R683" i="2"/>
  <c r="S683" i="2" s="1"/>
  <c r="R684" i="2"/>
  <c r="S684" i="2" s="1"/>
  <c r="R685" i="2"/>
  <c r="S685" i="2" s="1"/>
  <c r="R686" i="2"/>
  <c r="S686" i="2" s="1"/>
  <c r="R687" i="2"/>
  <c r="S687" i="2" s="1"/>
  <c r="R688" i="2"/>
  <c r="S688" i="2" s="1"/>
  <c r="R689" i="2"/>
  <c r="S689" i="2" s="1"/>
  <c r="R690" i="2"/>
  <c r="S690" i="2" s="1"/>
  <c r="R691" i="2"/>
  <c r="S691" i="2" s="1"/>
  <c r="R692" i="2"/>
  <c r="S692" i="2" s="1"/>
  <c r="R693" i="2"/>
  <c r="S693" i="2" s="1"/>
  <c r="R694" i="2"/>
  <c r="S694" i="2" s="1"/>
  <c r="R695" i="2"/>
  <c r="S695" i="2" s="1"/>
  <c r="R696" i="2"/>
  <c r="S696" i="2" s="1"/>
  <c r="R697" i="2"/>
  <c r="S697" i="2" s="1"/>
  <c r="R698" i="2"/>
  <c r="S698" i="2" s="1"/>
  <c r="R699" i="2"/>
  <c r="S699" i="2" s="1"/>
  <c r="R700" i="2"/>
  <c r="S700" i="2" s="1"/>
  <c r="R701" i="2"/>
  <c r="S701" i="2" s="1"/>
  <c r="R702" i="2"/>
  <c r="S702" i="2" s="1"/>
  <c r="R703" i="2"/>
  <c r="S703" i="2" s="1"/>
  <c r="R704" i="2"/>
  <c r="S704" i="2" s="1"/>
  <c r="R705" i="2"/>
  <c r="S705" i="2" s="1"/>
  <c r="R706" i="2"/>
  <c r="S706" i="2" s="1"/>
  <c r="R707" i="2"/>
  <c r="S707" i="2" s="1"/>
  <c r="R708" i="2"/>
  <c r="S708" i="2" s="1"/>
  <c r="R709" i="2"/>
  <c r="S709" i="2" s="1"/>
  <c r="R710" i="2"/>
  <c r="S710" i="2" s="1"/>
  <c r="R711" i="2"/>
  <c r="S711" i="2" s="1"/>
  <c r="R712" i="2"/>
  <c r="S712" i="2" s="1"/>
  <c r="R713" i="2"/>
  <c r="S713" i="2" s="1"/>
  <c r="R714" i="2"/>
  <c r="S714" i="2" s="1"/>
  <c r="R715" i="2"/>
  <c r="S715" i="2" s="1"/>
  <c r="R716" i="2"/>
  <c r="S716" i="2" s="1"/>
  <c r="R717" i="2"/>
  <c r="S717" i="2" s="1"/>
  <c r="R718" i="2"/>
  <c r="S718" i="2" s="1"/>
  <c r="R719" i="2"/>
  <c r="S719" i="2" s="1"/>
  <c r="R720" i="2"/>
  <c r="S720" i="2" s="1"/>
  <c r="R721" i="2"/>
  <c r="S721" i="2" s="1"/>
  <c r="R722" i="2"/>
  <c r="S722" i="2" s="1"/>
  <c r="R723" i="2"/>
  <c r="S723" i="2" s="1"/>
  <c r="R724" i="2"/>
  <c r="S724" i="2" s="1"/>
  <c r="R725" i="2"/>
  <c r="S725" i="2" s="1"/>
  <c r="R726" i="2"/>
  <c r="S726" i="2" s="1"/>
  <c r="R727" i="2"/>
  <c r="S727" i="2" s="1"/>
  <c r="R728" i="2"/>
  <c r="S728" i="2" s="1"/>
  <c r="R729" i="2"/>
  <c r="S729" i="2" s="1"/>
  <c r="R730" i="2"/>
  <c r="S730" i="2" s="1"/>
  <c r="R731" i="2"/>
  <c r="S731" i="2" s="1"/>
  <c r="R732" i="2"/>
  <c r="S732" i="2" s="1"/>
  <c r="R733" i="2"/>
  <c r="S733" i="2" s="1"/>
  <c r="R734" i="2"/>
  <c r="S734" i="2" s="1"/>
  <c r="R735" i="2"/>
  <c r="S735" i="2" s="1"/>
  <c r="R736" i="2"/>
  <c r="S736" i="2" s="1"/>
  <c r="R737" i="2"/>
  <c r="S737" i="2" s="1"/>
  <c r="R738" i="2"/>
  <c r="S738" i="2" s="1"/>
  <c r="R739" i="2"/>
  <c r="S739" i="2" s="1"/>
  <c r="R740" i="2"/>
  <c r="S740" i="2" s="1"/>
  <c r="R741" i="2"/>
  <c r="S741" i="2" s="1"/>
  <c r="R742" i="2"/>
  <c r="S742" i="2" s="1"/>
  <c r="R743" i="2"/>
  <c r="S743" i="2" s="1"/>
  <c r="R744" i="2"/>
  <c r="S744" i="2" s="1"/>
  <c r="R745" i="2"/>
  <c r="S745" i="2" s="1"/>
  <c r="R746" i="2"/>
  <c r="S746" i="2" s="1"/>
  <c r="R747" i="2"/>
  <c r="S747" i="2" s="1"/>
  <c r="R748" i="2"/>
  <c r="S748" i="2" s="1"/>
  <c r="R749" i="2"/>
  <c r="S749" i="2" s="1"/>
  <c r="R750" i="2"/>
  <c r="S750" i="2" s="1"/>
  <c r="R751" i="2"/>
  <c r="S751" i="2" s="1"/>
  <c r="R752" i="2"/>
  <c r="S752" i="2" s="1"/>
  <c r="R753" i="2"/>
  <c r="S753" i="2" s="1"/>
  <c r="R754" i="2"/>
  <c r="S754" i="2" s="1"/>
  <c r="R755" i="2"/>
  <c r="S755" i="2" s="1"/>
  <c r="R756" i="2"/>
  <c r="S756" i="2" s="1"/>
  <c r="R757" i="2"/>
  <c r="S757" i="2" s="1"/>
  <c r="R758" i="2"/>
  <c r="S758" i="2" s="1"/>
  <c r="R759" i="2"/>
  <c r="S759" i="2" s="1"/>
  <c r="R760" i="2"/>
  <c r="S760" i="2" s="1"/>
  <c r="R761" i="2"/>
  <c r="S761" i="2" s="1"/>
  <c r="R762" i="2"/>
  <c r="S762" i="2" s="1"/>
  <c r="R763" i="2"/>
  <c r="S763" i="2" s="1"/>
  <c r="R764" i="2"/>
  <c r="S764" i="2" s="1"/>
  <c r="R765" i="2"/>
  <c r="S765" i="2" s="1"/>
  <c r="R766" i="2"/>
  <c r="S766" i="2" s="1"/>
  <c r="R767" i="2"/>
  <c r="S767" i="2" s="1"/>
  <c r="R768" i="2"/>
  <c r="S768" i="2" s="1"/>
  <c r="R769" i="2"/>
  <c r="S769" i="2" s="1"/>
  <c r="R770" i="2"/>
  <c r="S770" i="2" s="1"/>
  <c r="R771" i="2"/>
  <c r="S771" i="2" s="1"/>
  <c r="R772" i="2"/>
  <c r="S772" i="2" s="1"/>
  <c r="R773" i="2"/>
  <c r="S773" i="2" s="1"/>
  <c r="R774" i="2"/>
  <c r="S774" i="2" s="1"/>
  <c r="R775" i="2"/>
  <c r="S775" i="2" s="1"/>
  <c r="R776" i="2"/>
  <c r="S776" i="2" s="1"/>
  <c r="R777" i="2"/>
  <c r="S777" i="2" s="1"/>
  <c r="R778" i="2"/>
  <c r="S778" i="2" s="1"/>
  <c r="R779" i="2"/>
  <c r="S779" i="2" s="1"/>
  <c r="R780" i="2"/>
  <c r="S780" i="2" s="1"/>
  <c r="R781" i="2"/>
  <c r="S781" i="2" s="1"/>
  <c r="R782" i="2"/>
  <c r="S782" i="2" s="1"/>
  <c r="R783" i="2"/>
  <c r="S783" i="2" s="1"/>
  <c r="R784" i="2"/>
  <c r="S784" i="2" s="1"/>
  <c r="R785" i="2"/>
  <c r="S785" i="2" s="1"/>
  <c r="R786" i="2"/>
  <c r="S786" i="2" s="1"/>
  <c r="R787" i="2"/>
  <c r="S787" i="2" s="1"/>
  <c r="R788" i="2"/>
  <c r="S788" i="2" s="1"/>
  <c r="R789" i="2"/>
  <c r="S789" i="2" s="1"/>
  <c r="R790" i="2"/>
  <c r="S790" i="2" s="1"/>
  <c r="R791" i="2"/>
  <c r="S791" i="2" s="1"/>
  <c r="R792" i="2"/>
  <c r="S792" i="2" s="1"/>
  <c r="R793" i="2"/>
  <c r="S793" i="2" s="1"/>
  <c r="R794" i="2"/>
  <c r="S794" i="2" s="1"/>
  <c r="R795" i="2"/>
  <c r="S795" i="2" s="1"/>
  <c r="R796" i="2"/>
  <c r="S796" i="2" s="1"/>
  <c r="R797" i="2"/>
  <c r="S797" i="2" s="1"/>
  <c r="R798" i="2"/>
  <c r="S798" i="2" s="1"/>
  <c r="R799" i="2"/>
  <c r="S799" i="2" s="1"/>
  <c r="R800" i="2"/>
  <c r="S800" i="2" s="1"/>
  <c r="R801" i="2"/>
  <c r="S801" i="2" s="1"/>
  <c r="R802" i="2"/>
  <c r="S802" i="2" s="1"/>
  <c r="R803" i="2"/>
  <c r="S803" i="2" s="1"/>
  <c r="R804" i="2"/>
  <c r="S804" i="2" s="1"/>
  <c r="R805" i="2"/>
  <c r="S805" i="2" s="1"/>
  <c r="R806" i="2"/>
  <c r="S806" i="2" s="1"/>
  <c r="R807" i="2"/>
  <c r="S807" i="2" s="1"/>
  <c r="R808" i="2"/>
  <c r="S808" i="2" s="1"/>
  <c r="R809" i="2"/>
  <c r="S809" i="2" s="1"/>
  <c r="R810" i="2"/>
  <c r="S810" i="2" s="1"/>
  <c r="R811" i="2"/>
  <c r="S811" i="2" s="1"/>
  <c r="R812" i="2"/>
  <c r="S812" i="2" s="1"/>
  <c r="R813" i="2"/>
  <c r="S813" i="2" s="1"/>
  <c r="R814" i="2"/>
  <c r="S814" i="2" s="1"/>
  <c r="R815" i="2"/>
  <c r="S815" i="2" s="1"/>
  <c r="R816" i="2"/>
  <c r="S816" i="2" s="1"/>
  <c r="R817" i="2"/>
  <c r="S817" i="2" s="1"/>
  <c r="R818" i="2"/>
  <c r="S818" i="2" s="1"/>
  <c r="R819" i="2"/>
  <c r="S819" i="2" s="1"/>
  <c r="R820" i="2"/>
  <c r="S820" i="2" s="1"/>
  <c r="R821" i="2"/>
  <c r="S821" i="2" s="1"/>
  <c r="R822" i="2"/>
  <c r="S822" i="2" s="1"/>
  <c r="R823" i="2"/>
  <c r="S823" i="2" s="1"/>
  <c r="R824" i="2"/>
  <c r="S824" i="2" s="1"/>
  <c r="R825" i="2"/>
  <c r="S825" i="2" s="1"/>
  <c r="R826" i="2"/>
  <c r="S826" i="2" s="1"/>
  <c r="R827" i="2"/>
  <c r="S827" i="2" s="1"/>
  <c r="R828" i="2"/>
  <c r="S828" i="2" s="1"/>
  <c r="R829" i="2"/>
  <c r="S829" i="2" s="1"/>
  <c r="R830" i="2"/>
  <c r="S830" i="2" s="1"/>
  <c r="R831" i="2"/>
  <c r="S831" i="2" s="1"/>
  <c r="R832" i="2"/>
  <c r="S832" i="2" s="1"/>
  <c r="R833" i="2"/>
  <c r="S833" i="2" s="1"/>
  <c r="R834" i="2"/>
  <c r="S834" i="2" s="1"/>
  <c r="R835" i="2"/>
  <c r="S835" i="2" s="1"/>
  <c r="R836" i="2"/>
  <c r="S836" i="2" s="1"/>
  <c r="R837" i="2"/>
  <c r="S837" i="2" s="1"/>
  <c r="R838" i="2"/>
  <c r="S838" i="2" s="1"/>
  <c r="R839" i="2"/>
  <c r="S839" i="2" s="1"/>
  <c r="R840" i="2"/>
  <c r="S840" i="2" s="1"/>
  <c r="R841" i="2"/>
  <c r="S841" i="2" s="1"/>
  <c r="R842" i="2"/>
  <c r="S842" i="2" s="1"/>
  <c r="R843" i="2"/>
  <c r="S843" i="2" s="1"/>
  <c r="R844" i="2"/>
  <c r="S844" i="2" s="1"/>
  <c r="R845" i="2"/>
  <c r="S845" i="2" s="1"/>
  <c r="R846" i="2"/>
  <c r="S846" i="2" s="1"/>
  <c r="R847" i="2"/>
  <c r="S847" i="2" s="1"/>
  <c r="R848" i="2"/>
  <c r="S848" i="2" s="1"/>
  <c r="R849" i="2"/>
  <c r="S849" i="2" s="1"/>
  <c r="R850" i="2"/>
  <c r="S850" i="2" s="1"/>
  <c r="R851" i="2"/>
  <c r="S851" i="2" s="1"/>
  <c r="R852" i="2"/>
  <c r="S852" i="2" s="1"/>
  <c r="R853" i="2"/>
  <c r="S853" i="2" s="1"/>
  <c r="R854" i="2"/>
  <c r="S854" i="2" s="1"/>
  <c r="R855" i="2"/>
  <c r="S855" i="2" s="1"/>
  <c r="R856" i="2"/>
  <c r="S856" i="2" s="1"/>
  <c r="R857" i="2"/>
  <c r="S857" i="2" s="1"/>
  <c r="R858" i="2"/>
  <c r="S858" i="2" s="1"/>
  <c r="R859" i="2"/>
  <c r="S859" i="2" s="1"/>
  <c r="R860" i="2"/>
  <c r="S860" i="2" s="1"/>
  <c r="R861" i="2"/>
  <c r="S861" i="2" s="1"/>
  <c r="R862" i="2"/>
  <c r="S862" i="2" s="1"/>
  <c r="R863" i="2"/>
  <c r="S863" i="2" s="1"/>
  <c r="R864" i="2"/>
  <c r="S864" i="2" s="1"/>
  <c r="R865" i="2"/>
  <c r="S865" i="2" s="1"/>
  <c r="R866" i="2"/>
  <c r="S866" i="2" s="1"/>
  <c r="R867" i="2"/>
  <c r="S867" i="2" s="1"/>
  <c r="R868" i="2"/>
  <c r="S868" i="2" s="1"/>
  <c r="R869" i="2"/>
  <c r="S869" i="2" s="1"/>
  <c r="R870" i="2"/>
  <c r="S870" i="2" s="1"/>
  <c r="R871" i="2"/>
  <c r="S871" i="2" s="1"/>
  <c r="R872" i="2"/>
  <c r="S872" i="2" s="1"/>
  <c r="R873" i="2"/>
  <c r="S873" i="2" s="1"/>
  <c r="R874" i="2"/>
  <c r="S874" i="2" s="1"/>
  <c r="R875" i="2"/>
  <c r="S875" i="2" s="1"/>
  <c r="R876" i="2"/>
  <c r="S876" i="2" s="1"/>
  <c r="R877" i="2"/>
  <c r="S877" i="2" s="1"/>
  <c r="R878" i="2"/>
  <c r="S878" i="2" s="1"/>
  <c r="R879" i="2"/>
  <c r="S879" i="2" s="1"/>
  <c r="R880" i="2"/>
  <c r="S880" i="2" s="1"/>
  <c r="R881" i="2"/>
  <c r="S881" i="2" s="1"/>
  <c r="R882" i="2"/>
  <c r="S882" i="2" s="1"/>
  <c r="R883" i="2"/>
  <c r="S883" i="2" s="1"/>
  <c r="R884" i="2"/>
  <c r="S884" i="2" s="1"/>
  <c r="R885" i="2"/>
  <c r="S885" i="2" s="1"/>
  <c r="R886" i="2"/>
  <c r="S886" i="2" s="1"/>
  <c r="R887" i="2"/>
  <c r="S887" i="2" s="1"/>
  <c r="R888" i="2"/>
  <c r="S888" i="2" s="1"/>
  <c r="R889" i="2"/>
  <c r="S889" i="2" s="1"/>
  <c r="R890" i="2"/>
  <c r="S890" i="2" s="1"/>
  <c r="R891" i="2"/>
  <c r="S891" i="2" s="1"/>
  <c r="R892" i="2"/>
  <c r="S892" i="2" s="1"/>
  <c r="R893" i="2"/>
  <c r="S893" i="2" s="1"/>
  <c r="R894" i="2"/>
  <c r="S894" i="2" s="1"/>
  <c r="R895" i="2"/>
  <c r="S895" i="2" s="1"/>
  <c r="R896" i="2"/>
  <c r="S896" i="2" s="1"/>
  <c r="R897" i="2"/>
  <c r="S897" i="2" s="1"/>
  <c r="R898" i="2"/>
  <c r="S898" i="2" s="1"/>
  <c r="R899" i="2"/>
  <c r="S899" i="2" s="1"/>
  <c r="R900" i="2"/>
  <c r="S900" i="2" s="1"/>
  <c r="R901" i="2"/>
  <c r="S901" i="2" s="1"/>
  <c r="R902" i="2"/>
  <c r="S902" i="2" s="1"/>
  <c r="R903" i="2"/>
  <c r="S903" i="2" s="1"/>
  <c r="R904" i="2"/>
  <c r="S904" i="2" s="1"/>
  <c r="R905" i="2"/>
  <c r="S905" i="2" s="1"/>
  <c r="R906" i="2"/>
  <c r="S906" i="2" s="1"/>
  <c r="R907" i="2"/>
  <c r="S907" i="2" s="1"/>
  <c r="R908" i="2"/>
  <c r="S908" i="2" s="1"/>
  <c r="R909" i="2"/>
  <c r="S909" i="2" s="1"/>
  <c r="R910" i="2"/>
  <c r="S910" i="2" s="1"/>
  <c r="R911" i="2"/>
  <c r="S911" i="2" s="1"/>
  <c r="R912" i="2"/>
  <c r="S912" i="2" s="1"/>
  <c r="R913" i="2"/>
  <c r="S913" i="2" s="1"/>
  <c r="R914" i="2"/>
  <c r="S914" i="2" s="1"/>
  <c r="R915" i="2"/>
  <c r="S915" i="2" s="1"/>
  <c r="R916" i="2"/>
  <c r="S916" i="2" s="1"/>
  <c r="R917" i="2"/>
  <c r="S917" i="2" s="1"/>
  <c r="R918" i="2"/>
  <c r="S918" i="2" s="1"/>
  <c r="R919" i="2"/>
  <c r="S919" i="2" s="1"/>
  <c r="R920" i="2"/>
  <c r="S920" i="2" s="1"/>
  <c r="R921" i="2"/>
  <c r="S921" i="2" s="1"/>
  <c r="R922" i="2"/>
  <c r="S922" i="2" s="1"/>
  <c r="R923" i="2"/>
  <c r="S923" i="2" s="1"/>
  <c r="R924" i="2"/>
  <c r="S924" i="2" s="1"/>
  <c r="R925" i="2"/>
  <c r="S925" i="2" s="1"/>
  <c r="R926" i="2"/>
  <c r="S926" i="2" s="1"/>
  <c r="R927" i="2"/>
  <c r="S927" i="2" s="1"/>
  <c r="R928" i="2"/>
  <c r="S928" i="2" s="1"/>
  <c r="R929" i="2"/>
  <c r="S929" i="2" s="1"/>
  <c r="R930" i="2"/>
  <c r="S930" i="2" s="1"/>
  <c r="R931" i="2"/>
  <c r="S931" i="2" s="1"/>
  <c r="R932" i="2"/>
  <c r="S932" i="2" s="1"/>
  <c r="R933" i="2"/>
  <c r="S933" i="2" s="1"/>
  <c r="R934" i="2"/>
  <c r="S934" i="2" s="1"/>
  <c r="R935" i="2"/>
  <c r="S935" i="2" s="1"/>
  <c r="R936" i="2"/>
  <c r="S936" i="2" s="1"/>
  <c r="R937" i="2"/>
  <c r="S937" i="2" s="1"/>
  <c r="R938" i="2"/>
  <c r="S938" i="2" s="1"/>
  <c r="R939" i="2"/>
  <c r="S939" i="2" s="1"/>
  <c r="R940" i="2"/>
  <c r="S940" i="2" s="1"/>
  <c r="R941" i="2"/>
  <c r="S941" i="2" s="1"/>
  <c r="R942" i="2"/>
  <c r="S942" i="2" s="1"/>
  <c r="R943" i="2"/>
  <c r="S943" i="2" s="1"/>
  <c r="R944" i="2"/>
  <c r="S944" i="2" s="1"/>
  <c r="R945" i="2"/>
  <c r="S945" i="2" s="1"/>
  <c r="R946" i="2"/>
  <c r="S946" i="2" s="1"/>
  <c r="R947" i="2"/>
  <c r="S947" i="2" s="1"/>
  <c r="R948" i="2"/>
  <c r="S948" i="2" s="1"/>
  <c r="R949" i="2"/>
  <c r="S949" i="2" s="1"/>
  <c r="R950" i="2"/>
  <c r="S950" i="2" s="1"/>
  <c r="R951" i="2"/>
  <c r="S951" i="2" s="1"/>
  <c r="R952" i="2"/>
  <c r="S952" i="2" s="1"/>
  <c r="R953" i="2"/>
  <c r="S953" i="2" s="1"/>
  <c r="R954" i="2"/>
  <c r="S954" i="2" s="1"/>
  <c r="R955" i="2"/>
  <c r="S955" i="2" s="1"/>
  <c r="R956" i="2"/>
  <c r="S956" i="2" s="1"/>
  <c r="R957" i="2"/>
  <c r="S957" i="2" s="1"/>
  <c r="R958" i="2"/>
  <c r="S958" i="2" s="1"/>
  <c r="R959" i="2"/>
  <c r="S959" i="2" s="1"/>
  <c r="R960" i="2"/>
  <c r="S960" i="2" s="1"/>
  <c r="R961" i="2"/>
  <c r="S961" i="2" s="1"/>
  <c r="R962" i="2"/>
  <c r="S962" i="2" s="1"/>
  <c r="R963" i="2"/>
  <c r="S963" i="2" s="1"/>
  <c r="R964" i="2"/>
  <c r="S964" i="2" s="1"/>
  <c r="R965" i="2"/>
  <c r="S965" i="2" s="1"/>
  <c r="R966" i="2"/>
  <c r="S966" i="2" s="1"/>
  <c r="R967" i="2"/>
  <c r="S967" i="2" s="1"/>
  <c r="R968" i="2"/>
  <c r="S968" i="2" s="1"/>
  <c r="R969" i="2"/>
  <c r="S969" i="2" s="1"/>
  <c r="R970" i="2"/>
  <c r="S970" i="2" s="1"/>
  <c r="R971" i="2"/>
  <c r="S971" i="2" s="1"/>
  <c r="R972" i="2"/>
  <c r="S972" i="2" s="1"/>
  <c r="R973" i="2"/>
  <c r="S973" i="2" s="1"/>
  <c r="R974" i="2"/>
  <c r="S974" i="2" s="1"/>
  <c r="R975" i="2"/>
  <c r="S975" i="2" s="1"/>
  <c r="R976" i="2"/>
  <c r="S976" i="2" s="1"/>
  <c r="R977" i="2"/>
  <c r="S977" i="2" s="1"/>
  <c r="R978" i="2"/>
  <c r="S978" i="2" s="1"/>
  <c r="R979" i="2"/>
  <c r="S979" i="2" s="1"/>
  <c r="R980" i="2"/>
  <c r="S980" i="2" s="1"/>
  <c r="R981" i="2"/>
  <c r="S981" i="2" s="1"/>
  <c r="R982" i="2"/>
  <c r="S982" i="2" s="1"/>
  <c r="R983" i="2"/>
  <c r="S983" i="2" s="1"/>
  <c r="R984" i="2"/>
  <c r="S984" i="2" s="1"/>
  <c r="R985" i="2"/>
  <c r="S985" i="2" s="1"/>
  <c r="R986" i="2"/>
  <c r="S986" i="2" s="1"/>
  <c r="R987" i="2"/>
  <c r="S987" i="2" s="1"/>
  <c r="R988" i="2"/>
  <c r="S988" i="2" s="1"/>
  <c r="R989" i="2"/>
  <c r="S989" i="2" s="1"/>
  <c r="R990" i="2"/>
  <c r="S990" i="2" s="1"/>
  <c r="R991" i="2"/>
  <c r="S991" i="2" s="1"/>
  <c r="R992" i="2"/>
  <c r="S992" i="2" s="1"/>
  <c r="R993" i="2"/>
  <c r="S993" i="2" s="1"/>
  <c r="R994" i="2"/>
  <c r="S994" i="2" s="1"/>
  <c r="R995" i="2"/>
  <c r="S995" i="2" s="1"/>
  <c r="R996" i="2"/>
  <c r="S996" i="2" s="1"/>
  <c r="R997" i="2"/>
  <c r="S997" i="2" s="1"/>
  <c r="R998" i="2"/>
  <c r="S998" i="2" s="1"/>
  <c r="R999" i="2"/>
  <c r="S999" i="2" s="1"/>
  <c r="R1000" i="2"/>
  <c r="S1000" i="2" s="1"/>
  <c r="R1001" i="2"/>
  <c r="S1001" i="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6B470B-ECED-4A8A-B56B-0173BDD3C72C}" keepAlive="1" name="Query - banking_loan_data" description="Connection to the 'banking_loan_data' query in the workbook." type="5" refreshedVersion="8" background="1" saveData="1">
    <dbPr connection="Provider=Microsoft.Mashup.OleDb.1;Data Source=$Workbook$;Location=banking_loan_data;Extended Properties=&quot;&quot;" command="SELECT * FROM [banking_loan_data]"/>
  </connection>
  <connection id="2" xr16:uid="{B6D803D0-E162-4B05-ACD5-AAD01C32F359}" keepAlive="1" name="Query - banking_loan_data (2)" description="Connection to the 'banking_loan_data (2)' query in the workbook." type="5" refreshedVersion="8" background="1" saveData="1">
    <dbPr connection="Provider=Microsoft.Mashup.OleDb.1;Data Source=$Workbook$;Location=&quot;banking_loan_data (2)&quot;;Extended Properties=&quot;&quot;" command="SELECT * FROM [banking_loan_data (2)]"/>
  </connection>
</connections>
</file>

<file path=xl/sharedStrings.xml><?xml version="1.0" encoding="utf-8"?>
<sst xmlns="http://schemas.openxmlformats.org/spreadsheetml/2006/main" count="17104" uniqueCount="2084">
  <si>
    <t>Loan ID</t>
  </si>
  <si>
    <t>Issue Date</t>
  </si>
  <si>
    <t>Borrower ID</t>
  </si>
  <si>
    <t>State</t>
  </si>
  <si>
    <t>Loan Amount</t>
  </si>
  <si>
    <t>Interest Rate</t>
  </si>
  <si>
    <t>Term (Months)</t>
  </si>
  <si>
    <t>Loan Status</t>
  </si>
  <si>
    <t>Loan Grade</t>
  </si>
  <si>
    <t>Loan Intent</t>
  </si>
  <si>
    <t>Annual Income</t>
  </si>
  <si>
    <t>Home Ownership</t>
  </si>
  <si>
    <t>DTI</t>
  </si>
  <si>
    <t>LTV</t>
  </si>
  <si>
    <t>Total Payments Received</t>
  </si>
  <si>
    <t>Recovery Amount</t>
  </si>
  <si>
    <t>L0001</t>
  </si>
  <si>
    <t>B0001</t>
  </si>
  <si>
    <t>OH</t>
  </si>
  <si>
    <t>FULLY PAID</t>
  </si>
  <si>
    <t>A</t>
  </si>
  <si>
    <t>SMALL BUSINESS</t>
  </si>
  <si>
    <t>OWN</t>
  </si>
  <si>
    <t>L0002</t>
  </si>
  <si>
    <t>B0002</t>
  </si>
  <si>
    <t>PA</t>
  </si>
  <si>
    <t>CURRENT</t>
  </si>
  <si>
    <t>D</t>
  </si>
  <si>
    <t>CREDIT CARD</t>
  </si>
  <si>
    <t>MORTGAGE</t>
  </si>
  <si>
    <t>L0003</t>
  </si>
  <si>
    <t>B0003</t>
  </si>
  <si>
    <t>HOME IMPROVEMENT</t>
  </si>
  <si>
    <t>RENT</t>
  </si>
  <si>
    <t>L0004</t>
  </si>
  <si>
    <t>B0004</t>
  </si>
  <si>
    <t>F</t>
  </si>
  <si>
    <t>OTHER</t>
  </si>
  <si>
    <t>L0005</t>
  </si>
  <si>
    <t>B0005</t>
  </si>
  <si>
    <t>NY</t>
  </si>
  <si>
    <t>G</t>
  </si>
  <si>
    <t>L0006</t>
  </si>
  <si>
    <t>B0006</t>
  </si>
  <si>
    <t>L0007</t>
  </si>
  <si>
    <t>B0007</t>
  </si>
  <si>
    <t>MI</t>
  </si>
  <si>
    <t>DEBT CONSOLIDATION</t>
  </si>
  <si>
    <t>L0008</t>
  </si>
  <si>
    <t>B0008</t>
  </si>
  <si>
    <t>NC</t>
  </si>
  <si>
    <t>L0009</t>
  </si>
  <si>
    <t>B0009</t>
  </si>
  <si>
    <t>GA</t>
  </si>
  <si>
    <t>L0010</t>
  </si>
  <si>
    <t>B0010</t>
  </si>
  <si>
    <t>IL</t>
  </si>
  <si>
    <t>B</t>
  </si>
  <si>
    <t>L0011</t>
  </si>
  <si>
    <t>B0011</t>
  </si>
  <si>
    <t>LATE (31-120 DAYS)</t>
  </si>
  <si>
    <t>L0012</t>
  </si>
  <si>
    <t>B0012</t>
  </si>
  <si>
    <t>L0013</t>
  </si>
  <si>
    <t>B0013</t>
  </si>
  <si>
    <t>CA</t>
  </si>
  <si>
    <t>L0014</t>
  </si>
  <si>
    <t>B0014</t>
  </si>
  <si>
    <t>L0015</t>
  </si>
  <si>
    <t>B0015</t>
  </si>
  <si>
    <t>L0016</t>
  </si>
  <si>
    <t>B0016</t>
  </si>
  <si>
    <t>FL</t>
  </si>
  <si>
    <t>C</t>
  </si>
  <si>
    <t>L0017</t>
  </si>
  <si>
    <t>B0017</t>
  </si>
  <si>
    <t>TX</t>
  </si>
  <si>
    <t>L0018</t>
  </si>
  <si>
    <t>B0018</t>
  </si>
  <si>
    <t>L0019</t>
  </si>
  <si>
    <t>B0019</t>
  </si>
  <si>
    <t>CHARGED OFF</t>
  </si>
  <si>
    <t>L0020</t>
  </si>
  <si>
    <t>B0020</t>
  </si>
  <si>
    <t>E</t>
  </si>
  <si>
    <t>L0021</t>
  </si>
  <si>
    <t>B0021</t>
  </si>
  <si>
    <t>L0022</t>
  </si>
  <si>
    <t>B0022</t>
  </si>
  <si>
    <t>L0023</t>
  </si>
  <si>
    <t>B0023</t>
  </si>
  <si>
    <t>L0024</t>
  </si>
  <si>
    <t>B0024</t>
  </si>
  <si>
    <t>L0025</t>
  </si>
  <si>
    <t>B0025</t>
  </si>
  <si>
    <t>L0026</t>
  </si>
  <si>
    <t>B0026</t>
  </si>
  <si>
    <t>L0027</t>
  </si>
  <si>
    <t>B0027</t>
  </si>
  <si>
    <t>L0028</t>
  </si>
  <si>
    <t>B0028</t>
  </si>
  <si>
    <t>L0029</t>
  </si>
  <si>
    <t>B0029</t>
  </si>
  <si>
    <t>L0030</t>
  </si>
  <si>
    <t>B0030</t>
  </si>
  <si>
    <t>L0031</t>
  </si>
  <si>
    <t>B0031</t>
  </si>
  <si>
    <t>L0032</t>
  </si>
  <si>
    <t>B0032</t>
  </si>
  <si>
    <t>L0033</t>
  </si>
  <si>
    <t>B0033</t>
  </si>
  <si>
    <t>L0034</t>
  </si>
  <si>
    <t>B0034</t>
  </si>
  <si>
    <t>L0035</t>
  </si>
  <si>
    <t>B0035</t>
  </si>
  <si>
    <t>L0036</t>
  </si>
  <si>
    <t>B0036</t>
  </si>
  <si>
    <t>L0037</t>
  </si>
  <si>
    <t>B0037</t>
  </si>
  <si>
    <t>L0038</t>
  </si>
  <si>
    <t>B0038</t>
  </si>
  <si>
    <t>L0039</t>
  </si>
  <si>
    <t>B0039</t>
  </si>
  <si>
    <t>L0040</t>
  </si>
  <si>
    <t>B0040</t>
  </si>
  <si>
    <t>L0041</t>
  </si>
  <si>
    <t>B0041</t>
  </si>
  <si>
    <t>L0042</t>
  </si>
  <si>
    <t>B0042</t>
  </si>
  <si>
    <t>L0043</t>
  </si>
  <si>
    <t>B0043</t>
  </si>
  <si>
    <t>L0044</t>
  </si>
  <si>
    <t>B0044</t>
  </si>
  <si>
    <t>L0045</t>
  </si>
  <si>
    <t>B0045</t>
  </si>
  <si>
    <t>L0046</t>
  </si>
  <si>
    <t>B0046</t>
  </si>
  <si>
    <t>L0047</t>
  </si>
  <si>
    <t>B0047</t>
  </si>
  <si>
    <t>L0048</t>
  </si>
  <si>
    <t>B0048</t>
  </si>
  <si>
    <t>L0049</t>
  </si>
  <si>
    <t>B0049</t>
  </si>
  <si>
    <t>L0050</t>
  </si>
  <si>
    <t>B0050</t>
  </si>
  <si>
    <t>L0051</t>
  </si>
  <si>
    <t>B0051</t>
  </si>
  <si>
    <t>L0052</t>
  </si>
  <si>
    <t>B0052</t>
  </si>
  <si>
    <t>L0053</t>
  </si>
  <si>
    <t>B0053</t>
  </si>
  <si>
    <t>L0054</t>
  </si>
  <si>
    <t>B0054</t>
  </si>
  <si>
    <t>L0055</t>
  </si>
  <si>
    <t>B0055</t>
  </si>
  <si>
    <t>L0056</t>
  </si>
  <si>
    <t>B0056</t>
  </si>
  <si>
    <t>L0057</t>
  </si>
  <si>
    <t>B0057</t>
  </si>
  <si>
    <t>L0058</t>
  </si>
  <si>
    <t>B0058</t>
  </si>
  <si>
    <t>L0059</t>
  </si>
  <si>
    <t>B0059</t>
  </si>
  <si>
    <t>L0060</t>
  </si>
  <si>
    <t>B0060</t>
  </si>
  <si>
    <t>L0061</t>
  </si>
  <si>
    <t>B0061</t>
  </si>
  <si>
    <t>L0062</t>
  </si>
  <si>
    <t>B0062</t>
  </si>
  <si>
    <t>L0063</t>
  </si>
  <si>
    <t>B0063</t>
  </si>
  <si>
    <t>L0064</t>
  </si>
  <si>
    <t>B0064</t>
  </si>
  <si>
    <t>L0065</t>
  </si>
  <si>
    <t>B0065</t>
  </si>
  <si>
    <t>L0066</t>
  </si>
  <si>
    <t>B0066</t>
  </si>
  <si>
    <t>L0067</t>
  </si>
  <si>
    <t>B0067</t>
  </si>
  <si>
    <t>L0068</t>
  </si>
  <si>
    <t>B0068</t>
  </si>
  <si>
    <t>L0069</t>
  </si>
  <si>
    <t>B0069</t>
  </si>
  <si>
    <t>L0070</t>
  </si>
  <si>
    <t>B0070</t>
  </si>
  <si>
    <t>L0071</t>
  </si>
  <si>
    <t>B0071</t>
  </si>
  <si>
    <t>L0072</t>
  </si>
  <si>
    <t>B0072</t>
  </si>
  <si>
    <t>L0073</t>
  </si>
  <si>
    <t>B0073</t>
  </si>
  <si>
    <t>L0074</t>
  </si>
  <si>
    <t>B0074</t>
  </si>
  <si>
    <t>L0075</t>
  </si>
  <si>
    <t>B0075</t>
  </si>
  <si>
    <t>L0076</t>
  </si>
  <si>
    <t>B0076</t>
  </si>
  <si>
    <t>L0077</t>
  </si>
  <si>
    <t>B0077</t>
  </si>
  <si>
    <t>L0078</t>
  </si>
  <si>
    <t>B0078</t>
  </si>
  <si>
    <t>L0079</t>
  </si>
  <si>
    <t>B0079</t>
  </si>
  <si>
    <t>L0080</t>
  </si>
  <si>
    <t>B0080</t>
  </si>
  <si>
    <t>L0081</t>
  </si>
  <si>
    <t>B0081</t>
  </si>
  <si>
    <t>L0082</t>
  </si>
  <si>
    <t>B0082</t>
  </si>
  <si>
    <t>L0083</t>
  </si>
  <si>
    <t>B0083</t>
  </si>
  <si>
    <t>L0084</t>
  </si>
  <si>
    <t>B0084</t>
  </si>
  <si>
    <t>L0085</t>
  </si>
  <si>
    <t>B0085</t>
  </si>
  <si>
    <t>L0086</t>
  </si>
  <si>
    <t>B0086</t>
  </si>
  <si>
    <t>L0087</t>
  </si>
  <si>
    <t>B0087</t>
  </si>
  <si>
    <t>L0088</t>
  </si>
  <si>
    <t>B0088</t>
  </si>
  <si>
    <t>L0089</t>
  </si>
  <si>
    <t>B0089</t>
  </si>
  <si>
    <t>L0090</t>
  </si>
  <si>
    <t>B0090</t>
  </si>
  <si>
    <t>L0091</t>
  </si>
  <si>
    <t>B0091</t>
  </si>
  <si>
    <t>L0092</t>
  </si>
  <si>
    <t>B0092</t>
  </si>
  <si>
    <t>L0093</t>
  </si>
  <si>
    <t>B0093</t>
  </si>
  <si>
    <t>L0094</t>
  </si>
  <si>
    <t>B0094</t>
  </si>
  <si>
    <t>L0095</t>
  </si>
  <si>
    <t>B0095</t>
  </si>
  <si>
    <t>L0096</t>
  </si>
  <si>
    <t>B0096</t>
  </si>
  <si>
    <t>L0097</t>
  </si>
  <si>
    <t>B0097</t>
  </si>
  <si>
    <t>L0098</t>
  </si>
  <si>
    <t>B0098</t>
  </si>
  <si>
    <t>L0099</t>
  </si>
  <si>
    <t>B0099</t>
  </si>
  <si>
    <t>L0100</t>
  </si>
  <si>
    <t>B0100</t>
  </si>
  <si>
    <t>L0101</t>
  </si>
  <si>
    <t>B0101</t>
  </si>
  <si>
    <t>L0102</t>
  </si>
  <si>
    <t>B0102</t>
  </si>
  <si>
    <t>L0103</t>
  </si>
  <si>
    <t>B0103</t>
  </si>
  <si>
    <t>L0104</t>
  </si>
  <si>
    <t>B0104</t>
  </si>
  <si>
    <t>L0105</t>
  </si>
  <si>
    <t>B0105</t>
  </si>
  <si>
    <t>L0106</t>
  </si>
  <si>
    <t>B0106</t>
  </si>
  <si>
    <t>L0107</t>
  </si>
  <si>
    <t>B0107</t>
  </si>
  <si>
    <t>L0108</t>
  </si>
  <si>
    <t>B0108</t>
  </si>
  <si>
    <t>L0109</t>
  </si>
  <si>
    <t>B0109</t>
  </si>
  <si>
    <t>L0110</t>
  </si>
  <si>
    <t>B0110</t>
  </si>
  <si>
    <t>L0111</t>
  </si>
  <si>
    <t>B0111</t>
  </si>
  <si>
    <t>L0112</t>
  </si>
  <si>
    <t>B0112</t>
  </si>
  <si>
    <t>L0113</t>
  </si>
  <si>
    <t>B0113</t>
  </si>
  <si>
    <t>L0114</t>
  </si>
  <si>
    <t>B0114</t>
  </si>
  <si>
    <t>L0115</t>
  </si>
  <si>
    <t>B0115</t>
  </si>
  <si>
    <t>L0116</t>
  </si>
  <si>
    <t>B0116</t>
  </si>
  <si>
    <t>L0117</t>
  </si>
  <si>
    <t>B0117</t>
  </si>
  <si>
    <t>L0118</t>
  </si>
  <si>
    <t>B0118</t>
  </si>
  <si>
    <t>L0119</t>
  </si>
  <si>
    <t>B0119</t>
  </si>
  <si>
    <t>L0120</t>
  </si>
  <si>
    <t>B0120</t>
  </si>
  <si>
    <t>L0121</t>
  </si>
  <si>
    <t>B0121</t>
  </si>
  <si>
    <t>L0122</t>
  </si>
  <si>
    <t>B0122</t>
  </si>
  <si>
    <t>L0123</t>
  </si>
  <si>
    <t>B0123</t>
  </si>
  <si>
    <t>L0124</t>
  </si>
  <si>
    <t>B0124</t>
  </si>
  <si>
    <t>L0125</t>
  </si>
  <si>
    <t>B0125</t>
  </si>
  <si>
    <t>L0126</t>
  </si>
  <si>
    <t>B0126</t>
  </si>
  <si>
    <t>L0127</t>
  </si>
  <si>
    <t>B0127</t>
  </si>
  <si>
    <t>L0128</t>
  </si>
  <si>
    <t>B0128</t>
  </si>
  <si>
    <t>L0129</t>
  </si>
  <si>
    <t>B0129</t>
  </si>
  <si>
    <t>L0130</t>
  </si>
  <si>
    <t>B0130</t>
  </si>
  <si>
    <t>L0131</t>
  </si>
  <si>
    <t>B0131</t>
  </si>
  <si>
    <t>L0132</t>
  </si>
  <si>
    <t>B0132</t>
  </si>
  <si>
    <t>L0133</t>
  </si>
  <si>
    <t>B0133</t>
  </si>
  <si>
    <t>L0134</t>
  </si>
  <si>
    <t>B0134</t>
  </si>
  <si>
    <t>L0135</t>
  </si>
  <si>
    <t>B0135</t>
  </si>
  <si>
    <t>IN GRACE PERIOD</t>
  </si>
  <si>
    <t>L0136</t>
  </si>
  <si>
    <t>B0136</t>
  </si>
  <si>
    <t>L0137</t>
  </si>
  <si>
    <t>B0137</t>
  </si>
  <si>
    <t>L0138</t>
  </si>
  <si>
    <t>B0138</t>
  </si>
  <si>
    <t>L0139</t>
  </si>
  <si>
    <t>B0139</t>
  </si>
  <si>
    <t>L0140</t>
  </si>
  <si>
    <t>B0140</t>
  </si>
  <si>
    <t>L0141</t>
  </si>
  <si>
    <t>B0141</t>
  </si>
  <si>
    <t>L0142</t>
  </si>
  <si>
    <t>B0142</t>
  </si>
  <si>
    <t>L0143</t>
  </si>
  <si>
    <t>B0143</t>
  </si>
  <si>
    <t>L0144</t>
  </si>
  <si>
    <t>B0144</t>
  </si>
  <si>
    <t>L0145</t>
  </si>
  <si>
    <t>B0145</t>
  </si>
  <si>
    <t>L0146</t>
  </si>
  <si>
    <t>B0146</t>
  </si>
  <si>
    <t>L0147</t>
  </si>
  <si>
    <t>B0147</t>
  </si>
  <si>
    <t>L0148</t>
  </si>
  <si>
    <t>B0148</t>
  </si>
  <si>
    <t>L0149</t>
  </si>
  <si>
    <t>B0149</t>
  </si>
  <si>
    <t>L0150</t>
  </si>
  <si>
    <t>B0150</t>
  </si>
  <si>
    <t>L0151</t>
  </si>
  <si>
    <t>B0151</t>
  </si>
  <si>
    <t>L0152</t>
  </si>
  <si>
    <t>B0152</t>
  </si>
  <si>
    <t>L0153</t>
  </si>
  <si>
    <t>B0153</t>
  </si>
  <si>
    <t>L0154</t>
  </si>
  <si>
    <t>B0154</t>
  </si>
  <si>
    <t>L0155</t>
  </si>
  <si>
    <t>B0155</t>
  </si>
  <si>
    <t>L0156</t>
  </si>
  <si>
    <t>B0156</t>
  </si>
  <si>
    <t>L0157</t>
  </si>
  <si>
    <t>B0157</t>
  </si>
  <si>
    <t>L0158</t>
  </si>
  <si>
    <t>B0158</t>
  </si>
  <si>
    <t>L0159</t>
  </si>
  <si>
    <t>B0159</t>
  </si>
  <si>
    <t>L0160</t>
  </si>
  <si>
    <t>B0160</t>
  </si>
  <si>
    <t>L0161</t>
  </si>
  <si>
    <t>B0161</t>
  </si>
  <si>
    <t>L0162</t>
  </si>
  <si>
    <t>B0162</t>
  </si>
  <si>
    <t>L0163</t>
  </si>
  <si>
    <t>B0163</t>
  </si>
  <si>
    <t>L0164</t>
  </si>
  <si>
    <t>B0164</t>
  </si>
  <si>
    <t>L0165</t>
  </si>
  <si>
    <t>B0165</t>
  </si>
  <si>
    <t>L0166</t>
  </si>
  <si>
    <t>B0166</t>
  </si>
  <si>
    <t>L0167</t>
  </si>
  <si>
    <t>B0167</t>
  </si>
  <si>
    <t>L0168</t>
  </si>
  <si>
    <t>B0168</t>
  </si>
  <si>
    <t>L0169</t>
  </si>
  <si>
    <t>B0169</t>
  </si>
  <si>
    <t>L0170</t>
  </si>
  <si>
    <t>B0170</t>
  </si>
  <si>
    <t>L0171</t>
  </si>
  <si>
    <t>B0171</t>
  </si>
  <si>
    <t>L0172</t>
  </si>
  <si>
    <t>B0172</t>
  </si>
  <si>
    <t>L0173</t>
  </si>
  <si>
    <t>B0173</t>
  </si>
  <si>
    <t>L0174</t>
  </si>
  <si>
    <t>B0174</t>
  </si>
  <si>
    <t>L0175</t>
  </si>
  <si>
    <t>B0175</t>
  </si>
  <si>
    <t>L0176</t>
  </si>
  <si>
    <t>B0176</t>
  </si>
  <si>
    <t>L0177</t>
  </si>
  <si>
    <t>B0177</t>
  </si>
  <si>
    <t>L0178</t>
  </si>
  <si>
    <t>B0178</t>
  </si>
  <si>
    <t>L0179</t>
  </si>
  <si>
    <t>B0179</t>
  </si>
  <si>
    <t>L0180</t>
  </si>
  <si>
    <t>B0180</t>
  </si>
  <si>
    <t>L0181</t>
  </si>
  <si>
    <t>B0181</t>
  </si>
  <si>
    <t>L0182</t>
  </si>
  <si>
    <t>B0182</t>
  </si>
  <si>
    <t>L0183</t>
  </si>
  <si>
    <t>B0183</t>
  </si>
  <si>
    <t>L0184</t>
  </si>
  <si>
    <t>B0184</t>
  </si>
  <si>
    <t>L0185</t>
  </si>
  <si>
    <t>B0185</t>
  </si>
  <si>
    <t>L0186</t>
  </si>
  <si>
    <t>B0186</t>
  </si>
  <si>
    <t>L0187</t>
  </si>
  <si>
    <t>B0187</t>
  </si>
  <si>
    <t>L0188</t>
  </si>
  <si>
    <t>B0188</t>
  </si>
  <si>
    <t>L0189</t>
  </si>
  <si>
    <t>B0189</t>
  </si>
  <si>
    <t>L0190</t>
  </si>
  <si>
    <t>B0190</t>
  </si>
  <si>
    <t>L0191</t>
  </si>
  <si>
    <t>B0191</t>
  </si>
  <si>
    <t>L0192</t>
  </si>
  <si>
    <t>B0192</t>
  </si>
  <si>
    <t>L0193</t>
  </si>
  <si>
    <t>B0193</t>
  </si>
  <si>
    <t>L0194</t>
  </si>
  <si>
    <t>B0194</t>
  </si>
  <si>
    <t>L0195</t>
  </si>
  <si>
    <t>B0195</t>
  </si>
  <si>
    <t>L0196</t>
  </si>
  <si>
    <t>B0196</t>
  </si>
  <si>
    <t>L0197</t>
  </si>
  <si>
    <t>B0197</t>
  </si>
  <si>
    <t>L0198</t>
  </si>
  <si>
    <t>B0198</t>
  </si>
  <si>
    <t>L0199</t>
  </si>
  <si>
    <t>B0199</t>
  </si>
  <si>
    <t>L0200</t>
  </si>
  <si>
    <t>B0200</t>
  </si>
  <si>
    <t>L0201</t>
  </si>
  <si>
    <t>B0201</t>
  </si>
  <si>
    <t>L0202</t>
  </si>
  <si>
    <t>B0202</t>
  </si>
  <si>
    <t>L0203</t>
  </si>
  <si>
    <t>B0203</t>
  </si>
  <si>
    <t>L0204</t>
  </si>
  <si>
    <t>B0204</t>
  </si>
  <si>
    <t>L0205</t>
  </si>
  <si>
    <t>B0205</t>
  </si>
  <si>
    <t>L0206</t>
  </si>
  <si>
    <t>B0206</t>
  </si>
  <si>
    <t>L0207</t>
  </si>
  <si>
    <t>B0207</t>
  </si>
  <si>
    <t>L0208</t>
  </si>
  <si>
    <t>B0208</t>
  </si>
  <si>
    <t>L0209</t>
  </si>
  <si>
    <t>B0209</t>
  </si>
  <si>
    <t>L0210</t>
  </si>
  <si>
    <t>B0210</t>
  </si>
  <si>
    <t>L0211</t>
  </si>
  <si>
    <t>B0211</t>
  </si>
  <si>
    <t>L0212</t>
  </si>
  <si>
    <t>B0212</t>
  </si>
  <si>
    <t>L0213</t>
  </si>
  <si>
    <t>B0213</t>
  </si>
  <si>
    <t>L0214</t>
  </si>
  <si>
    <t>B0214</t>
  </si>
  <si>
    <t>L0215</t>
  </si>
  <si>
    <t>B0215</t>
  </si>
  <si>
    <t>L0216</t>
  </si>
  <si>
    <t>B0216</t>
  </si>
  <si>
    <t>L0217</t>
  </si>
  <si>
    <t>B0217</t>
  </si>
  <si>
    <t>L0218</t>
  </si>
  <si>
    <t>B0218</t>
  </si>
  <si>
    <t>L0219</t>
  </si>
  <si>
    <t>B0219</t>
  </si>
  <si>
    <t>L0220</t>
  </si>
  <si>
    <t>B0220</t>
  </si>
  <si>
    <t>L0221</t>
  </si>
  <si>
    <t>B0221</t>
  </si>
  <si>
    <t>L0222</t>
  </si>
  <si>
    <t>B0222</t>
  </si>
  <si>
    <t>L0223</t>
  </si>
  <si>
    <t>B0223</t>
  </si>
  <si>
    <t>L0224</t>
  </si>
  <si>
    <t>B0224</t>
  </si>
  <si>
    <t>L0225</t>
  </si>
  <si>
    <t>B0225</t>
  </si>
  <si>
    <t>L0226</t>
  </si>
  <si>
    <t>B0226</t>
  </si>
  <si>
    <t>L0227</t>
  </si>
  <si>
    <t>B0227</t>
  </si>
  <si>
    <t>L0228</t>
  </si>
  <si>
    <t>B0228</t>
  </si>
  <si>
    <t>L0229</t>
  </si>
  <si>
    <t>B0229</t>
  </si>
  <si>
    <t>L0230</t>
  </si>
  <si>
    <t>B0230</t>
  </si>
  <si>
    <t>L0231</t>
  </si>
  <si>
    <t>B0231</t>
  </si>
  <si>
    <t>L0232</t>
  </si>
  <si>
    <t>B0232</t>
  </si>
  <si>
    <t>L0233</t>
  </si>
  <si>
    <t>B0233</t>
  </si>
  <si>
    <t>L0234</t>
  </si>
  <si>
    <t>B0234</t>
  </si>
  <si>
    <t>L0235</t>
  </si>
  <si>
    <t>B0235</t>
  </si>
  <si>
    <t>L0236</t>
  </si>
  <si>
    <t>B0236</t>
  </si>
  <si>
    <t>L0237</t>
  </si>
  <si>
    <t>B0237</t>
  </si>
  <si>
    <t>L0238</t>
  </si>
  <si>
    <t>B0238</t>
  </si>
  <si>
    <t>L0239</t>
  </si>
  <si>
    <t>B0239</t>
  </si>
  <si>
    <t>L0240</t>
  </si>
  <si>
    <t>B0240</t>
  </si>
  <si>
    <t>L0241</t>
  </si>
  <si>
    <t>B0241</t>
  </si>
  <si>
    <t>L0242</t>
  </si>
  <si>
    <t>B0242</t>
  </si>
  <si>
    <t>L0243</t>
  </si>
  <si>
    <t>B0243</t>
  </si>
  <si>
    <t>L0244</t>
  </si>
  <si>
    <t>B0244</t>
  </si>
  <si>
    <t>L0245</t>
  </si>
  <si>
    <t>B0245</t>
  </si>
  <si>
    <t>L0246</t>
  </si>
  <si>
    <t>B0246</t>
  </si>
  <si>
    <t>L0247</t>
  </si>
  <si>
    <t>B0247</t>
  </si>
  <si>
    <t>L0248</t>
  </si>
  <si>
    <t>B0248</t>
  </si>
  <si>
    <t>L0249</t>
  </si>
  <si>
    <t>B0249</t>
  </si>
  <si>
    <t>L0250</t>
  </si>
  <si>
    <t>B0250</t>
  </si>
  <si>
    <t>L0251</t>
  </si>
  <si>
    <t>B0251</t>
  </si>
  <si>
    <t>L0252</t>
  </si>
  <si>
    <t>B0252</t>
  </si>
  <si>
    <t>L0253</t>
  </si>
  <si>
    <t>B0253</t>
  </si>
  <si>
    <t>L0254</t>
  </si>
  <si>
    <t>B0254</t>
  </si>
  <si>
    <t>L0255</t>
  </si>
  <si>
    <t>B0255</t>
  </si>
  <si>
    <t>L0256</t>
  </si>
  <si>
    <t>B0256</t>
  </si>
  <si>
    <t>L0257</t>
  </si>
  <si>
    <t>B0257</t>
  </si>
  <si>
    <t>L0258</t>
  </si>
  <si>
    <t>B0258</t>
  </si>
  <si>
    <t>L0259</t>
  </si>
  <si>
    <t>B0259</t>
  </si>
  <si>
    <t>L0260</t>
  </si>
  <si>
    <t>B0260</t>
  </si>
  <si>
    <t>L0261</t>
  </si>
  <si>
    <t>B0261</t>
  </si>
  <si>
    <t>L0262</t>
  </si>
  <si>
    <t>B0262</t>
  </si>
  <si>
    <t>L0263</t>
  </si>
  <si>
    <t>B0263</t>
  </si>
  <si>
    <t>L0264</t>
  </si>
  <si>
    <t>B0264</t>
  </si>
  <si>
    <t>L0265</t>
  </si>
  <si>
    <t>B0265</t>
  </si>
  <si>
    <t>L0266</t>
  </si>
  <si>
    <t>B0266</t>
  </si>
  <si>
    <t>L0267</t>
  </si>
  <si>
    <t>B0267</t>
  </si>
  <si>
    <t>L0268</t>
  </si>
  <si>
    <t>B0268</t>
  </si>
  <si>
    <t>L0269</t>
  </si>
  <si>
    <t>B0269</t>
  </si>
  <si>
    <t>L0270</t>
  </si>
  <si>
    <t>B0270</t>
  </si>
  <si>
    <t>L0271</t>
  </si>
  <si>
    <t>B0271</t>
  </si>
  <si>
    <t>L0272</t>
  </si>
  <si>
    <t>B0272</t>
  </si>
  <si>
    <t>L0273</t>
  </si>
  <si>
    <t>B0273</t>
  </si>
  <si>
    <t>L0274</t>
  </si>
  <si>
    <t>B0274</t>
  </si>
  <si>
    <t>L0275</t>
  </si>
  <si>
    <t>B0275</t>
  </si>
  <si>
    <t>L0276</t>
  </si>
  <si>
    <t>B0276</t>
  </si>
  <si>
    <t>L0277</t>
  </si>
  <si>
    <t>B0277</t>
  </si>
  <si>
    <t>L0278</t>
  </si>
  <si>
    <t>B0278</t>
  </si>
  <si>
    <t>L0279</t>
  </si>
  <si>
    <t>B0279</t>
  </si>
  <si>
    <t>L0280</t>
  </si>
  <si>
    <t>B0280</t>
  </si>
  <si>
    <t>L0281</t>
  </si>
  <si>
    <t>B0281</t>
  </si>
  <si>
    <t>L0282</t>
  </si>
  <si>
    <t>B0282</t>
  </si>
  <si>
    <t>L0283</t>
  </si>
  <si>
    <t>B0283</t>
  </si>
  <si>
    <t>L0284</t>
  </si>
  <si>
    <t>B0284</t>
  </si>
  <si>
    <t>L0285</t>
  </si>
  <si>
    <t>B0285</t>
  </si>
  <si>
    <t>L0286</t>
  </si>
  <si>
    <t>B0286</t>
  </si>
  <si>
    <t>L0287</t>
  </si>
  <si>
    <t>B0287</t>
  </si>
  <si>
    <t>L0288</t>
  </si>
  <si>
    <t>B0288</t>
  </si>
  <si>
    <t>L0289</t>
  </si>
  <si>
    <t>B0289</t>
  </si>
  <si>
    <t>L0290</t>
  </si>
  <si>
    <t>B0290</t>
  </si>
  <si>
    <t>L0291</t>
  </si>
  <si>
    <t>B0291</t>
  </si>
  <si>
    <t>L0292</t>
  </si>
  <si>
    <t>B0292</t>
  </si>
  <si>
    <t>L0293</t>
  </si>
  <si>
    <t>B0293</t>
  </si>
  <si>
    <t>L0294</t>
  </si>
  <si>
    <t>B0294</t>
  </si>
  <si>
    <t>L0295</t>
  </si>
  <si>
    <t>B0295</t>
  </si>
  <si>
    <t>L0296</t>
  </si>
  <si>
    <t>B0296</t>
  </si>
  <si>
    <t>L0297</t>
  </si>
  <si>
    <t>B0297</t>
  </si>
  <si>
    <t>L0298</t>
  </si>
  <si>
    <t>B0298</t>
  </si>
  <si>
    <t>L0299</t>
  </si>
  <si>
    <t>B0299</t>
  </si>
  <si>
    <t>L0300</t>
  </si>
  <si>
    <t>B0300</t>
  </si>
  <si>
    <t>L0301</t>
  </si>
  <si>
    <t>B0301</t>
  </si>
  <si>
    <t>L0302</t>
  </si>
  <si>
    <t>B0302</t>
  </si>
  <si>
    <t>L0303</t>
  </si>
  <si>
    <t>B0303</t>
  </si>
  <si>
    <t>L0304</t>
  </si>
  <si>
    <t>B0304</t>
  </si>
  <si>
    <t>L0305</t>
  </si>
  <si>
    <t>B0305</t>
  </si>
  <si>
    <t>L0306</t>
  </si>
  <si>
    <t>B0306</t>
  </si>
  <si>
    <t>L0307</t>
  </si>
  <si>
    <t>B0307</t>
  </si>
  <si>
    <t>L0308</t>
  </si>
  <si>
    <t>B0308</t>
  </si>
  <si>
    <t>L0309</t>
  </si>
  <si>
    <t>B0309</t>
  </si>
  <si>
    <t>L0310</t>
  </si>
  <si>
    <t>B0310</t>
  </si>
  <si>
    <t>L0311</t>
  </si>
  <si>
    <t>B0311</t>
  </si>
  <si>
    <t>L0312</t>
  </si>
  <si>
    <t>B0312</t>
  </si>
  <si>
    <t>L0313</t>
  </si>
  <si>
    <t>B0313</t>
  </si>
  <si>
    <t>L0314</t>
  </si>
  <si>
    <t>B0314</t>
  </si>
  <si>
    <t>L0315</t>
  </si>
  <si>
    <t>B0315</t>
  </si>
  <si>
    <t>L0316</t>
  </si>
  <si>
    <t>B0316</t>
  </si>
  <si>
    <t>L0317</t>
  </si>
  <si>
    <t>B0317</t>
  </si>
  <si>
    <t>L0318</t>
  </si>
  <si>
    <t>B0318</t>
  </si>
  <si>
    <t>L0319</t>
  </si>
  <si>
    <t>B0319</t>
  </si>
  <si>
    <t>L0320</t>
  </si>
  <si>
    <t>B0320</t>
  </si>
  <si>
    <t>L0321</t>
  </si>
  <si>
    <t>B0321</t>
  </si>
  <si>
    <t>L0322</t>
  </si>
  <si>
    <t>B0322</t>
  </si>
  <si>
    <t>L0323</t>
  </si>
  <si>
    <t>B0323</t>
  </si>
  <si>
    <t>L0324</t>
  </si>
  <si>
    <t>B0324</t>
  </si>
  <si>
    <t>L0325</t>
  </si>
  <si>
    <t>B0325</t>
  </si>
  <si>
    <t>L0326</t>
  </si>
  <si>
    <t>B0326</t>
  </si>
  <si>
    <t>L0327</t>
  </si>
  <si>
    <t>B0327</t>
  </si>
  <si>
    <t>L0328</t>
  </si>
  <si>
    <t>B0328</t>
  </si>
  <si>
    <t>L0329</t>
  </si>
  <si>
    <t>B0329</t>
  </si>
  <si>
    <t>L0330</t>
  </si>
  <si>
    <t>B0330</t>
  </si>
  <si>
    <t>L0331</t>
  </si>
  <si>
    <t>B0331</t>
  </si>
  <si>
    <t>L0332</t>
  </si>
  <si>
    <t>B0332</t>
  </si>
  <si>
    <t>L0333</t>
  </si>
  <si>
    <t>B0333</t>
  </si>
  <si>
    <t>L0334</t>
  </si>
  <si>
    <t>B0334</t>
  </si>
  <si>
    <t>L0335</t>
  </si>
  <si>
    <t>B0335</t>
  </si>
  <si>
    <t>L0336</t>
  </si>
  <si>
    <t>B0336</t>
  </si>
  <si>
    <t>L0337</t>
  </si>
  <si>
    <t>B0337</t>
  </si>
  <si>
    <t>L0338</t>
  </si>
  <si>
    <t>B0338</t>
  </si>
  <si>
    <t>L0339</t>
  </si>
  <si>
    <t>B0339</t>
  </si>
  <si>
    <t>L0340</t>
  </si>
  <si>
    <t>B0340</t>
  </si>
  <si>
    <t>L0341</t>
  </si>
  <si>
    <t>B0341</t>
  </si>
  <si>
    <t>L0342</t>
  </si>
  <si>
    <t>B0342</t>
  </si>
  <si>
    <t>L0343</t>
  </si>
  <si>
    <t>B0343</t>
  </si>
  <si>
    <t>L0344</t>
  </si>
  <si>
    <t>B0344</t>
  </si>
  <si>
    <t>L0345</t>
  </si>
  <si>
    <t>B0345</t>
  </si>
  <si>
    <t>L0346</t>
  </si>
  <si>
    <t>B0346</t>
  </si>
  <si>
    <t>L0347</t>
  </si>
  <si>
    <t>B0347</t>
  </si>
  <si>
    <t>L0348</t>
  </si>
  <si>
    <t>B0348</t>
  </si>
  <si>
    <t>L0349</t>
  </si>
  <si>
    <t>B0349</t>
  </si>
  <si>
    <t>L0350</t>
  </si>
  <si>
    <t>B0350</t>
  </si>
  <si>
    <t>L0351</t>
  </si>
  <si>
    <t>B0351</t>
  </si>
  <si>
    <t>L0352</t>
  </si>
  <si>
    <t>B0352</t>
  </si>
  <si>
    <t>L0353</t>
  </si>
  <si>
    <t>B0353</t>
  </si>
  <si>
    <t>L0354</t>
  </si>
  <si>
    <t>B0354</t>
  </si>
  <si>
    <t>L0355</t>
  </si>
  <si>
    <t>B0355</t>
  </si>
  <si>
    <t>L0356</t>
  </si>
  <si>
    <t>B0356</t>
  </si>
  <si>
    <t>L0357</t>
  </si>
  <si>
    <t>B0357</t>
  </si>
  <si>
    <t>L0358</t>
  </si>
  <si>
    <t>B0358</t>
  </si>
  <si>
    <t>L0359</t>
  </si>
  <si>
    <t>B0359</t>
  </si>
  <si>
    <t>L0360</t>
  </si>
  <si>
    <t>B0360</t>
  </si>
  <si>
    <t>L0361</t>
  </si>
  <si>
    <t>B0361</t>
  </si>
  <si>
    <t>L0362</t>
  </si>
  <si>
    <t>B0362</t>
  </si>
  <si>
    <t>L0363</t>
  </si>
  <si>
    <t>B0363</t>
  </si>
  <si>
    <t>L0364</t>
  </si>
  <si>
    <t>B0364</t>
  </si>
  <si>
    <t>L0365</t>
  </si>
  <si>
    <t>B0365</t>
  </si>
  <si>
    <t>L0366</t>
  </si>
  <si>
    <t>B0366</t>
  </si>
  <si>
    <t>L0367</t>
  </si>
  <si>
    <t>B0367</t>
  </si>
  <si>
    <t>L0368</t>
  </si>
  <si>
    <t>B0368</t>
  </si>
  <si>
    <t>L0369</t>
  </si>
  <si>
    <t>B0369</t>
  </si>
  <si>
    <t>L0370</t>
  </si>
  <si>
    <t>B0370</t>
  </si>
  <si>
    <t>L0371</t>
  </si>
  <si>
    <t>B0371</t>
  </si>
  <si>
    <t>L0372</t>
  </si>
  <si>
    <t>B0372</t>
  </si>
  <si>
    <t>L0373</t>
  </si>
  <si>
    <t>B0373</t>
  </si>
  <si>
    <t>L0374</t>
  </si>
  <si>
    <t>B0374</t>
  </si>
  <si>
    <t>L0375</t>
  </si>
  <si>
    <t>B0375</t>
  </si>
  <si>
    <t>L0376</t>
  </si>
  <si>
    <t>B0376</t>
  </si>
  <si>
    <t>L0377</t>
  </si>
  <si>
    <t>B0377</t>
  </si>
  <si>
    <t>L0378</t>
  </si>
  <si>
    <t>B0378</t>
  </si>
  <si>
    <t>L0379</t>
  </si>
  <si>
    <t>B0379</t>
  </si>
  <si>
    <t>L0380</t>
  </si>
  <si>
    <t>B0380</t>
  </si>
  <si>
    <t>L0381</t>
  </si>
  <si>
    <t>B0381</t>
  </si>
  <si>
    <t>L0382</t>
  </si>
  <si>
    <t>B0382</t>
  </si>
  <si>
    <t>L0383</t>
  </si>
  <si>
    <t>B0383</t>
  </si>
  <si>
    <t>L0384</t>
  </si>
  <si>
    <t>B0384</t>
  </si>
  <si>
    <t>L0385</t>
  </si>
  <si>
    <t>B0385</t>
  </si>
  <si>
    <t>L0386</t>
  </si>
  <si>
    <t>B0386</t>
  </si>
  <si>
    <t>L0387</t>
  </si>
  <si>
    <t>B0387</t>
  </si>
  <si>
    <t>L0388</t>
  </si>
  <si>
    <t>B0388</t>
  </si>
  <si>
    <t>L0389</t>
  </si>
  <si>
    <t>B0389</t>
  </si>
  <si>
    <t>L0390</t>
  </si>
  <si>
    <t>B0390</t>
  </si>
  <si>
    <t>L0391</t>
  </si>
  <si>
    <t>B0391</t>
  </si>
  <si>
    <t>L0392</t>
  </si>
  <si>
    <t>B0392</t>
  </si>
  <si>
    <t>L0393</t>
  </si>
  <si>
    <t>B0393</t>
  </si>
  <si>
    <t>L0394</t>
  </si>
  <si>
    <t>B0394</t>
  </si>
  <si>
    <t>L0395</t>
  </si>
  <si>
    <t>B0395</t>
  </si>
  <si>
    <t>L0396</t>
  </si>
  <si>
    <t>B0396</t>
  </si>
  <si>
    <t>L0397</t>
  </si>
  <si>
    <t>B0397</t>
  </si>
  <si>
    <t>L0398</t>
  </si>
  <si>
    <t>B0398</t>
  </si>
  <si>
    <t>L0399</t>
  </si>
  <si>
    <t>B0399</t>
  </si>
  <si>
    <t>L0400</t>
  </si>
  <si>
    <t>B0400</t>
  </si>
  <si>
    <t>L0401</t>
  </si>
  <si>
    <t>B0401</t>
  </si>
  <si>
    <t>L0402</t>
  </si>
  <si>
    <t>B0402</t>
  </si>
  <si>
    <t>L0403</t>
  </si>
  <si>
    <t>B0403</t>
  </si>
  <si>
    <t>L0404</t>
  </si>
  <si>
    <t>B0404</t>
  </si>
  <si>
    <t>L0405</t>
  </si>
  <si>
    <t>B0405</t>
  </si>
  <si>
    <t>L0406</t>
  </si>
  <si>
    <t>B0406</t>
  </si>
  <si>
    <t>L0407</t>
  </si>
  <si>
    <t>B0407</t>
  </si>
  <si>
    <t>L0408</t>
  </si>
  <si>
    <t>B0408</t>
  </si>
  <si>
    <t>L0409</t>
  </si>
  <si>
    <t>B0409</t>
  </si>
  <si>
    <t>L0410</t>
  </si>
  <si>
    <t>B0410</t>
  </si>
  <si>
    <t>L0411</t>
  </si>
  <si>
    <t>B0411</t>
  </si>
  <si>
    <t>L0412</t>
  </si>
  <si>
    <t>B0412</t>
  </si>
  <si>
    <t>L0413</t>
  </si>
  <si>
    <t>B0413</t>
  </si>
  <si>
    <t>L0414</t>
  </si>
  <si>
    <t>B0414</t>
  </si>
  <si>
    <t>L0415</t>
  </si>
  <si>
    <t>B0415</t>
  </si>
  <si>
    <t>L0416</t>
  </si>
  <si>
    <t>B0416</t>
  </si>
  <si>
    <t>L0417</t>
  </si>
  <si>
    <t>B0417</t>
  </si>
  <si>
    <t>L0418</t>
  </si>
  <si>
    <t>B0418</t>
  </si>
  <si>
    <t>L0419</t>
  </si>
  <si>
    <t>B0419</t>
  </si>
  <si>
    <t>L0420</t>
  </si>
  <si>
    <t>B0420</t>
  </si>
  <si>
    <t>L0421</t>
  </si>
  <si>
    <t>B0421</t>
  </si>
  <si>
    <t>L0422</t>
  </si>
  <si>
    <t>B0422</t>
  </si>
  <si>
    <t>L0423</t>
  </si>
  <si>
    <t>B0423</t>
  </si>
  <si>
    <t>L0424</t>
  </si>
  <si>
    <t>B0424</t>
  </si>
  <si>
    <t>L0425</t>
  </si>
  <si>
    <t>B0425</t>
  </si>
  <si>
    <t>L0426</t>
  </si>
  <si>
    <t>B0426</t>
  </si>
  <si>
    <t>L0427</t>
  </si>
  <si>
    <t>B0427</t>
  </si>
  <si>
    <t>L0428</t>
  </si>
  <si>
    <t>B0428</t>
  </si>
  <si>
    <t>L0429</t>
  </si>
  <si>
    <t>B0429</t>
  </si>
  <si>
    <t>L0430</t>
  </si>
  <si>
    <t>B0430</t>
  </si>
  <si>
    <t>L0431</t>
  </si>
  <si>
    <t>B0431</t>
  </si>
  <si>
    <t>L0432</t>
  </si>
  <si>
    <t>B0432</t>
  </si>
  <si>
    <t>L0433</t>
  </si>
  <si>
    <t>B0433</t>
  </si>
  <si>
    <t>L0434</t>
  </si>
  <si>
    <t>B0434</t>
  </si>
  <si>
    <t>L0435</t>
  </si>
  <si>
    <t>B0435</t>
  </si>
  <si>
    <t>L0436</t>
  </si>
  <si>
    <t>B0436</t>
  </si>
  <si>
    <t>L0437</t>
  </si>
  <si>
    <t>B0437</t>
  </si>
  <si>
    <t>L0438</t>
  </si>
  <si>
    <t>B0438</t>
  </si>
  <si>
    <t>L0439</t>
  </si>
  <si>
    <t>B0439</t>
  </si>
  <si>
    <t>L0440</t>
  </si>
  <si>
    <t>B0440</t>
  </si>
  <si>
    <t>L0441</t>
  </si>
  <si>
    <t>B0441</t>
  </si>
  <si>
    <t>L0442</t>
  </si>
  <si>
    <t>B0442</t>
  </si>
  <si>
    <t>L0443</t>
  </si>
  <si>
    <t>B0443</t>
  </si>
  <si>
    <t>L0444</t>
  </si>
  <si>
    <t>B0444</t>
  </si>
  <si>
    <t>L0445</t>
  </si>
  <si>
    <t>B0445</t>
  </si>
  <si>
    <t>L0446</t>
  </si>
  <si>
    <t>B0446</t>
  </si>
  <si>
    <t>L0447</t>
  </si>
  <si>
    <t>B0447</t>
  </si>
  <si>
    <t>L0448</t>
  </si>
  <si>
    <t>B0448</t>
  </si>
  <si>
    <t>L0449</t>
  </si>
  <si>
    <t>B0449</t>
  </si>
  <si>
    <t>L0450</t>
  </si>
  <si>
    <t>B0450</t>
  </si>
  <si>
    <t>L0451</t>
  </si>
  <si>
    <t>B0451</t>
  </si>
  <si>
    <t>L0452</t>
  </si>
  <si>
    <t>B0452</t>
  </si>
  <si>
    <t>L0453</t>
  </si>
  <si>
    <t>B0453</t>
  </si>
  <si>
    <t>L0454</t>
  </si>
  <si>
    <t>B0454</t>
  </si>
  <si>
    <t>L0455</t>
  </si>
  <si>
    <t>B0455</t>
  </si>
  <si>
    <t>L0456</t>
  </si>
  <si>
    <t>B0456</t>
  </si>
  <si>
    <t>L0457</t>
  </si>
  <si>
    <t>B0457</t>
  </si>
  <si>
    <t>L0458</t>
  </si>
  <si>
    <t>B0458</t>
  </si>
  <si>
    <t>L0459</t>
  </si>
  <si>
    <t>B0459</t>
  </si>
  <si>
    <t>L0460</t>
  </si>
  <si>
    <t>B0460</t>
  </si>
  <si>
    <t>L0461</t>
  </si>
  <si>
    <t>B0461</t>
  </si>
  <si>
    <t>L0462</t>
  </si>
  <si>
    <t>B0462</t>
  </si>
  <si>
    <t>L0463</t>
  </si>
  <si>
    <t>B0463</t>
  </si>
  <si>
    <t>L0464</t>
  </si>
  <si>
    <t>B0464</t>
  </si>
  <si>
    <t>L0465</t>
  </si>
  <si>
    <t>B0465</t>
  </si>
  <si>
    <t>L0466</t>
  </si>
  <si>
    <t>B0466</t>
  </si>
  <si>
    <t>L0467</t>
  </si>
  <si>
    <t>B0467</t>
  </si>
  <si>
    <t>L0468</t>
  </si>
  <si>
    <t>B0468</t>
  </si>
  <si>
    <t>L0469</t>
  </si>
  <si>
    <t>B0469</t>
  </si>
  <si>
    <t>L0470</t>
  </si>
  <si>
    <t>B0470</t>
  </si>
  <si>
    <t>L0471</t>
  </si>
  <si>
    <t>B0471</t>
  </si>
  <si>
    <t>L0472</t>
  </si>
  <si>
    <t>B0472</t>
  </si>
  <si>
    <t>L0473</t>
  </si>
  <si>
    <t>B0473</t>
  </si>
  <si>
    <t>L0474</t>
  </si>
  <si>
    <t>B0474</t>
  </si>
  <si>
    <t>L0475</t>
  </si>
  <si>
    <t>B0475</t>
  </si>
  <si>
    <t>L0476</t>
  </si>
  <si>
    <t>B0476</t>
  </si>
  <si>
    <t>L0477</t>
  </si>
  <si>
    <t>B0477</t>
  </si>
  <si>
    <t>L0478</t>
  </si>
  <si>
    <t>B0478</t>
  </si>
  <si>
    <t>L0479</t>
  </si>
  <si>
    <t>B0479</t>
  </si>
  <si>
    <t>L0480</t>
  </si>
  <si>
    <t>B0480</t>
  </si>
  <si>
    <t>L0481</t>
  </si>
  <si>
    <t>B0481</t>
  </si>
  <si>
    <t>L0482</t>
  </si>
  <si>
    <t>B0482</t>
  </si>
  <si>
    <t>L0483</t>
  </si>
  <si>
    <t>B0483</t>
  </si>
  <si>
    <t>L0484</t>
  </si>
  <si>
    <t>B0484</t>
  </si>
  <si>
    <t>L0485</t>
  </si>
  <si>
    <t>B0485</t>
  </si>
  <si>
    <t>L0486</t>
  </si>
  <si>
    <t>B0486</t>
  </si>
  <si>
    <t>L0487</t>
  </si>
  <si>
    <t>B0487</t>
  </si>
  <si>
    <t>L0488</t>
  </si>
  <si>
    <t>B0488</t>
  </si>
  <si>
    <t>L0489</t>
  </si>
  <si>
    <t>B0489</t>
  </si>
  <si>
    <t>L0490</t>
  </si>
  <si>
    <t>B0490</t>
  </si>
  <si>
    <t>L0491</t>
  </si>
  <si>
    <t>B0491</t>
  </si>
  <si>
    <t>L0492</t>
  </si>
  <si>
    <t>B0492</t>
  </si>
  <si>
    <t>L0493</t>
  </si>
  <si>
    <t>B0493</t>
  </si>
  <si>
    <t>L0494</t>
  </si>
  <si>
    <t>B0494</t>
  </si>
  <si>
    <t>L0495</t>
  </si>
  <si>
    <t>B0495</t>
  </si>
  <si>
    <t>L0496</t>
  </si>
  <si>
    <t>B0496</t>
  </si>
  <si>
    <t>L0497</t>
  </si>
  <si>
    <t>B0497</t>
  </si>
  <si>
    <t>L0498</t>
  </si>
  <si>
    <t>B0498</t>
  </si>
  <si>
    <t>L0499</t>
  </si>
  <si>
    <t>B0499</t>
  </si>
  <si>
    <t>L0500</t>
  </si>
  <si>
    <t>B0500</t>
  </si>
  <si>
    <t>L0501</t>
  </si>
  <si>
    <t>B0501</t>
  </si>
  <si>
    <t>L0502</t>
  </si>
  <si>
    <t>B0502</t>
  </si>
  <si>
    <t>L0503</t>
  </si>
  <si>
    <t>B0503</t>
  </si>
  <si>
    <t>L0504</t>
  </si>
  <si>
    <t>B0504</t>
  </si>
  <si>
    <t>L0505</t>
  </si>
  <si>
    <t>B0505</t>
  </si>
  <si>
    <t>L0506</t>
  </si>
  <si>
    <t>B0506</t>
  </si>
  <si>
    <t>L0507</t>
  </si>
  <si>
    <t>B0507</t>
  </si>
  <si>
    <t>L0508</t>
  </si>
  <si>
    <t>B0508</t>
  </si>
  <si>
    <t>L0509</t>
  </si>
  <si>
    <t>B0509</t>
  </si>
  <si>
    <t>L0510</t>
  </si>
  <si>
    <t>B0510</t>
  </si>
  <si>
    <t>L0511</t>
  </si>
  <si>
    <t>B0511</t>
  </si>
  <si>
    <t>L0512</t>
  </si>
  <si>
    <t>B0512</t>
  </si>
  <si>
    <t>L0513</t>
  </si>
  <si>
    <t>B0513</t>
  </si>
  <si>
    <t>L0514</t>
  </si>
  <si>
    <t>B0514</t>
  </si>
  <si>
    <t>L0515</t>
  </si>
  <si>
    <t>B0515</t>
  </si>
  <si>
    <t>L0516</t>
  </si>
  <si>
    <t>B0516</t>
  </si>
  <si>
    <t>L0517</t>
  </si>
  <si>
    <t>B0517</t>
  </si>
  <si>
    <t>L0518</t>
  </si>
  <si>
    <t>B0518</t>
  </si>
  <si>
    <t>L0519</t>
  </si>
  <si>
    <t>B0519</t>
  </si>
  <si>
    <t>L0520</t>
  </si>
  <si>
    <t>B0520</t>
  </si>
  <si>
    <t>L0521</t>
  </si>
  <si>
    <t>B0521</t>
  </si>
  <si>
    <t>L0522</t>
  </si>
  <si>
    <t>B0522</t>
  </si>
  <si>
    <t>L0523</t>
  </si>
  <si>
    <t>B0523</t>
  </si>
  <si>
    <t>L0524</t>
  </si>
  <si>
    <t>B0524</t>
  </si>
  <si>
    <t>L0525</t>
  </si>
  <si>
    <t>B0525</t>
  </si>
  <si>
    <t>L0526</t>
  </si>
  <si>
    <t>B0526</t>
  </si>
  <si>
    <t>L0527</t>
  </si>
  <si>
    <t>B0527</t>
  </si>
  <si>
    <t>L0528</t>
  </si>
  <si>
    <t>B0528</t>
  </si>
  <si>
    <t>L0529</t>
  </si>
  <si>
    <t>B0529</t>
  </si>
  <si>
    <t>L0530</t>
  </si>
  <si>
    <t>B0530</t>
  </si>
  <si>
    <t>L0531</t>
  </si>
  <si>
    <t>B0531</t>
  </si>
  <si>
    <t>L0532</t>
  </si>
  <si>
    <t>B0532</t>
  </si>
  <si>
    <t>L0533</t>
  </si>
  <si>
    <t>B0533</t>
  </si>
  <si>
    <t>L0534</t>
  </si>
  <si>
    <t>B0534</t>
  </si>
  <si>
    <t>L0535</t>
  </si>
  <si>
    <t>B0535</t>
  </si>
  <si>
    <t>L0536</t>
  </si>
  <si>
    <t>B0536</t>
  </si>
  <si>
    <t>L0537</t>
  </si>
  <si>
    <t>B0537</t>
  </si>
  <si>
    <t>L0538</t>
  </si>
  <si>
    <t>B0538</t>
  </si>
  <si>
    <t>L0539</t>
  </si>
  <si>
    <t>B0539</t>
  </si>
  <si>
    <t>L0540</t>
  </si>
  <si>
    <t>B0540</t>
  </si>
  <si>
    <t>L0541</t>
  </si>
  <si>
    <t>B0541</t>
  </si>
  <si>
    <t>L0542</t>
  </si>
  <si>
    <t>B0542</t>
  </si>
  <si>
    <t>L0543</t>
  </si>
  <si>
    <t>B0543</t>
  </si>
  <si>
    <t>L0544</t>
  </si>
  <si>
    <t>B0544</t>
  </si>
  <si>
    <t>L0545</t>
  </si>
  <si>
    <t>B0545</t>
  </si>
  <si>
    <t>L0546</t>
  </si>
  <si>
    <t>B0546</t>
  </si>
  <si>
    <t>L0547</t>
  </si>
  <si>
    <t>B0547</t>
  </si>
  <si>
    <t>L0548</t>
  </si>
  <si>
    <t>B0548</t>
  </si>
  <si>
    <t>L0549</t>
  </si>
  <si>
    <t>B0549</t>
  </si>
  <si>
    <t>L0550</t>
  </si>
  <si>
    <t>B0550</t>
  </si>
  <si>
    <t>L0551</t>
  </si>
  <si>
    <t>B0551</t>
  </si>
  <si>
    <t>L0552</t>
  </si>
  <si>
    <t>B0552</t>
  </si>
  <si>
    <t>L0553</t>
  </si>
  <si>
    <t>B0553</t>
  </si>
  <si>
    <t>L0554</t>
  </si>
  <si>
    <t>B0554</t>
  </si>
  <si>
    <t>L0555</t>
  </si>
  <si>
    <t>B0555</t>
  </si>
  <si>
    <t>L0556</t>
  </si>
  <si>
    <t>B0556</t>
  </si>
  <si>
    <t>L0557</t>
  </si>
  <si>
    <t>B0557</t>
  </si>
  <si>
    <t>L0558</t>
  </si>
  <si>
    <t>B0558</t>
  </si>
  <si>
    <t>L0559</t>
  </si>
  <si>
    <t>B0559</t>
  </si>
  <si>
    <t>L0560</t>
  </si>
  <si>
    <t>B0560</t>
  </si>
  <si>
    <t>L0561</t>
  </si>
  <si>
    <t>B0561</t>
  </si>
  <si>
    <t>L0562</t>
  </si>
  <si>
    <t>B0562</t>
  </si>
  <si>
    <t>L0563</t>
  </si>
  <si>
    <t>B0563</t>
  </si>
  <si>
    <t>L0564</t>
  </si>
  <si>
    <t>B0564</t>
  </si>
  <si>
    <t>L0565</t>
  </si>
  <si>
    <t>B0565</t>
  </si>
  <si>
    <t>L0566</t>
  </si>
  <si>
    <t>B0566</t>
  </si>
  <si>
    <t>L0567</t>
  </si>
  <si>
    <t>B0567</t>
  </si>
  <si>
    <t>L0568</t>
  </si>
  <si>
    <t>B0568</t>
  </si>
  <si>
    <t>L0569</t>
  </si>
  <si>
    <t>B0569</t>
  </si>
  <si>
    <t>L0570</t>
  </si>
  <si>
    <t>B0570</t>
  </si>
  <si>
    <t>L0571</t>
  </si>
  <si>
    <t>B0571</t>
  </si>
  <si>
    <t>L0572</t>
  </si>
  <si>
    <t>B0572</t>
  </si>
  <si>
    <t>L0573</t>
  </si>
  <si>
    <t>B0573</t>
  </si>
  <si>
    <t>L0574</t>
  </si>
  <si>
    <t>B0574</t>
  </si>
  <si>
    <t>L0575</t>
  </si>
  <si>
    <t>B0575</t>
  </si>
  <si>
    <t>L0576</t>
  </si>
  <si>
    <t>B0576</t>
  </si>
  <si>
    <t>L0577</t>
  </si>
  <si>
    <t>B0577</t>
  </si>
  <si>
    <t>L0578</t>
  </si>
  <si>
    <t>B0578</t>
  </si>
  <si>
    <t>L0579</t>
  </si>
  <si>
    <t>B0579</t>
  </si>
  <si>
    <t>L0580</t>
  </si>
  <si>
    <t>B0580</t>
  </si>
  <si>
    <t>L0581</t>
  </si>
  <si>
    <t>B0581</t>
  </si>
  <si>
    <t>L0582</t>
  </si>
  <si>
    <t>B0582</t>
  </si>
  <si>
    <t>L0583</t>
  </si>
  <si>
    <t>B0583</t>
  </si>
  <si>
    <t>L0584</t>
  </si>
  <si>
    <t>B0584</t>
  </si>
  <si>
    <t>L0585</t>
  </si>
  <si>
    <t>B0585</t>
  </si>
  <si>
    <t>L0586</t>
  </si>
  <si>
    <t>B0586</t>
  </si>
  <si>
    <t>L0587</t>
  </si>
  <si>
    <t>B0587</t>
  </si>
  <si>
    <t>L0588</t>
  </si>
  <si>
    <t>B0588</t>
  </si>
  <si>
    <t>L0589</t>
  </si>
  <si>
    <t>B0589</t>
  </si>
  <si>
    <t>L0590</t>
  </si>
  <si>
    <t>B0590</t>
  </si>
  <si>
    <t>L0591</t>
  </si>
  <si>
    <t>B0591</t>
  </si>
  <si>
    <t>L0592</t>
  </si>
  <si>
    <t>B0592</t>
  </si>
  <si>
    <t>L0593</t>
  </si>
  <si>
    <t>B0593</t>
  </si>
  <si>
    <t>L0594</t>
  </si>
  <si>
    <t>B0594</t>
  </si>
  <si>
    <t>L0595</t>
  </si>
  <si>
    <t>B0595</t>
  </si>
  <si>
    <t>L0596</t>
  </si>
  <si>
    <t>B0596</t>
  </si>
  <si>
    <t>L0597</t>
  </si>
  <si>
    <t>B0597</t>
  </si>
  <si>
    <t>L0598</t>
  </si>
  <si>
    <t>B0598</t>
  </si>
  <si>
    <t>L0599</t>
  </si>
  <si>
    <t>B0599</t>
  </si>
  <si>
    <t>L0600</t>
  </si>
  <si>
    <t>B0600</t>
  </si>
  <si>
    <t>L0601</t>
  </si>
  <si>
    <t>B0601</t>
  </si>
  <si>
    <t>L0602</t>
  </si>
  <si>
    <t>B0602</t>
  </si>
  <si>
    <t>L0603</t>
  </si>
  <si>
    <t>B0603</t>
  </si>
  <si>
    <t>L0604</t>
  </si>
  <si>
    <t>B0604</t>
  </si>
  <si>
    <t>L0605</t>
  </si>
  <si>
    <t>B0605</t>
  </si>
  <si>
    <t>L0606</t>
  </si>
  <si>
    <t>B0606</t>
  </si>
  <si>
    <t>L0607</t>
  </si>
  <si>
    <t>B0607</t>
  </si>
  <si>
    <t>L0608</t>
  </si>
  <si>
    <t>B0608</t>
  </si>
  <si>
    <t>L0609</t>
  </si>
  <si>
    <t>B0609</t>
  </si>
  <si>
    <t>L0610</t>
  </si>
  <si>
    <t>B0610</t>
  </si>
  <si>
    <t>L0611</t>
  </si>
  <si>
    <t>B0611</t>
  </si>
  <si>
    <t>L0612</t>
  </si>
  <si>
    <t>B0612</t>
  </si>
  <si>
    <t>L0613</t>
  </si>
  <si>
    <t>B0613</t>
  </si>
  <si>
    <t>L0614</t>
  </si>
  <si>
    <t>B0614</t>
  </si>
  <si>
    <t>L0615</t>
  </si>
  <si>
    <t>B0615</t>
  </si>
  <si>
    <t>L0616</t>
  </si>
  <si>
    <t>B0616</t>
  </si>
  <si>
    <t>L0617</t>
  </si>
  <si>
    <t>B0617</t>
  </si>
  <si>
    <t>L0618</t>
  </si>
  <si>
    <t>B0618</t>
  </si>
  <si>
    <t>L0619</t>
  </si>
  <si>
    <t>B0619</t>
  </si>
  <si>
    <t>L0620</t>
  </si>
  <si>
    <t>B0620</t>
  </si>
  <si>
    <t>L0621</t>
  </si>
  <si>
    <t>B0621</t>
  </si>
  <si>
    <t>L0622</t>
  </si>
  <si>
    <t>B0622</t>
  </si>
  <si>
    <t>L0623</t>
  </si>
  <si>
    <t>B0623</t>
  </si>
  <si>
    <t>L0624</t>
  </si>
  <si>
    <t>B0624</t>
  </si>
  <si>
    <t>L0625</t>
  </si>
  <si>
    <t>B0625</t>
  </si>
  <si>
    <t>L0626</t>
  </si>
  <si>
    <t>B0626</t>
  </si>
  <si>
    <t>L0627</t>
  </si>
  <si>
    <t>B0627</t>
  </si>
  <si>
    <t>L0628</t>
  </si>
  <si>
    <t>B0628</t>
  </si>
  <si>
    <t>L0629</t>
  </si>
  <si>
    <t>B0629</t>
  </si>
  <si>
    <t>L0630</t>
  </si>
  <si>
    <t>B0630</t>
  </si>
  <si>
    <t>L0631</t>
  </si>
  <si>
    <t>B0631</t>
  </si>
  <si>
    <t>L0632</t>
  </si>
  <si>
    <t>B0632</t>
  </si>
  <si>
    <t>L0633</t>
  </si>
  <si>
    <t>B0633</t>
  </si>
  <si>
    <t>L0634</t>
  </si>
  <si>
    <t>B0634</t>
  </si>
  <si>
    <t>L0635</t>
  </si>
  <si>
    <t>B0635</t>
  </si>
  <si>
    <t>L0636</t>
  </si>
  <si>
    <t>B0636</t>
  </si>
  <si>
    <t>L0637</t>
  </si>
  <si>
    <t>B0637</t>
  </si>
  <si>
    <t>L0638</t>
  </si>
  <si>
    <t>B0638</t>
  </si>
  <si>
    <t>L0639</t>
  </si>
  <si>
    <t>B0639</t>
  </si>
  <si>
    <t>L0640</t>
  </si>
  <si>
    <t>B0640</t>
  </si>
  <si>
    <t>L0641</t>
  </si>
  <si>
    <t>B0641</t>
  </si>
  <si>
    <t>L0642</t>
  </si>
  <si>
    <t>B0642</t>
  </si>
  <si>
    <t>L0643</t>
  </si>
  <si>
    <t>B0643</t>
  </si>
  <si>
    <t>L0644</t>
  </si>
  <si>
    <t>B0644</t>
  </si>
  <si>
    <t>L0645</t>
  </si>
  <si>
    <t>B0645</t>
  </si>
  <si>
    <t>L0646</t>
  </si>
  <si>
    <t>B0646</t>
  </si>
  <si>
    <t>L0647</t>
  </si>
  <si>
    <t>B0647</t>
  </si>
  <si>
    <t>L0648</t>
  </si>
  <si>
    <t>B0648</t>
  </si>
  <si>
    <t>L0649</t>
  </si>
  <si>
    <t>B0649</t>
  </si>
  <si>
    <t>L0650</t>
  </si>
  <si>
    <t>B0650</t>
  </si>
  <si>
    <t>L0651</t>
  </si>
  <si>
    <t>B0651</t>
  </si>
  <si>
    <t>L0652</t>
  </si>
  <si>
    <t>B0652</t>
  </si>
  <si>
    <t>L0653</t>
  </si>
  <si>
    <t>B0653</t>
  </si>
  <si>
    <t>L0654</t>
  </si>
  <si>
    <t>B0654</t>
  </si>
  <si>
    <t>L0655</t>
  </si>
  <si>
    <t>B0655</t>
  </si>
  <si>
    <t>L0656</t>
  </si>
  <si>
    <t>B0656</t>
  </si>
  <si>
    <t>L0657</t>
  </si>
  <si>
    <t>B0657</t>
  </si>
  <si>
    <t>L0658</t>
  </si>
  <si>
    <t>B0658</t>
  </si>
  <si>
    <t>L0659</t>
  </si>
  <si>
    <t>B0659</t>
  </si>
  <si>
    <t>L0660</t>
  </si>
  <si>
    <t>B0660</t>
  </si>
  <si>
    <t>L0661</t>
  </si>
  <si>
    <t>B0661</t>
  </si>
  <si>
    <t>L0662</t>
  </si>
  <si>
    <t>B0662</t>
  </si>
  <si>
    <t>L0663</t>
  </si>
  <si>
    <t>B0663</t>
  </si>
  <si>
    <t>L0664</t>
  </si>
  <si>
    <t>B0664</t>
  </si>
  <si>
    <t>L0665</t>
  </si>
  <si>
    <t>B0665</t>
  </si>
  <si>
    <t>L0666</t>
  </si>
  <si>
    <t>B0666</t>
  </si>
  <si>
    <t>L0667</t>
  </si>
  <si>
    <t>B0667</t>
  </si>
  <si>
    <t>L0668</t>
  </si>
  <si>
    <t>B0668</t>
  </si>
  <si>
    <t>L0669</t>
  </si>
  <si>
    <t>B0669</t>
  </si>
  <si>
    <t>L0670</t>
  </si>
  <si>
    <t>B0670</t>
  </si>
  <si>
    <t>L0671</t>
  </si>
  <si>
    <t>B0671</t>
  </si>
  <si>
    <t>L0672</t>
  </si>
  <si>
    <t>B0672</t>
  </si>
  <si>
    <t>L0673</t>
  </si>
  <si>
    <t>B0673</t>
  </si>
  <si>
    <t>L0674</t>
  </si>
  <si>
    <t>B0674</t>
  </si>
  <si>
    <t>L0675</t>
  </si>
  <si>
    <t>B0675</t>
  </si>
  <si>
    <t>L0676</t>
  </si>
  <si>
    <t>B0676</t>
  </si>
  <si>
    <t>L0677</t>
  </si>
  <si>
    <t>B0677</t>
  </si>
  <si>
    <t>L0678</t>
  </si>
  <si>
    <t>B0678</t>
  </si>
  <si>
    <t>L0679</t>
  </si>
  <si>
    <t>B0679</t>
  </si>
  <si>
    <t>L0680</t>
  </si>
  <si>
    <t>B0680</t>
  </si>
  <si>
    <t>L0681</t>
  </si>
  <si>
    <t>B0681</t>
  </si>
  <si>
    <t>L0682</t>
  </si>
  <si>
    <t>B0682</t>
  </si>
  <si>
    <t>L0683</t>
  </si>
  <si>
    <t>B0683</t>
  </si>
  <si>
    <t>L0684</t>
  </si>
  <si>
    <t>B0684</t>
  </si>
  <si>
    <t>L0685</t>
  </si>
  <si>
    <t>B0685</t>
  </si>
  <si>
    <t>L0686</t>
  </si>
  <si>
    <t>B0686</t>
  </si>
  <si>
    <t>L0687</t>
  </si>
  <si>
    <t>B0687</t>
  </si>
  <si>
    <t>L0688</t>
  </si>
  <si>
    <t>B0688</t>
  </si>
  <si>
    <t>L0689</t>
  </si>
  <si>
    <t>B0689</t>
  </si>
  <si>
    <t>L0690</t>
  </si>
  <si>
    <t>B0690</t>
  </si>
  <si>
    <t>L0691</t>
  </si>
  <si>
    <t>B0691</t>
  </si>
  <si>
    <t>L0692</t>
  </si>
  <si>
    <t>B0692</t>
  </si>
  <si>
    <t>L0693</t>
  </si>
  <si>
    <t>B0693</t>
  </si>
  <si>
    <t>L0694</t>
  </si>
  <si>
    <t>B0694</t>
  </si>
  <si>
    <t>L0695</t>
  </si>
  <si>
    <t>B0695</t>
  </si>
  <si>
    <t>L0696</t>
  </si>
  <si>
    <t>B0696</t>
  </si>
  <si>
    <t>L0697</t>
  </si>
  <si>
    <t>B0697</t>
  </si>
  <si>
    <t>L0698</t>
  </si>
  <si>
    <t>B0698</t>
  </si>
  <si>
    <t>L0699</t>
  </si>
  <si>
    <t>B0699</t>
  </si>
  <si>
    <t>L0700</t>
  </si>
  <si>
    <t>B0700</t>
  </si>
  <si>
    <t>L0701</t>
  </si>
  <si>
    <t>B0701</t>
  </si>
  <si>
    <t>L0702</t>
  </si>
  <si>
    <t>B0702</t>
  </si>
  <si>
    <t>L0703</t>
  </si>
  <si>
    <t>B0703</t>
  </si>
  <si>
    <t>L0704</t>
  </si>
  <si>
    <t>B0704</t>
  </si>
  <si>
    <t>L0705</t>
  </si>
  <si>
    <t>B0705</t>
  </si>
  <si>
    <t>L0706</t>
  </si>
  <si>
    <t>B0706</t>
  </si>
  <si>
    <t>L0707</t>
  </si>
  <si>
    <t>B0707</t>
  </si>
  <si>
    <t>L0708</t>
  </si>
  <si>
    <t>B0708</t>
  </si>
  <si>
    <t>L0709</t>
  </si>
  <si>
    <t>B0709</t>
  </si>
  <si>
    <t>L0710</t>
  </si>
  <si>
    <t>B0710</t>
  </si>
  <si>
    <t>L0711</t>
  </si>
  <si>
    <t>B0711</t>
  </si>
  <si>
    <t>L0712</t>
  </si>
  <si>
    <t>B0712</t>
  </si>
  <si>
    <t>L0713</t>
  </si>
  <si>
    <t>B0713</t>
  </si>
  <si>
    <t>L0714</t>
  </si>
  <si>
    <t>B0714</t>
  </si>
  <si>
    <t>L0715</t>
  </si>
  <si>
    <t>B0715</t>
  </si>
  <si>
    <t>L0716</t>
  </si>
  <si>
    <t>B0716</t>
  </si>
  <si>
    <t>L0717</t>
  </si>
  <si>
    <t>B0717</t>
  </si>
  <si>
    <t>L0718</t>
  </si>
  <si>
    <t>B0718</t>
  </si>
  <si>
    <t>L0719</t>
  </si>
  <si>
    <t>B0719</t>
  </si>
  <si>
    <t>L0720</t>
  </si>
  <si>
    <t>B0720</t>
  </si>
  <si>
    <t>L0721</t>
  </si>
  <si>
    <t>B0721</t>
  </si>
  <si>
    <t>L0722</t>
  </si>
  <si>
    <t>B0722</t>
  </si>
  <si>
    <t>L0723</t>
  </si>
  <si>
    <t>B0723</t>
  </si>
  <si>
    <t>L0724</t>
  </si>
  <si>
    <t>B0724</t>
  </si>
  <si>
    <t>L0725</t>
  </si>
  <si>
    <t>B0725</t>
  </si>
  <si>
    <t>L0726</t>
  </si>
  <si>
    <t>B0726</t>
  </si>
  <si>
    <t>L0727</t>
  </si>
  <si>
    <t>B0727</t>
  </si>
  <si>
    <t>L0728</t>
  </si>
  <si>
    <t>B0728</t>
  </si>
  <si>
    <t>L0729</t>
  </si>
  <si>
    <t>B0729</t>
  </si>
  <si>
    <t>L0730</t>
  </si>
  <si>
    <t>B0730</t>
  </si>
  <si>
    <t>L0731</t>
  </si>
  <si>
    <t>B0731</t>
  </si>
  <si>
    <t>L0732</t>
  </si>
  <si>
    <t>B0732</t>
  </si>
  <si>
    <t>L0733</t>
  </si>
  <si>
    <t>B0733</t>
  </si>
  <si>
    <t>L0734</t>
  </si>
  <si>
    <t>B0734</t>
  </si>
  <si>
    <t>L0735</t>
  </si>
  <si>
    <t>B0735</t>
  </si>
  <si>
    <t>L0736</t>
  </si>
  <si>
    <t>B0736</t>
  </si>
  <si>
    <t>L0737</t>
  </si>
  <si>
    <t>B0737</t>
  </si>
  <si>
    <t>L0738</t>
  </si>
  <si>
    <t>B0738</t>
  </si>
  <si>
    <t>L0739</t>
  </si>
  <si>
    <t>B0739</t>
  </si>
  <si>
    <t>L0740</t>
  </si>
  <si>
    <t>B0740</t>
  </si>
  <si>
    <t>L0741</t>
  </si>
  <si>
    <t>B0741</t>
  </si>
  <si>
    <t>L0742</t>
  </si>
  <si>
    <t>B0742</t>
  </si>
  <si>
    <t>L0743</t>
  </si>
  <si>
    <t>B0743</t>
  </si>
  <si>
    <t>L0744</t>
  </si>
  <si>
    <t>B0744</t>
  </si>
  <si>
    <t>L0745</t>
  </si>
  <si>
    <t>B0745</t>
  </si>
  <si>
    <t>L0746</t>
  </si>
  <si>
    <t>B0746</t>
  </si>
  <si>
    <t>L0747</t>
  </si>
  <si>
    <t>B0747</t>
  </si>
  <si>
    <t>L0748</t>
  </si>
  <si>
    <t>B0748</t>
  </si>
  <si>
    <t>L0749</t>
  </si>
  <si>
    <t>B0749</t>
  </si>
  <si>
    <t>L0750</t>
  </si>
  <si>
    <t>B0750</t>
  </si>
  <si>
    <t>L0751</t>
  </si>
  <si>
    <t>B0751</t>
  </si>
  <si>
    <t>L0752</t>
  </si>
  <si>
    <t>B0752</t>
  </si>
  <si>
    <t>L0753</t>
  </si>
  <si>
    <t>B0753</t>
  </si>
  <si>
    <t>L0754</t>
  </si>
  <si>
    <t>B0754</t>
  </si>
  <si>
    <t>L0755</t>
  </si>
  <si>
    <t>B0755</t>
  </si>
  <si>
    <t>L0756</t>
  </si>
  <si>
    <t>B0756</t>
  </si>
  <si>
    <t>L0757</t>
  </si>
  <si>
    <t>B0757</t>
  </si>
  <si>
    <t>L0758</t>
  </si>
  <si>
    <t>B0758</t>
  </si>
  <si>
    <t>L0759</t>
  </si>
  <si>
    <t>B0759</t>
  </si>
  <si>
    <t>L0760</t>
  </si>
  <si>
    <t>B0760</t>
  </si>
  <si>
    <t>L0761</t>
  </si>
  <si>
    <t>B0761</t>
  </si>
  <si>
    <t>L0762</t>
  </si>
  <si>
    <t>B0762</t>
  </si>
  <si>
    <t>L0763</t>
  </si>
  <si>
    <t>B0763</t>
  </si>
  <si>
    <t>L0764</t>
  </si>
  <si>
    <t>B0764</t>
  </si>
  <si>
    <t>L0765</t>
  </si>
  <si>
    <t>B0765</t>
  </si>
  <si>
    <t>L0766</t>
  </si>
  <si>
    <t>B0766</t>
  </si>
  <si>
    <t>L0767</t>
  </si>
  <si>
    <t>B0767</t>
  </si>
  <si>
    <t>L0768</t>
  </si>
  <si>
    <t>B0768</t>
  </si>
  <si>
    <t>L0769</t>
  </si>
  <si>
    <t>B0769</t>
  </si>
  <si>
    <t>L0770</t>
  </si>
  <si>
    <t>B0770</t>
  </si>
  <si>
    <t>L0771</t>
  </si>
  <si>
    <t>B0771</t>
  </si>
  <si>
    <t>L0772</t>
  </si>
  <si>
    <t>B0772</t>
  </si>
  <si>
    <t>L0773</t>
  </si>
  <si>
    <t>B0773</t>
  </si>
  <si>
    <t>L0774</t>
  </si>
  <si>
    <t>B0774</t>
  </si>
  <si>
    <t>L0775</t>
  </si>
  <si>
    <t>B0775</t>
  </si>
  <si>
    <t>L0776</t>
  </si>
  <si>
    <t>B0776</t>
  </si>
  <si>
    <t>L0777</t>
  </si>
  <si>
    <t>B0777</t>
  </si>
  <si>
    <t>L0778</t>
  </si>
  <si>
    <t>B0778</t>
  </si>
  <si>
    <t>L0779</t>
  </si>
  <si>
    <t>B0779</t>
  </si>
  <si>
    <t>L0780</t>
  </si>
  <si>
    <t>B0780</t>
  </si>
  <si>
    <t>L0781</t>
  </si>
  <si>
    <t>B0781</t>
  </si>
  <si>
    <t>L0782</t>
  </si>
  <si>
    <t>B0782</t>
  </si>
  <si>
    <t>L0783</t>
  </si>
  <si>
    <t>B0783</t>
  </si>
  <si>
    <t>L0784</t>
  </si>
  <si>
    <t>B0784</t>
  </si>
  <si>
    <t>L0785</t>
  </si>
  <si>
    <t>B0785</t>
  </si>
  <si>
    <t>L0786</t>
  </si>
  <si>
    <t>B0786</t>
  </si>
  <si>
    <t>L0787</t>
  </si>
  <si>
    <t>B0787</t>
  </si>
  <si>
    <t>L0788</t>
  </si>
  <si>
    <t>B0788</t>
  </si>
  <si>
    <t>L0789</t>
  </si>
  <si>
    <t>B0789</t>
  </si>
  <si>
    <t>L0790</t>
  </si>
  <si>
    <t>B0790</t>
  </si>
  <si>
    <t>L0791</t>
  </si>
  <si>
    <t>B0791</t>
  </si>
  <si>
    <t>L0792</t>
  </si>
  <si>
    <t>B0792</t>
  </si>
  <si>
    <t>L0793</t>
  </si>
  <si>
    <t>B0793</t>
  </si>
  <si>
    <t>L0794</t>
  </si>
  <si>
    <t>B0794</t>
  </si>
  <si>
    <t>L0795</t>
  </si>
  <si>
    <t>B0795</t>
  </si>
  <si>
    <t>L0796</t>
  </si>
  <si>
    <t>B0796</t>
  </si>
  <si>
    <t>L0797</t>
  </si>
  <si>
    <t>B0797</t>
  </si>
  <si>
    <t>L0798</t>
  </si>
  <si>
    <t>B0798</t>
  </si>
  <si>
    <t>L0799</t>
  </si>
  <si>
    <t>B0799</t>
  </si>
  <si>
    <t>L0800</t>
  </si>
  <si>
    <t>B0800</t>
  </si>
  <si>
    <t>L0801</t>
  </si>
  <si>
    <t>B0801</t>
  </si>
  <si>
    <t>L0802</t>
  </si>
  <si>
    <t>B0802</t>
  </si>
  <si>
    <t>L0803</t>
  </si>
  <si>
    <t>B0803</t>
  </si>
  <si>
    <t>L0804</t>
  </si>
  <si>
    <t>B0804</t>
  </si>
  <si>
    <t>L0805</t>
  </si>
  <si>
    <t>B0805</t>
  </si>
  <si>
    <t>L0806</t>
  </si>
  <si>
    <t>B0806</t>
  </si>
  <si>
    <t>L0807</t>
  </si>
  <si>
    <t>B0807</t>
  </si>
  <si>
    <t>L0808</t>
  </si>
  <si>
    <t>B0808</t>
  </si>
  <si>
    <t>L0809</t>
  </si>
  <si>
    <t>B0809</t>
  </si>
  <si>
    <t>L0810</t>
  </si>
  <si>
    <t>B0810</t>
  </si>
  <si>
    <t>L0811</t>
  </si>
  <si>
    <t>B0811</t>
  </si>
  <si>
    <t>L0812</t>
  </si>
  <si>
    <t>B0812</t>
  </si>
  <si>
    <t>L0813</t>
  </si>
  <si>
    <t>B0813</t>
  </si>
  <si>
    <t>L0814</t>
  </si>
  <si>
    <t>B0814</t>
  </si>
  <si>
    <t>L0815</t>
  </si>
  <si>
    <t>B0815</t>
  </si>
  <si>
    <t>L0816</t>
  </si>
  <si>
    <t>B0816</t>
  </si>
  <si>
    <t>L0817</t>
  </si>
  <si>
    <t>B0817</t>
  </si>
  <si>
    <t>L0818</t>
  </si>
  <si>
    <t>B0818</t>
  </si>
  <si>
    <t>L0819</t>
  </si>
  <si>
    <t>B0819</t>
  </si>
  <si>
    <t>L0820</t>
  </si>
  <si>
    <t>B0820</t>
  </si>
  <si>
    <t>L0821</t>
  </si>
  <si>
    <t>B0821</t>
  </si>
  <si>
    <t>L0822</t>
  </si>
  <si>
    <t>B0822</t>
  </si>
  <si>
    <t>L0823</t>
  </si>
  <si>
    <t>B0823</t>
  </si>
  <si>
    <t>L0824</t>
  </si>
  <si>
    <t>B0824</t>
  </si>
  <si>
    <t>L0825</t>
  </si>
  <si>
    <t>B0825</t>
  </si>
  <si>
    <t>L0826</t>
  </si>
  <si>
    <t>B0826</t>
  </si>
  <si>
    <t>L0827</t>
  </si>
  <si>
    <t>B0827</t>
  </si>
  <si>
    <t>L0828</t>
  </si>
  <si>
    <t>B0828</t>
  </si>
  <si>
    <t>L0829</t>
  </si>
  <si>
    <t>B0829</t>
  </si>
  <si>
    <t>L0830</t>
  </si>
  <si>
    <t>B0830</t>
  </si>
  <si>
    <t>L0831</t>
  </si>
  <si>
    <t>B0831</t>
  </si>
  <si>
    <t>L0832</t>
  </si>
  <si>
    <t>B0832</t>
  </si>
  <si>
    <t>L0833</t>
  </si>
  <si>
    <t>B0833</t>
  </si>
  <si>
    <t>L0834</t>
  </si>
  <si>
    <t>B0834</t>
  </si>
  <si>
    <t>L0835</t>
  </si>
  <si>
    <t>B0835</t>
  </si>
  <si>
    <t>L0836</t>
  </si>
  <si>
    <t>B0836</t>
  </si>
  <si>
    <t>L0837</t>
  </si>
  <si>
    <t>B0837</t>
  </si>
  <si>
    <t>L0838</t>
  </si>
  <si>
    <t>B0838</t>
  </si>
  <si>
    <t>L0839</t>
  </si>
  <si>
    <t>B0839</t>
  </si>
  <si>
    <t>L0840</t>
  </si>
  <si>
    <t>B0840</t>
  </si>
  <si>
    <t>L0841</t>
  </si>
  <si>
    <t>B0841</t>
  </si>
  <si>
    <t>L0842</t>
  </si>
  <si>
    <t>B0842</t>
  </si>
  <si>
    <t>L0843</t>
  </si>
  <si>
    <t>B0843</t>
  </si>
  <si>
    <t>L0844</t>
  </si>
  <si>
    <t>B0844</t>
  </si>
  <si>
    <t>L0845</t>
  </si>
  <si>
    <t>B0845</t>
  </si>
  <si>
    <t>L0846</t>
  </si>
  <si>
    <t>B0846</t>
  </si>
  <si>
    <t>L0847</t>
  </si>
  <si>
    <t>B0847</t>
  </si>
  <si>
    <t>L0848</t>
  </si>
  <si>
    <t>B0848</t>
  </si>
  <si>
    <t>L0849</t>
  </si>
  <si>
    <t>B0849</t>
  </si>
  <si>
    <t>L0850</t>
  </si>
  <si>
    <t>B0850</t>
  </si>
  <si>
    <t>L0851</t>
  </si>
  <si>
    <t>B0851</t>
  </si>
  <si>
    <t>L0852</t>
  </si>
  <si>
    <t>B0852</t>
  </si>
  <si>
    <t>L0853</t>
  </si>
  <si>
    <t>B0853</t>
  </si>
  <si>
    <t>L0854</t>
  </si>
  <si>
    <t>B0854</t>
  </si>
  <si>
    <t>L0855</t>
  </si>
  <si>
    <t>B0855</t>
  </si>
  <si>
    <t>L0856</t>
  </si>
  <si>
    <t>B0856</t>
  </si>
  <si>
    <t>L0857</t>
  </si>
  <si>
    <t>B0857</t>
  </si>
  <si>
    <t>L0858</t>
  </si>
  <si>
    <t>B0858</t>
  </si>
  <si>
    <t>L0859</t>
  </si>
  <si>
    <t>B0859</t>
  </si>
  <si>
    <t>L0860</t>
  </si>
  <si>
    <t>B0860</t>
  </si>
  <si>
    <t>L0861</t>
  </si>
  <si>
    <t>B0861</t>
  </si>
  <si>
    <t>L0862</t>
  </si>
  <si>
    <t>B0862</t>
  </si>
  <si>
    <t>L0863</t>
  </si>
  <si>
    <t>B0863</t>
  </si>
  <si>
    <t>L0864</t>
  </si>
  <si>
    <t>B0864</t>
  </si>
  <si>
    <t>L0865</t>
  </si>
  <si>
    <t>B0865</t>
  </si>
  <si>
    <t>L0866</t>
  </si>
  <si>
    <t>B0866</t>
  </si>
  <si>
    <t>L0867</t>
  </si>
  <si>
    <t>B0867</t>
  </si>
  <si>
    <t>L0868</t>
  </si>
  <si>
    <t>B0868</t>
  </si>
  <si>
    <t>L0869</t>
  </si>
  <si>
    <t>B0869</t>
  </si>
  <si>
    <t>L0870</t>
  </si>
  <si>
    <t>B0870</t>
  </si>
  <si>
    <t>L0871</t>
  </si>
  <si>
    <t>B0871</t>
  </si>
  <si>
    <t>L0872</t>
  </si>
  <si>
    <t>B0872</t>
  </si>
  <si>
    <t>L0873</t>
  </si>
  <si>
    <t>B0873</t>
  </si>
  <si>
    <t>L0874</t>
  </si>
  <si>
    <t>B0874</t>
  </si>
  <si>
    <t>L0875</t>
  </si>
  <si>
    <t>B0875</t>
  </si>
  <si>
    <t>L0876</t>
  </si>
  <si>
    <t>B0876</t>
  </si>
  <si>
    <t>L0877</t>
  </si>
  <si>
    <t>B0877</t>
  </si>
  <si>
    <t>L0878</t>
  </si>
  <si>
    <t>B0878</t>
  </si>
  <si>
    <t>L0879</t>
  </si>
  <si>
    <t>B0879</t>
  </si>
  <si>
    <t>L0880</t>
  </si>
  <si>
    <t>B0880</t>
  </si>
  <si>
    <t>L0881</t>
  </si>
  <si>
    <t>B0881</t>
  </si>
  <si>
    <t>L0882</t>
  </si>
  <si>
    <t>B0882</t>
  </si>
  <si>
    <t>L0883</t>
  </si>
  <si>
    <t>B0883</t>
  </si>
  <si>
    <t>L0884</t>
  </si>
  <si>
    <t>B0884</t>
  </si>
  <si>
    <t>L0885</t>
  </si>
  <si>
    <t>B0885</t>
  </si>
  <si>
    <t>L0886</t>
  </si>
  <si>
    <t>B0886</t>
  </si>
  <si>
    <t>L0887</t>
  </si>
  <si>
    <t>B0887</t>
  </si>
  <si>
    <t>L0888</t>
  </si>
  <si>
    <t>B0888</t>
  </si>
  <si>
    <t>L0889</t>
  </si>
  <si>
    <t>B0889</t>
  </si>
  <si>
    <t>L0890</t>
  </si>
  <si>
    <t>B0890</t>
  </si>
  <si>
    <t>L0891</t>
  </si>
  <si>
    <t>B0891</t>
  </si>
  <si>
    <t>L0892</t>
  </si>
  <si>
    <t>B0892</t>
  </si>
  <si>
    <t>L0893</t>
  </si>
  <si>
    <t>B0893</t>
  </si>
  <si>
    <t>L0894</t>
  </si>
  <si>
    <t>B0894</t>
  </si>
  <si>
    <t>L0895</t>
  </si>
  <si>
    <t>B0895</t>
  </si>
  <si>
    <t>L0896</t>
  </si>
  <si>
    <t>B0896</t>
  </si>
  <si>
    <t>L0897</t>
  </si>
  <si>
    <t>B0897</t>
  </si>
  <si>
    <t>L0898</t>
  </si>
  <si>
    <t>B0898</t>
  </si>
  <si>
    <t>L0899</t>
  </si>
  <si>
    <t>B0899</t>
  </si>
  <si>
    <t>L0900</t>
  </si>
  <si>
    <t>B0900</t>
  </si>
  <si>
    <t>L0901</t>
  </si>
  <si>
    <t>B0901</t>
  </si>
  <si>
    <t>L0902</t>
  </si>
  <si>
    <t>B0902</t>
  </si>
  <si>
    <t>L0903</t>
  </si>
  <si>
    <t>B0903</t>
  </si>
  <si>
    <t>L0904</t>
  </si>
  <si>
    <t>B0904</t>
  </si>
  <si>
    <t>L0905</t>
  </si>
  <si>
    <t>B0905</t>
  </si>
  <si>
    <t>L0906</t>
  </si>
  <si>
    <t>B0906</t>
  </si>
  <si>
    <t>L0907</t>
  </si>
  <si>
    <t>B0907</t>
  </si>
  <si>
    <t>L0908</t>
  </si>
  <si>
    <t>B0908</t>
  </si>
  <si>
    <t>L0909</t>
  </si>
  <si>
    <t>B0909</t>
  </si>
  <si>
    <t>L0910</t>
  </si>
  <si>
    <t>B0910</t>
  </si>
  <si>
    <t>L0911</t>
  </si>
  <si>
    <t>B0911</t>
  </si>
  <si>
    <t>L0912</t>
  </si>
  <si>
    <t>B0912</t>
  </si>
  <si>
    <t>L0913</t>
  </si>
  <si>
    <t>B0913</t>
  </si>
  <si>
    <t>L0914</t>
  </si>
  <si>
    <t>B0914</t>
  </si>
  <si>
    <t>L0915</t>
  </si>
  <si>
    <t>B0915</t>
  </si>
  <si>
    <t>L0916</t>
  </si>
  <si>
    <t>B0916</t>
  </si>
  <si>
    <t>L0917</t>
  </si>
  <si>
    <t>B0917</t>
  </si>
  <si>
    <t>L0918</t>
  </si>
  <si>
    <t>B0918</t>
  </si>
  <si>
    <t>L0919</t>
  </si>
  <si>
    <t>B0919</t>
  </si>
  <si>
    <t>L0920</t>
  </si>
  <si>
    <t>B0920</t>
  </si>
  <si>
    <t>L0921</t>
  </si>
  <si>
    <t>B0921</t>
  </si>
  <si>
    <t>L0922</t>
  </si>
  <si>
    <t>B0922</t>
  </si>
  <si>
    <t>L0923</t>
  </si>
  <si>
    <t>B0923</t>
  </si>
  <si>
    <t>L0924</t>
  </si>
  <si>
    <t>B0924</t>
  </si>
  <si>
    <t>L0925</t>
  </si>
  <si>
    <t>B0925</t>
  </si>
  <si>
    <t>L0926</t>
  </si>
  <si>
    <t>B0926</t>
  </si>
  <si>
    <t>L0927</t>
  </si>
  <si>
    <t>B0927</t>
  </si>
  <si>
    <t>L0928</t>
  </si>
  <si>
    <t>B0928</t>
  </si>
  <si>
    <t>L0929</t>
  </si>
  <si>
    <t>B0929</t>
  </si>
  <si>
    <t>L0930</t>
  </si>
  <si>
    <t>B0930</t>
  </si>
  <si>
    <t>L0931</t>
  </si>
  <si>
    <t>B0931</t>
  </si>
  <si>
    <t>L0932</t>
  </si>
  <si>
    <t>B0932</t>
  </si>
  <si>
    <t>L0933</t>
  </si>
  <si>
    <t>B0933</t>
  </si>
  <si>
    <t>L0934</t>
  </si>
  <si>
    <t>B0934</t>
  </si>
  <si>
    <t>L0935</t>
  </si>
  <si>
    <t>B0935</t>
  </si>
  <si>
    <t>L0936</t>
  </si>
  <si>
    <t>B0936</t>
  </si>
  <si>
    <t>L0937</t>
  </si>
  <si>
    <t>B0937</t>
  </si>
  <si>
    <t>L0938</t>
  </si>
  <si>
    <t>B0938</t>
  </si>
  <si>
    <t>L0939</t>
  </si>
  <si>
    <t>B0939</t>
  </si>
  <si>
    <t>L0940</t>
  </si>
  <si>
    <t>B0940</t>
  </si>
  <si>
    <t>L0941</t>
  </si>
  <si>
    <t>B0941</t>
  </si>
  <si>
    <t>L0942</t>
  </si>
  <si>
    <t>B0942</t>
  </si>
  <si>
    <t>L0943</t>
  </si>
  <si>
    <t>B0943</t>
  </si>
  <si>
    <t>L0944</t>
  </si>
  <si>
    <t>B0944</t>
  </si>
  <si>
    <t>L0945</t>
  </si>
  <si>
    <t>B0945</t>
  </si>
  <si>
    <t>L0946</t>
  </si>
  <si>
    <t>B0946</t>
  </si>
  <si>
    <t>L0947</t>
  </si>
  <si>
    <t>B0947</t>
  </si>
  <si>
    <t>L0948</t>
  </si>
  <si>
    <t>B0948</t>
  </si>
  <si>
    <t>L0949</t>
  </si>
  <si>
    <t>B0949</t>
  </si>
  <si>
    <t>L0950</t>
  </si>
  <si>
    <t>B0950</t>
  </si>
  <si>
    <t>L0951</t>
  </si>
  <si>
    <t>B0951</t>
  </si>
  <si>
    <t>L0952</t>
  </si>
  <si>
    <t>B0952</t>
  </si>
  <si>
    <t>L0953</t>
  </si>
  <si>
    <t>B0953</t>
  </si>
  <si>
    <t>L0954</t>
  </si>
  <si>
    <t>B0954</t>
  </si>
  <si>
    <t>L0955</t>
  </si>
  <si>
    <t>B0955</t>
  </si>
  <si>
    <t>L0956</t>
  </si>
  <si>
    <t>B0956</t>
  </si>
  <si>
    <t>L0957</t>
  </si>
  <si>
    <t>B0957</t>
  </si>
  <si>
    <t>L0958</t>
  </si>
  <si>
    <t>B0958</t>
  </si>
  <si>
    <t>L0959</t>
  </si>
  <si>
    <t>B0959</t>
  </si>
  <si>
    <t>L0960</t>
  </si>
  <si>
    <t>B0960</t>
  </si>
  <si>
    <t>L0961</t>
  </si>
  <si>
    <t>B0961</t>
  </si>
  <si>
    <t>L0962</t>
  </si>
  <si>
    <t>B0962</t>
  </si>
  <si>
    <t>L0963</t>
  </si>
  <si>
    <t>B0963</t>
  </si>
  <si>
    <t>L0964</t>
  </si>
  <si>
    <t>B0964</t>
  </si>
  <si>
    <t>L0965</t>
  </si>
  <si>
    <t>B0965</t>
  </si>
  <si>
    <t>L0966</t>
  </si>
  <si>
    <t>B0966</t>
  </si>
  <si>
    <t>L0967</t>
  </si>
  <si>
    <t>B0967</t>
  </si>
  <si>
    <t>L0968</t>
  </si>
  <si>
    <t>B0968</t>
  </si>
  <si>
    <t>L0969</t>
  </si>
  <si>
    <t>B0969</t>
  </si>
  <si>
    <t>L0970</t>
  </si>
  <si>
    <t>B0970</t>
  </si>
  <si>
    <t>L0971</t>
  </si>
  <si>
    <t>B0971</t>
  </si>
  <si>
    <t>L0972</t>
  </si>
  <si>
    <t>B0972</t>
  </si>
  <si>
    <t>L0973</t>
  </si>
  <si>
    <t>B0973</t>
  </si>
  <si>
    <t>L0974</t>
  </si>
  <si>
    <t>B0974</t>
  </si>
  <si>
    <t>L0975</t>
  </si>
  <si>
    <t>B0975</t>
  </si>
  <si>
    <t>L0976</t>
  </si>
  <si>
    <t>B0976</t>
  </si>
  <si>
    <t>L0977</t>
  </si>
  <si>
    <t>B0977</t>
  </si>
  <si>
    <t>L0978</t>
  </si>
  <si>
    <t>B0978</t>
  </si>
  <si>
    <t>L0979</t>
  </si>
  <si>
    <t>B0979</t>
  </si>
  <si>
    <t>L0980</t>
  </si>
  <si>
    <t>B0980</t>
  </si>
  <si>
    <t>L0981</t>
  </si>
  <si>
    <t>B0981</t>
  </si>
  <si>
    <t>L0982</t>
  </si>
  <si>
    <t>B0982</t>
  </si>
  <si>
    <t>L0983</t>
  </si>
  <si>
    <t>B0983</t>
  </si>
  <si>
    <t>L0984</t>
  </si>
  <si>
    <t>B0984</t>
  </si>
  <si>
    <t>L0985</t>
  </si>
  <si>
    <t>B0985</t>
  </si>
  <si>
    <t>L0986</t>
  </si>
  <si>
    <t>B0986</t>
  </si>
  <si>
    <t>L0987</t>
  </si>
  <si>
    <t>B0987</t>
  </si>
  <si>
    <t>L0988</t>
  </si>
  <si>
    <t>B0988</t>
  </si>
  <si>
    <t>L0989</t>
  </si>
  <si>
    <t>B0989</t>
  </si>
  <si>
    <t>L0990</t>
  </si>
  <si>
    <t>B0990</t>
  </si>
  <si>
    <t>L0991</t>
  </si>
  <si>
    <t>B0991</t>
  </si>
  <si>
    <t>L0992</t>
  </si>
  <si>
    <t>B0992</t>
  </si>
  <si>
    <t>L0993</t>
  </si>
  <si>
    <t>B0993</t>
  </si>
  <si>
    <t>L0994</t>
  </si>
  <si>
    <t>B0994</t>
  </si>
  <si>
    <t>L0995</t>
  </si>
  <si>
    <t>B0995</t>
  </si>
  <si>
    <t>L0996</t>
  </si>
  <si>
    <t>B0996</t>
  </si>
  <si>
    <t>L0997</t>
  </si>
  <si>
    <t>B0997</t>
  </si>
  <si>
    <t>L0998</t>
  </si>
  <si>
    <t>B0998</t>
  </si>
  <si>
    <t>L0999</t>
  </si>
  <si>
    <t>B0999</t>
  </si>
  <si>
    <t>L1000</t>
  </si>
  <si>
    <t>B1000</t>
  </si>
  <si>
    <t>Months on book</t>
  </si>
  <si>
    <t>Profit/Loss</t>
  </si>
  <si>
    <t>Interest earned</t>
  </si>
  <si>
    <t>Total expected amt</t>
  </si>
  <si>
    <t>Default flag</t>
  </si>
  <si>
    <t>Loan Status2</t>
  </si>
  <si>
    <t>Risk Level</t>
  </si>
  <si>
    <t>Monthly EMI</t>
  </si>
  <si>
    <t>Profit Margin %</t>
  </si>
  <si>
    <t>High risk borrower flag</t>
  </si>
  <si>
    <t>GOOD</t>
  </si>
  <si>
    <t>LOW</t>
  </si>
  <si>
    <t>HIGH RISK</t>
  </si>
  <si>
    <t>ACTIVE</t>
  </si>
  <si>
    <t>HIGH</t>
  </si>
  <si>
    <t>NORMAL</t>
  </si>
  <si>
    <t>VERY HIGH</t>
  </si>
  <si>
    <t>BAD</t>
  </si>
  <si>
    <t>MEDIUM</t>
  </si>
  <si>
    <t>Grand Total</t>
  </si>
  <si>
    <t>Sum of Loan Amount</t>
  </si>
  <si>
    <t>Count of Loan ID</t>
  </si>
  <si>
    <t>Loan status</t>
  </si>
  <si>
    <t>Loan grade</t>
  </si>
  <si>
    <t>Loan intent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</si>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</sst>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8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2" formatCode="&quot;₹&quot;\ #,##0.00;[Red]&quot;₹&quot;\ \-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analysis excel.xlsx]Loan status!PivotTable1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'Loan status'!$B$3</c:f>
              <c:strCache>
                <c:ptCount val="1"/>
                <c:pt idx="0">
                  <c:v>Sum of Loan Amount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2E-4CB0-8A4B-36E807EB1D2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92E-4CB0-8A4B-36E807EB1D2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92E-4CB0-8A4B-36E807EB1D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'Loan status'!$A$4:$A$7</c:f>
              <c:strCache>
                <c:ptCount val="3"/>
                <c:pt idx="0">
                  <c:v>ACTIVE</c:v>
                </c:pt>
                <c:pt idx="1">
                  <c:v>BAD</c:v>
                </c:pt>
                <c:pt idx="2">
                  <c:v>GOOD</c:v>
                </c:pt>
              </c:strCache>
            </c:strRef>
          </c:cat>
          <c:val>
            <c:numRef>
              <c:f>'Loan status'!$B$4:$B$7</c:f>
              <c:numCache>
                <c:formatCode>General</c:formatCode>
                <c:ptCount val="3"/>
                <c:pt idx="0">
                  <c:v>6467779</c:v>
                </c:pt>
                <c:pt idx="1">
                  <c:v>3057970</c:v>
                </c:pt>
                <c:pt idx="2">
                  <c:v>11729795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E-4CB0-8A4B-36E807EB1D24}"/>
            </c:ext>
          </c:extLst>
        </c:ser>
        <c:ser>
          <c:idx val="1"/>
          <c:order val="1"/>
          <c:tx>
            <c:strRef>
              <c:f>'Loan status'!$C$3</c:f>
              <c:strCache>
                <c:ptCount val="1"/>
                <c:pt idx="0">
                  <c:v>Count of Loan ID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92E-4CB0-8A4B-36E807EB1D2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92E-4CB0-8A4B-36E807EB1D2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892E-4CB0-8A4B-36E807EB1D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'Loan status'!$A$4:$A$7</c:f>
              <c:strCache>
                <c:ptCount val="3"/>
                <c:pt idx="0">
                  <c:v>ACTIVE</c:v>
                </c:pt>
                <c:pt idx="1">
                  <c:v>BAD</c:v>
                </c:pt>
                <c:pt idx="2">
                  <c:v>GOOD</c:v>
                </c:pt>
              </c:strCache>
            </c:strRef>
          </c:cat>
          <c:val>
            <c:numRef>
              <c:f>'Loan status'!$C$4:$C$7</c:f>
              <c:numCache>
                <c:formatCode>General</c:formatCode>
                <c:ptCount val="3"/>
                <c:pt idx="0">
                  <c:v>310</c:v>
                </c:pt>
                <c:pt idx="1">
                  <c:v>149</c:v>
                </c:pt>
                <c:pt idx="2">
                  <c:v>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E-4CB0-8A4B-36E807EB1D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analysis excel.xlsx]Loan grade!PivotTable2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'Loan grade'!$B$3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'Loan grade'!$A$4:$A$11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'Loan grade'!$B$4:$B$11</c:f>
              <c:numCache>
                <c:formatCode>General</c:formatCode>
                <c:ptCount val="7"/>
                <c:pt idx="0">
                  <c:v>5338618</c:v>
                </c:pt>
                <c:pt idx="1">
                  <c:v>4482846</c:v>
                </c:pt>
                <c:pt idx="2">
                  <c:v>3235951</c:v>
                </c:pt>
                <c:pt idx="3">
                  <c:v>3264798</c:v>
                </c:pt>
                <c:pt idx="4">
                  <c:v>2320669</c:v>
                </c:pt>
                <c:pt idx="5">
                  <c:v>1605848</c:v>
                </c:pt>
                <c:pt idx="6">
                  <c:v>1006814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A-4EBF-97E9-B4252754A4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35762672"/>
        <c:axId val="1226416160"/>
        <c:axId val="0"/>
      </c:bar3DChart>
      <c:catAx>
        <c:axId val="1535762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Loan grade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416160"/>
        <c:crosses val="autoZero"/>
        <c:auto val="1"/>
        <c:lblAlgn val="ctr"/>
        <c:lblOffset val="100"/>
        <c:noMultiLvlLbl val="0"/>
      </c:catAx>
      <c:valAx>
        <c:axId val="122641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Loan 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76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analysis excel.xlsx]Loan intent!PivotTable3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intent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'Loan intent'!$B$3</c:f>
              <c:strCache>
                <c:ptCount val="1"/>
                <c:pt idx="0">
                  <c:v>Count of Loan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'Loan intent'!$A$4:$A$9</c:f>
              <c:strCache>
                <c:ptCount val="5"/>
                <c:pt idx="0">
                  <c:v>CREDIT CARD</c:v>
                </c:pt>
                <c:pt idx="1">
                  <c:v>DEBT CONSOLIDATION</c:v>
                </c:pt>
                <c:pt idx="2">
                  <c:v>HOME IMPROVEMENT</c:v>
                </c:pt>
                <c:pt idx="3">
                  <c:v>OTHER</c:v>
                </c:pt>
                <c:pt idx="4">
                  <c:v>SMALL BUSINESS</c:v>
                </c:pt>
              </c:strCache>
            </c:strRef>
          </c:cat>
          <c:val>
            <c:numRef>
              <c:f>'Loan intent'!$B$4:$B$9</c:f>
              <c:numCache>
                <c:formatCode>General</c:formatCode>
                <c:ptCount val="5"/>
                <c:pt idx="0">
                  <c:v>191</c:v>
                </c:pt>
                <c:pt idx="1">
                  <c:v>187</c:v>
                </c:pt>
                <c:pt idx="2">
                  <c:v>197</c:v>
                </c:pt>
                <c:pt idx="3">
                  <c:v>211</c:v>
                </c:pt>
                <c:pt idx="4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A-4A2B-BD1E-EACB120F06CB}"/>
            </c:ext>
          </c:extLst>
        </c:ser>
        <c:ser>
          <c:idx val="1"/>
          <c:order val="1"/>
          <c:tx>
            <c:strRef>
              <c:f>'Loan intent'!$C$3</c:f>
              <c:strCache>
                <c:ptCount val="1"/>
                <c:pt idx="0">
                  <c:v>Sum of Loan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'Loan intent'!$A$4:$A$9</c:f>
              <c:strCache>
                <c:ptCount val="5"/>
                <c:pt idx="0">
                  <c:v>CREDIT CARD</c:v>
                </c:pt>
                <c:pt idx="1">
                  <c:v>DEBT CONSOLIDATION</c:v>
                </c:pt>
                <c:pt idx="2">
                  <c:v>HOME IMPROVEMENT</c:v>
                </c:pt>
                <c:pt idx="3">
                  <c:v>OTHER</c:v>
                </c:pt>
                <c:pt idx="4">
                  <c:v>SMALL BUSINESS</c:v>
                </c:pt>
              </c:strCache>
            </c:strRef>
          </c:cat>
          <c:val>
            <c:numRef>
              <c:f>'Loan intent'!$C$4:$C$9</c:f>
              <c:numCache>
                <c:formatCode>General</c:formatCode>
                <c:ptCount val="5"/>
                <c:pt idx="0">
                  <c:v>4212767</c:v>
                </c:pt>
                <c:pt idx="1">
                  <c:v>3788403</c:v>
                </c:pt>
                <c:pt idx="2">
                  <c:v>4371262</c:v>
                </c:pt>
                <c:pt idx="3">
                  <c:v>4432165</c:v>
                </c:pt>
                <c:pt idx="4">
                  <c:v>4450947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0A-4A2B-BD1E-EACB120F06C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analysis excel.xlsx]Monthly loan trend!PivotTable4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loan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loan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loan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loan trend'!$B$4:$B$16</c:f>
              <c:numCache>
                <c:formatCode>General</c:formatCode>
                <c:ptCount val="12"/>
                <c:pt idx="0">
                  <c:v>90</c:v>
                </c:pt>
                <c:pt idx="1">
                  <c:v>81</c:v>
                </c:pt>
                <c:pt idx="2">
                  <c:v>88</c:v>
                </c:pt>
                <c:pt idx="3">
                  <c:v>93</c:v>
                </c:pt>
                <c:pt idx="4">
                  <c:v>97</c:v>
                </c:pt>
                <c:pt idx="5">
                  <c:v>73</c:v>
                </c:pt>
                <c:pt idx="6">
                  <c:v>78</c:v>
                </c:pt>
                <c:pt idx="7">
                  <c:v>80</c:v>
                </c:pt>
                <c:pt idx="8">
                  <c:v>68</c:v>
                </c:pt>
                <c:pt idx="9">
                  <c:v>90</c:v>
                </c:pt>
                <c:pt idx="10">
                  <c:v>76</c:v>
                </c:pt>
                <c:pt idx="11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5B-4DF1-8466-0B530E53F51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4761888"/>
        <c:axId val="764764288"/>
      </c:lineChart>
      <c:catAx>
        <c:axId val="76476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764288"/>
        <c:crosses val="autoZero"/>
        <c:auto val="1"/>
        <c:lblAlgn val="ctr"/>
        <c:lblOffset val="100"/>
        <c:noMultiLvlLbl val="0"/>
      </c:catAx>
      <c:valAx>
        <c:axId val="76476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loan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76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analysis excel.xlsx]Distribution by loan grade!PivotTable5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by loan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'Distribution by loan grade'!$B$3</c:f>
              <c:strCache>
                <c:ptCount val="1"/>
                <c:pt idx="0">
                  <c:v>Count of Loan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'Distribution by loan grade'!$A$4:$A$11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'Distribution by loan grade'!$B$4:$B$11</c:f>
              <c:numCache>
                <c:formatCode>General</c:formatCode>
                <c:ptCount val="7"/>
                <c:pt idx="0">
                  <c:v>250</c:v>
                </c:pt>
                <c:pt idx="1">
                  <c:v>206</c:v>
                </c:pt>
                <c:pt idx="2">
                  <c:v>154</c:v>
                </c:pt>
                <c:pt idx="3">
                  <c:v>159</c:v>
                </c:pt>
                <c:pt idx="4">
                  <c:v>106</c:v>
                </c:pt>
                <c:pt idx="5">
                  <c:v>81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4-4858-83D8-8D70660FF0B3}"/>
            </c:ext>
          </c:extLst>
        </c:ser>
        <c:ser>
          <c:idx val="1"/>
          <c:order val="1"/>
          <c:tx>
            <c:strRef>
              <c:f>'Distribution by loan grade'!$C$3</c:f>
              <c:strCache>
                <c:ptCount val="1"/>
                <c:pt idx="0">
                  <c:v>Sum of Loan 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'Distribution by loan grade'!$A$4:$A$11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'Distribution by loan grade'!$C$4:$C$11</c:f>
              <c:numCache>
                <c:formatCode>General</c:formatCode>
                <c:ptCount val="7"/>
                <c:pt idx="0">
                  <c:v>5338618</c:v>
                </c:pt>
                <c:pt idx="1">
                  <c:v>4482846</c:v>
                </c:pt>
                <c:pt idx="2">
                  <c:v>3235951</c:v>
                </c:pt>
                <c:pt idx="3">
                  <c:v>3264798</c:v>
                </c:pt>
                <c:pt idx="4">
                  <c:v>2320669</c:v>
                </c:pt>
                <c:pt idx="5">
                  <c:v>1605848</c:v>
                </c:pt>
                <c:pt idx="6">
                  <c:v>1006814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F4-4858-83D8-8D70660FF0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1</xdr:row>
      <xdr:rowOff>26670</xdr:rowOff>
    </xdr:from>
    <xdr:to>
      <xdr:col>10</xdr:col>
      <xdr:colOff>403860</xdr:colOff>
      <xdr:row>16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070571-37B2-E37E-2D3B-F2DC207C2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18</xdr:row>
      <xdr:rowOff>38100</xdr:rowOff>
    </xdr:from>
    <xdr:to>
      <xdr:col>7</xdr:col>
      <xdr:colOff>30480</xdr:colOff>
      <xdr:row>25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3D7BC26-85D2-6CBC-950A-31B0E64B5AEE}"/>
            </a:ext>
          </a:extLst>
        </xdr:cNvPr>
        <xdr:cNvSpPr txBox="1"/>
      </xdr:nvSpPr>
      <xdr:spPr>
        <a:xfrm>
          <a:off x="15240" y="3329940"/>
          <a:ext cx="5669280" cy="124206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Insight:</a:t>
          </a:r>
        </a:p>
        <a:p>
          <a:r>
            <a:rPr lang="en-IN"/>
            <a:t>Shows proportion of:</a:t>
          </a:r>
        </a:p>
        <a:p>
          <a:r>
            <a:rPr lang="en-IN"/>
            <a:t>*Fully Paid ✅</a:t>
          </a:r>
        </a:p>
        <a:p>
          <a:r>
            <a:rPr lang="en-IN"/>
            <a:t>*Current ⏳</a:t>
          </a:r>
        </a:p>
        <a:p>
          <a:r>
            <a:rPr lang="en-IN"/>
            <a:t>*Charged Off ❌</a:t>
          </a:r>
        </a:p>
        <a:p>
          <a:r>
            <a:rPr lang="en-IN"/>
            <a:t>Helps identify </a:t>
          </a:r>
          <a:r>
            <a:rPr lang="en-IN" b="1"/>
            <a:t>default risk level</a:t>
          </a:r>
          <a:endParaRPr lang="en-IN"/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1</xdr:row>
      <xdr:rowOff>163830</xdr:rowOff>
    </xdr:from>
    <xdr:to>
      <xdr:col>10</xdr:col>
      <xdr:colOff>137160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74E87-390A-3A1D-901C-46C83ABE8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</xdr:colOff>
      <xdr:row>18</xdr:row>
      <xdr:rowOff>60960</xdr:rowOff>
    </xdr:from>
    <xdr:to>
      <xdr:col>7</xdr:col>
      <xdr:colOff>205740</xdr:colOff>
      <xdr:row>23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EC357A-D59F-8D14-3FB4-685C2200F3C1}"/>
            </a:ext>
          </a:extLst>
        </xdr:cNvPr>
        <xdr:cNvSpPr txBox="1"/>
      </xdr:nvSpPr>
      <xdr:spPr>
        <a:xfrm>
          <a:off x="106680" y="3352800"/>
          <a:ext cx="5318760" cy="100584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Insight:</a:t>
          </a:r>
        </a:p>
        <a:p>
          <a:r>
            <a:rPr lang="en-IN"/>
            <a:t>Grade A &amp; B → Low risk</a:t>
          </a:r>
        </a:p>
        <a:p>
          <a:r>
            <a:rPr lang="en-IN"/>
            <a:t>Grade C+ → Higher risk</a:t>
          </a:r>
        </a:p>
        <a:p>
          <a:r>
            <a:rPr lang="en-IN"/>
            <a:t>Shows </a:t>
          </a:r>
          <a:r>
            <a:rPr lang="en-IN" b="1"/>
            <a:t>risk distribution of portfolio</a:t>
          </a:r>
          <a:endParaRPr lang="en-IN"/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0</xdr:row>
      <xdr:rowOff>110490</xdr:rowOff>
    </xdr:from>
    <xdr:to>
      <xdr:col>10</xdr:col>
      <xdr:colOff>441960</xdr:colOff>
      <xdr:row>15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A91646-7BCC-E183-6C15-B30B60521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121920</xdr:colOff>
      <xdr:row>17</xdr:row>
      <xdr:rowOff>99060</xdr:rowOff>
    </xdr:from>
    <xdr:to>
      <xdr:col>6</xdr:col>
      <xdr:colOff>495300</xdr:colOff>
      <xdr:row>23</xdr:row>
      <xdr:rowOff>83820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3AC006-E56A-5932-98CD-F0FF6682DE50}"/>
            </a:ext>
          </a:extLst>
        </xdr:cNvPr>
        <xdr:cNvSpPr txBox="1"/>
      </xdr:nvSpPr>
      <xdr:spPr>
        <a:xfrm>
          <a:off x="121920" y="3208020"/>
          <a:ext cx="5928360" cy="108204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Insights:</a:t>
          </a:r>
        </a:p>
        <a:p>
          <a:r>
            <a:rPr lang="en-IN"/>
            <a:t>Common intents:</a:t>
          </a:r>
        </a:p>
        <a:p>
          <a:r>
            <a:rPr lang="en-IN"/>
            <a:t>*Debt Consolidation</a:t>
          </a:r>
        </a:p>
        <a:p>
          <a:r>
            <a:rPr lang="en-IN"/>
            <a:t>*Credit Card Refinancing</a:t>
          </a:r>
        </a:p>
        <a:p>
          <a:r>
            <a:rPr lang="en-IN"/>
            <a:t>*Home Improvement</a:t>
          </a:r>
        </a:p>
        <a:p>
          <a:r>
            <a:rPr lang="en-IN"/>
            <a:t>Helps bank understand </a:t>
          </a:r>
          <a:r>
            <a:rPr lang="en-IN" b="1"/>
            <a:t>customer demand</a:t>
          </a:r>
          <a:endParaRPr lang="en-IN"/>
        </a:p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1</xdr:row>
      <xdr:rowOff>140970</xdr:rowOff>
    </xdr:from>
    <xdr:to>
      <xdr:col>11</xdr:col>
      <xdr:colOff>30480</xdr:colOff>
      <xdr:row>16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193AC4-95D8-D82F-2803-29A20ABEA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</xdr:colOff>
      <xdr:row>19</xdr:row>
      <xdr:rowOff>83820</xdr:rowOff>
    </xdr:from>
    <xdr:to>
      <xdr:col>6</xdr:col>
      <xdr:colOff>144780</xdr:colOff>
      <xdr:row>24</xdr:row>
      <xdr:rowOff>106680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0BBEA4-4C94-71D8-E4F0-38859DE65C1C}"/>
            </a:ext>
          </a:extLst>
        </xdr:cNvPr>
        <xdr:cNvSpPr txBox="1"/>
      </xdr:nvSpPr>
      <xdr:spPr>
        <a:xfrm>
          <a:off x="30480" y="3558540"/>
          <a:ext cx="4892040" cy="93726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Insight</a:t>
          </a:r>
        </a:p>
        <a:p>
          <a:r>
            <a:rPr lang="en-IN" b="0"/>
            <a:t>Identify peak lending months</a:t>
          </a:r>
        </a:p>
        <a:p>
          <a:r>
            <a:rPr lang="en-IN" b="0"/>
            <a:t>Detect seasonal trends</a:t>
          </a:r>
        </a:p>
        <a:p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1</xdr:row>
      <xdr:rowOff>80010</xdr:rowOff>
    </xdr:from>
    <xdr:to>
      <xdr:col>11</xdr:col>
      <xdr:colOff>243840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2CF395-65CB-D0F5-A387-9647A8E69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18</xdr:row>
      <xdr:rowOff>76200</xdr:rowOff>
    </xdr:from>
    <xdr:to>
      <xdr:col>6</xdr:col>
      <xdr:colOff>441960</xdr:colOff>
      <xdr:row>22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4F3190-814D-207E-058E-0FBE39E43528}"/>
            </a:ext>
          </a:extLst>
        </xdr:cNvPr>
        <xdr:cNvSpPr txBox="1"/>
      </xdr:nvSpPr>
      <xdr:spPr>
        <a:xfrm>
          <a:off x="114300" y="3368040"/>
          <a:ext cx="5372100" cy="7239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Insight:</a:t>
          </a:r>
        </a:p>
        <a:p>
          <a:r>
            <a:rPr lang="en-IN" sz="1100"/>
            <a:t>grade</a:t>
          </a:r>
          <a:r>
            <a:rPr lang="en-IN" sz="1100" baseline="0"/>
            <a:t> A has high loans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man sai" refreshedDate="46100.536780439812" createdVersion="8" refreshedVersion="8" minRefreshableVersion="3" recordCount="1000" xr:uid="{570F4941-909C-48D1-8F14-D4234A896217}">
  <cacheSource type="worksheet">
    <worksheetSource name="banking_loan_data__2"/>
  </cacheSource>
  <cacheFields count="29">
    <cacheField name="Loan ID" numFmtId="0">
      <sharedItems/>
    </cacheField>
    <cacheField name="Issue Date" numFmtId="14">
      <sharedItems containsSemiMixedTypes="0" containsNonDate="0" containsDate="1" containsString="0" minDate="2021-01-01T00:00:00" maxDate="2023-12-31T00:00:00" count="660">
        <d v="2023-05-11T00:00:00"/>
        <d v="2023-11-11T00:00:00"/>
        <d v="2021-05-02T00:00:00"/>
        <d v="2022-04-12T00:00:00"/>
        <d v="2021-11-27T00:00:00"/>
        <d v="2021-03-29T00:00:00"/>
        <d v="2023-05-22T00:00:00"/>
        <d v="2021-05-11T00:00:00"/>
        <d v="2023-02-09T00:00:00"/>
        <d v="2021-12-10T00:00:00"/>
        <d v="2023-03-17T00:00:00"/>
        <d v="2022-01-21T00:00:00"/>
        <d v="2023-08-14T00:00:00"/>
        <d v="2021-10-04T00:00:00"/>
        <d v="2022-04-05T00:00:00"/>
        <d v="2021-01-22T00:00:00"/>
        <d v="2021-09-10T00:00:00"/>
        <d v="2023-01-18T00:00:00"/>
        <d v="2023-05-07T00:00:00"/>
        <d v="2022-04-20T00:00:00"/>
        <d v="2023-12-19T00:00:00"/>
        <d v="2022-05-26T00:00:00"/>
        <d v="2022-12-01T00:00:00"/>
        <d v="2023-09-03T00:00:00"/>
        <d v="2021-07-09T00:00:00"/>
        <d v="2023-08-16T00:00:00"/>
        <d v="2022-11-18T00:00:00"/>
        <d v="2022-07-17T00:00:00"/>
        <d v="2023-04-12T00:00:00"/>
        <d v="2022-10-09T00:00:00"/>
        <d v="2021-01-21T00:00:00"/>
        <d v="2023-04-21T00:00:00"/>
        <d v="2021-06-16T00:00:00"/>
        <d v="2022-01-23T00:00:00"/>
        <d v="2022-08-24T00:00:00"/>
        <d v="2021-11-12T00:00:00"/>
        <d v="2021-01-14T00:00:00"/>
        <d v="2021-08-30T00:00:00"/>
        <d v="2023-02-16T00:00:00"/>
        <d v="2022-07-19T00:00:00"/>
        <d v="2023-06-17T00:00:00"/>
        <d v="2021-04-02T00:00:00"/>
        <d v="2022-05-24T00:00:00"/>
        <d v="2023-02-15T00:00:00"/>
        <d v="2021-02-04T00:00:00"/>
        <d v="2021-07-25T00:00:00"/>
        <d v="2023-10-23T00:00:00"/>
        <d v="2023-10-19T00:00:00"/>
        <d v="2022-07-20T00:00:00"/>
        <d v="2022-12-04T00:00:00"/>
        <d v="2022-02-06T00:00:00"/>
        <d v="2022-12-31T00:00:00"/>
        <d v="2021-06-11T00:00:00"/>
        <d v="2021-07-21T00:00:00"/>
        <d v="2023-09-23T00:00:00"/>
        <d v="2021-09-27T00:00:00"/>
        <d v="2023-03-27T00:00:00"/>
        <d v="2022-04-01T00:00:00"/>
        <d v="2023-10-14T00:00:00"/>
        <d v="2021-10-23T00:00:00"/>
        <d v="2022-12-21T00:00:00"/>
        <d v="2021-12-04T00:00:00"/>
        <d v="2023-05-29T00:00:00"/>
        <d v="2023-12-13T00:00:00"/>
        <d v="2023-03-03T00:00:00"/>
        <d v="2021-08-05T00:00:00"/>
        <d v="2023-02-03T00:00:00"/>
        <d v="2021-07-07T00:00:00"/>
        <d v="2022-01-15T00:00:00"/>
        <d v="2022-05-08T00:00:00"/>
        <d v="2023-12-01T00:00:00"/>
        <d v="2021-01-15T00:00:00"/>
        <d v="2021-03-06T00:00:00"/>
        <d v="2022-06-05T00:00:00"/>
        <d v="2022-10-10T00:00:00"/>
        <d v="2023-12-23T00:00:00"/>
        <d v="2022-08-16T00:00:00"/>
        <d v="2022-01-27T00:00:00"/>
        <d v="2022-02-23T00:00:00"/>
        <d v="2021-10-16T00:00:00"/>
        <d v="2022-01-14T00:00:00"/>
        <d v="2021-08-19T00:00:00"/>
        <d v="2023-10-15T00:00:00"/>
        <d v="2021-02-10T00:00:00"/>
        <d v="2023-11-18T00:00:00"/>
        <d v="2021-05-15T00:00:00"/>
        <d v="2021-07-20T00:00:00"/>
        <d v="2023-02-19T00:00:00"/>
        <d v="2023-07-19T00:00:00"/>
        <d v="2023-11-23T00:00:00"/>
        <d v="2023-12-08T00:00:00"/>
        <d v="2022-05-18T00:00:00"/>
        <d v="2022-02-11T00:00:00"/>
        <d v="2023-03-16T00:00:00"/>
        <d v="2021-04-09T00:00:00"/>
        <d v="2022-11-15T00:00:00"/>
        <d v="2022-12-27T00:00:00"/>
        <d v="2023-08-19T00:00:00"/>
        <d v="2022-09-05T00:00:00"/>
        <d v="2022-10-05T00:00:00"/>
        <d v="2023-10-26T00:00:00"/>
        <d v="2023-02-06T00:00:00"/>
        <d v="2022-02-02T00:00:00"/>
        <d v="2023-05-21T00:00:00"/>
        <d v="2023-03-06T00:00:00"/>
        <d v="2022-01-28T00:00:00"/>
        <d v="2021-07-26T00:00:00"/>
        <d v="2023-11-05T00:00:00"/>
        <d v="2023-06-11T00:00:00"/>
        <d v="2023-05-14T00:00:00"/>
        <d v="2023-01-13T00:00:00"/>
        <d v="2022-07-18T00:00:00"/>
        <d v="2023-10-18T00:00:00"/>
        <d v="2021-04-06T00:00:00"/>
        <d v="2022-04-30T00:00:00"/>
        <d v="2023-01-19T00:00:00"/>
        <d v="2022-06-25T00:00:00"/>
        <d v="2023-11-26T00:00:00"/>
        <d v="2022-06-09T00:00:00"/>
        <d v="2022-08-01T00:00:00"/>
        <d v="2022-11-13T00:00:00"/>
        <d v="2022-07-11T00:00:00"/>
        <d v="2023-10-10T00:00:00"/>
        <d v="2022-10-08T00:00:00"/>
        <d v="2023-03-07T00:00:00"/>
        <d v="2022-09-25T00:00:00"/>
        <d v="2022-09-20T00:00:00"/>
        <d v="2023-08-31T00:00:00"/>
        <d v="2022-12-11T00:00:00"/>
        <d v="2022-10-11T00:00:00"/>
        <d v="2021-11-14T00:00:00"/>
        <d v="2022-10-26T00:00:00"/>
        <d v="2022-03-18T00:00:00"/>
        <d v="2023-08-10T00:00:00"/>
        <d v="2022-11-30T00:00:00"/>
        <d v="2021-04-23T00:00:00"/>
        <d v="2021-01-02T00:00:00"/>
        <d v="2022-10-04T00:00:00"/>
        <d v="2021-08-08T00:00:00"/>
        <d v="2023-05-05T00:00:00"/>
        <d v="2022-01-20T00:00:00"/>
        <d v="2021-09-04T00:00:00"/>
        <d v="2023-04-16T00:00:00"/>
        <d v="2021-07-22T00:00:00"/>
        <d v="2021-05-03T00:00:00"/>
        <d v="2022-02-05T00:00:00"/>
        <d v="2021-10-21T00:00:00"/>
        <d v="2021-10-07T00:00:00"/>
        <d v="2023-06-03T00:00:00"/>
        <d v="2021-07-17T00:00:00"/>
        <d v="2023-09-09T00:00:00"/>
        <d v="2023-01-22T00:00:00"/>
        <d v="2021-05-24T00:00:00"/>
        <d v="2022-09-01T00:00:00"/>
        <d v="2021-07-06T00:00:00"/>
        <d v="2022-04-09T00:00:00"/>
        <d v="2022-10-22T00:00:00"/>
        <d v="2023-08-13T00:00:00"/>
        <d v="2022-02-07T00:00:00"/>
        <d v="2021-05-27T00:00:00"/>
        <d v="2022-05-04T00:00:00"/>
        <d v="2023-07-18T00:00:00"/>
        <d v="2022-07-05T00:00:00"/>
        <d v="2022-10-03T00:00:00"/>
        <d v="2022-04-18T00:00:00"/>
        <d v="2021-05-31T00:00:00"/>
        <d v="2021-09-20T00:00:00"/>
        <d v="2021-12-12T00:00:00"/>
        <d v="2022-09-16T00:00:00"/>
        <d v="2023-05-31T00:00:00"/>
        <d v="2023-06-16T00:00:00"/>
        <d v="2021-09-11T00:00:00"/>
        <d v="2022-03-29T00:00:00"/>
        <d v="2023-11-27T00:00:00"/>
        <d v="2023-10-12T00:00:00"/>
        <d v="2021-01-09T00:00:00"/>
        <d v="2021-07-27T00:00:00"/>
        <d v="2022-02-08T00:00:00"/>
        <d v="2021-06-01T00:00:00"/>
        <d v="2021-02-23T00:00:00"/>
        <d v="2022-08-10T00:00:00"/>
        <d v="2021-04-14T00:00:00"/>
        <d v="2022-05-25T00:00:00"/>
        <d v="2021-06-02T00:00:00"/>
        <d v="2023-07-03T00:00:00"/>
        <d v="2023-05-28T00:00:00"/>
        <d v="2023-04-02T00:00:00"/>
        <d v="2023-08-15T00:00:00"/>
        <d v="2021-06-10T00:00:00"/>
        <d v="2023-03-12T00:00:00"/>
        <d v="2022-10-02T00:00:00"/>
        <d v="2022-11-19T00:00:00"/>
        <d v="2022-04-15T00:00:00"/>
        <d v="2023-11-12T00:00:00"/>
        <d v="2023-01-20T00:00:00"/>
        <d v="2021-02-07T00:00:00"/>
        <d v="2021-08-18T00:00:00"/>
        <d v="2022-03-14T00:00:00"/>
        <d v="2021-01-27T00:00:00"/>
        <d v="2021-08-14T00:00:00"/>
        <d v="2023-03-09T00:00:00"/>
        <d v="2021-10-11T00:00:00"/>
        <d v="2023-08-18T00:00:00"/>
        <d v="2023-10-17T00:00:00"/>
        <d v="2022-10-21T00:00:00"/>
        <d v="2022-07-01T00:00:00"/>
        <d v="2023-12-09T00:00:00"/>
        <d v="2021-01-17T00:00:00"/>
        <d v="2021-06-07T00:00:00"/>
        <d v="2022-04-22T00:00:00"/>
        <d v="2023-12-06T00:00:00"/>
        <d v="2022-06-02T00:00:00"/>
        <d v="2022-05-12T00:00:00"/>
        <d v="2021-10-29T00:00:00"/>
        <d v="2021-06-30T00:00:00"/>
        <d v="2022-08-30T00:00:00"/>
        <d v="2023-09-20T00:00:00"/>
        <d v="2021-07-10T00:00:00"/>
        <d v="2023-09-08T00:00:00"/>
        <d v="2023-07-17T00:00:00"/>
        <d v="2021-05-08T00:00:00"/>
        <d v="2021-01-18T00:00:00"/>
        <d v="2022-07-24T00:00:00"/>
        <d v="2022-11-17T00:00:00"/>
        <d v="2022-09-18T00:00:00"/>
        <d v="2023-05-04T00:00:00"/>
        <d v="2023-08-20T00:00:00"/>
        <d v="2021-06-04T00:00:00"/>
        <d v="2022-05-05T00:00:00"/>
        <d v="2023-02-24T00:00:00"/>
        <d v="2021-09-03T00:00:00"/>
        <d v="2023-11-29T00:00:00"/>
        <d v="2023-01-29T00:00:00"/>
        <d v="2022-06-22T00:00:00"/>
        <d v="2023-07-10T00:00:00"/>
        <d v="2022-02-12T00:00:00"/>
        <d v="2023-04-08T00:00:00"/>
        <d v="2023-06-22T00:00:00"/>
        <d v="2021-02-05T00:00:00"/>
        <d v="2022-11-16T00:00:00"/>
        <d v="2021-01-20T00:00:00"/>
        <d v="2021-11-17T00:00:00"/>
        <d v="2022-05-27T00:00:00"/>
        <d v="2022-02-04T00:00:00"/>
        <d v="2022-10-16T00:00:00"/>
        <d v="2023-08-30T00:00:00"/>
        <d v="2022-04-16T00:00:00"/>
        <d v="2023-04-14T00:00:00"/>
        <d v="2022-12-28T00:00:00"/>
        <d v="2021-02-20T00:00:00"/>
        <d v="2022-07-29T00:00:00"/>
        <d v="2021-05-30T00:00:00"/>
        <d v="2021-11-10T00:00:00"/>
        <d v="2021-11-01T00:00:00"/>
        <d v="2023-04-18T00:00:00"/>
        <d v="2023-12-14T00:00:00"/>
        <d v="2023-09-30T00:00:00"/>
        <d v="2022-03-20T00:00:00"/>
        <d v="2021-09-21T00:00:00"/>
        <d v="2023-10-01T00:00:00"/>
        <d v="2021-01-05T00:00:00"/>
        <d v="2023-02-13T00:00:00"/>
        <d v="2023-05-27T00:00:00"/>
        <d v="2023-09-19T00:00:00"/>
        <d v="2021-02-16T00:00:00"/>
        <d v="2023-05-17T00:00:00"/>
        <d v="2023-04-03T00:00:00"/>
        <d v="2023-07-25T00:00:00"/>
        <d v="2022-10-18T00:00:00"/>
        <d v="2021-09-26T00:00:00"/>
        <d v="2022-01-05T00:00:00"/>
        <d v="2022-09-28T00:00:00"/>
        <d v="2022-10-19T00:00:00"/>
        <d v="2021-04-30T00:00:00"/>
        <d v="2023-04-11T00:00:00"/>
        <d v="2023-12-18T00:00:00"/>
        <d v="2023-01-11T00:00:00"/>
        <d v="2021-04-27T00:00:00"/>
        <d v="2023-03-02T00:00:00"/>
        <d v="2022-09-26T00:00:00"/>
        <d v="2022-05-28T00:00:00"/>
        <d v="2023-03-13T00:00:00"/>
        <d v="2022-07-14T00:00:00"/>
        <d v="2022-05-03T00:00:00"/>
        <d v="2022-12-05T00:00:00"/>
        <d v="2022-08-04T00:00:00"/>
        <d v="2023-03-01T00:00:00"/>
        <d v="2021-06-03T00:00:00"/>
        <d v="2023-09-24T00:00:00"/>
        <d v="2022-11-28T00:00:00"/>
        <d v="2023-12-29T00:00:00"/>
        <d v="2023-12-07T00:00:00"/>
        <d v="2023-10-06T00:00:00"/>
        <d v="2021-04-04T00:00:00"/>
        <d v="2023-10-09T00:00:00"/>
        <d v="2023-07-01T00:00:00"/>
        <d v="2021-08-06T00:00:00"/>
        <d v="2022-04-19T00:00:00"/>
        <d v="2022-03-08T00:00:00"/>
        <d v="2021-12-07T00:00:00"/>
        <d v="2021-12-23T00:00:00"/>
        <d v="2021-01-23T00:00:00"/>
        <d v="2022-06-06T00:00:00"/>
        <d v="2023-02-01T00:00:00"/>
        <d v="2023-02-08T00:00:00"/>
        <d v="2023-10-13T00:00:00"/>
        <d v="2022-05-31T00:00:00"/>
        <d v="2023-11-06T00:00:00"/>
        <d v="2021-12-02T00:00:00"/>
        <d v="2021-09-15T00:00:00"/>
        <d v="2023-06-15T00:00:00"/>
        <d v="2021-06-09T00:00:00"/>
        <d v="2023-05-02T00:00:00"/>
        <d v="2022-11-21T00:00:00"/>
        <d v="2022-11-22T00:00:00"/>
        <d v="2023-12-03T00:00:00"/>
        <d v="2021-10-12T00:00:00"/>
        <d v="2022-02-01T00:00:00"/>
        <d v="2021-01-12T00:00:00"/>
        <d v="2022-05-14T00:00:00"/>
        <d v="2023-01-24T00:00:00"/>
        <d v="2023-04-29T00:00:00"/>
        <d v="2021-03-31T00:00:00"/>
        <d v="2022-08-28T00:00:00"/>
        <d v="2023-08-28T00:00:00"/>
        <d v="2022-02-22T00:00:00"/>
        <d v="2021-04-25T00:00:00"/>
        <d v="2022-09-09T00:00:00"/>
        <d v="2023-04-06T00:00:00"/>
        <d v="2022-02-17T00:00:00"/>
        <d v="2022-12-30T00:00:00"/>
        <d v="2023-01-31T00:00:00"/>
        <d v="2022-11-07T00:00:00"/>
        <d v="2022-04-02T00:00:00"/>
        <d v="2023-07-09T00:00:00"/>
        <d v="2021-07-11T00:00:00"/>
        <d v="2023-01-09T00:00:00"/>
        <d v="2023-09-05T00:00:00"/>
        <d v="2022-10-25T00:00:00"/>
        <d v="2021-02-06T00:00:00"/>
        <d v="2021-10-06T00:00:00"/>
        <d v="2023-05-23T00:00:00"/>
        <d v="2021-03-03T00:00:00"/>
        <d v="2022-08-19T00:00:00"/>
        <d v="2023-11-09T00:00:00"/>
        <d v="2021-06-26T00:00:00"/>
        <d v="2022-01-31T00:00:00"/>
        <d v="2022-03-21T00:00:00"/>
        <d v="2021-03-17T00:00:00"/>
        <d v="2021-09-22T00:00:00"/>
        <d v="2022-03-31T00:00:00"/>
        <d v="2022-12-19T00:00:00"/>
        <d v="2023-01-05T00:00:00"/>
        <d v="2023-05-01T00:00:00"/>
        <d v="2023-06-04T00:00:00"/>
        <d v="2023-11-15T00:00:00"/>
        <d v="2023-08-06T00:00:00"/>
        <d v="2023-06-10T00:00:00"/>
        <d v="2022-07-23T00:00:00"/>
        <d v="2021-04-19T00:00:00"/>
        <d v="2023-12-02T00:00:00"/>
        <d v="2023-07-24T00:00:00"/>
        <d v="2023-01-03T00:00:00"/>
        <d v="2021-08-23T00:00:00"/>
        <d v="2022-10-20T00:00:00"/>
        <d v="2023-01-21T00:00:00"/>
        <d v="2022-08-11T00:00:00"/>
        <d v="2023-10-30T00:00:00"/>
        <d v="2023-08-12T00:00:00"/>
        <d v="2022-05-07T00:00:00"/>
        <d v="2023-07-02T00:00:00"/>
        <d v="2021-06-19T00:00:00"/>
        <d v="2023-08-04T00:00:00"/>
        <d v="2021-01-29T00:00:00"/>
        <d v="2021-12-05T00:00:00"/>
        <d v="2022-05-15T00:00:00"/>
        <d v="2023-12-30T00:00:00"/>
        <d v="2023-05-26T00:00:00"/>
        <d v="2021-04-01T00:00:00"/>
        <d v="2022-12-15T00:00:00"/>
        <d v="2021-02-08T00:00:00"/>
        <d v="2021-06-22T00:00:00"/>
        <d v="2022-10-15T00:00:00"/>
        <d v="2022-04-21T00:00:00"/>
        <d v="2023-04-09T00:00:00"/>
        <d v="2023-06-14T00:00:00"/>
        <d v="2023-10-22T00:00:00"/>
        <d v="2022-01-22T00:00:00"/>
        <d v="2021-12-14T00:00:00"/>
        <d v="2022-05-20T00:00:00"/>
        <d v="2023-04-04T00:00:00"/>
        <d v="2023-07-23T00:00:00"/>
        <d v="2021-05-14T00:00:00"/>
        <d v="2021-02-27T00:00:00"/>
        <d v="2022-11-03T00:00:00"/>
        <d v="2023-03-26T00:00:00"/>
        <d v="2021-03-21T00:00:00"/>
        <d v="2023-06-05T00:00:00"/>
        <d v="2023-08-29T00:00:00"/>
        <d v="2023-11-02T00:00:00"/>
        <d v="2023-01-06T00:00:00"/>
        <d v="2023-02-23T00:00:00"/>
        <d v="2023-08-26T00:00:00"/>
        <d v="2021-12-24T00:00:00"/>
        <d v="2022-10-30T00:00:00"/>
        <d v="2022-01-08T00:00:00"/>
        <d v="2023-10-29T00:00:00"/>
        <d v="2022-11-29T00:00:00"/>
        <d v="2022-06-24T00:00:00"/>
        <d v="2023-01-02T00:00:00"/>
        <d v="2023-05-19T00:00:00"/>
        <d v="2023-01-10T00:00:00"/>
        <d v="2022-05-17T00:00:00"/>
        <d v="2023-08-17T00:00:00"/>
        <d v="2022-04-06T00:00:00"/>
        <d v="2023-07-14T00:00:00"/>
        <d v="2023-06-28T00:00:00"/>
        <d v="2022-01-25T00:00:00"/>
        <d v="2023-06-02T00:00:00"/>
        <d v="2021-09-13T00:00:00"/>
        <d v="2022-12-10T00:00:00"/>
        <d v="2022-03-26T00:00:00"/>
        <d v="2021-01-10T00:00:00"/>
        <d v="2022-01-09T00:00:00"/>
        <d v="2023-12-25T00:00:00"/>
        <d v="2021-05-26T00:00:00"/>
        <d v="2021-08-12T00:00:00"/>
        <d v="2023-05-03T00:00:00"/>
        <d v="2021-03-04T00:00:00"/>
        <d v="2023-04-07T00:00:00"/>
        <d v="2022-11-20T00:00:00"/>
        <d v="2021-04-15T00:00:00"/>
        <d v="2022-02-09T00:00:00"/>
        <d v="2023-02-10T00:00:00"/>
        <d v="2023-11-13T00:00:00"/>
        <d v="2022-11-08T00:00:00"/>
        <d v="2021-03-24T00:00:00"/>
        <d v="2021-01-01T00:00:00"/>
        <d v="2022-12-18T00:00:00"/>
        <d v="2022-03-25T00:00:00"/>
        <d v="2021-02-03T00:00:00"/>
        <d v="2021-04-05T00:00:00"/>
        <d v="2021-09-07T00:00:00"/>
        <d v="2022-11-05T00:00:00"/>
        <d v="2021-04-28T00:00:00"/>
        <d v="2021-09-25T00:00:00"/>
        <d v="2021-08-24T00:00:00"/>
        <d v="2022-01-24T00:00:00"/>
        <d v="2023-09-17T00:00:00"/>
        <d v="2023-02-02T00:00:00"/>
        <d v="2023-07-08T00:00:00"/>
        <d v="2021-03-16T00:00:00"/>
        <d v="2022-03-11T00:00:00"/>
        <d v="2021-04-13T00:00:00"/>
        <d v="2023-01-08T00:00:00"/>
        <d v="2021-04-08T00:00:00"/>
        <d v="2023-05-09T00:00:00"/>
        <d v="2022-03-23T00:00:00"/>
        <d v="2021-09-06T00:00:00"/>
        <d v="2021-06-15T00:00:00"/>
        <d v="2023-09-11T00:00:00"/>
        <d v="2022-06-26T00:00:00"/>
        <d v="2021-03-22T00:00:00"/>
        <d v="2021-05-13T00:00:00"/>
        <d v="2023-03-08T00:00:00"/>
        <d v="2023-06-19T00:00:00"/>
        <d v="2021-05-18T00:00:00"/>
        <d v="2021-07-03T00:00:00"/>
        <d v="2021-03-10T00:00:00"/>
        <d v="2022-06-30T00:00:00"/>
        <d v="2021-02-22T00:00:00"/>
        <d v="2021-07-24T00:00:00"/>
        <d v="2021-05-06T00:00:00"/>
        <d v="2021-02-12T00:00:00"/>
        <d v="2021-04-21T00:00:00"/>
        <d v="2023-04-28T00:00:00"/>
        <d v="2021-12-26T00:00:00"/>
        <d v="2021-10-08T00:00:00"/>
        <d v="2022-10-29T00:00:00"/>
        <d v="2021-04-03T00:00:00"/>
        <d v="2021-03-02T00:00:00"/>
        <d v="2023-12-11T00:00:00"/>
        <d v="2022-08-27T00:00:00"/>
        <d v="2022-06-18T00:00:00"/>
        <d v="2022-10-07T00:00:00"/>
        <d v="2021-08-21T00:00:00"/>
        <d v="2022-06-08T00:00:00"/>
        <d v="2023-03-05T00:00:00"/>
        <d v="2021-08-02T00:00:00"/>
        <d v="2021-08-27T00:00:00"/>
        <d v="2023-12-16T00:00:00"/>
        <d v="2021-12-16T00:00:00"/>
        <d v="2021-04-17T00:00:00"/>
        <d v="2021-02-17T00:00:00"/>
        <d v="2021-12-03T00:00:00"/>
        <d v="2023-11-16T00:00:00"/>
        <d v="2023-03-15T00:00:00"/>
        <d v="2021-01-08T00:00:00"/>
        <d v="2022-09-17T00:00:00"/>
        <d v="2022-12-20T00:00:00"/>
        <d v="2021-10-30T00:00:00"/>
        <d v="2022-10-01T00:00:00"/>
        <d v="2021-02-25T00:00:00"/>
        <d v="2022-06-10T00:00:00"/>
        <d v="2021-01-28T00:00:00"/>
        <d v="2021-03-19T00:00:00"/>
        <d v="2021-12-31T00:00:00"/>
        <d v="2022-10-28T00:00:00"/>
        <d v="2023-10-28T00:00:00"/>
        <d v="2023-10-24T00:00:00"/>
        <d v="2021-12-29T00:00:00"/>
        <d v="2021-03-27T00:00:00"/>
        <d v="2023-03-23T00:00:00"/>
        <d v="2022-06-21T00:00:00"/>
        <d v="2021-05-25T00:00:00"/>
        <d v="2021-01-25T00:00:00"/>
        <d v="2021-03-08T00:00:00"/>
        <d v="2021-08-16T00:00:00"/>
        <d v="2022-09-15T00:00:00"/>
        <d v="2022-08-18T00:00:00"/>
        <d v="2022-03-01T00:00:00"/>
        <d v="2022-11-23T00:00:00"/>
        <d v="2021-11-11T00:00:00"/>
        <d v="2022-10-24T00:00:00"/>
        <d v="2023-04-23T00:00:00"/>
        <d v="2023-06-18T00:00:00"/>
        <d v="2021-08-31T00:00:00"/>
        <d v="2022-06-27T00:00:00"/>
        <d v="2023-11-30T00:00:00"/>
        <d v="2021-08-17T00:00:00"/>
        <d v="2022-07-02T00:00:00"/>
        <d v="2021-01-06T00:00:00"/>
        <d v="2022-04-13T00:00:00"/>
        <d v="2021-01-04T00:00:00"/>
        <d v="2022-05-19T00:00:00"/>
        <d v="2023-08-05T00:00:00"/>
        <d v="2022-07-28T00:00:00"/>
        <d v="2021-07-13T00:00:00"/>
        <d v="2023-04-27T00:00:00"/>
        <d v="2022-12-16T00:00:00"/>
        <d v="2021-11-22T00:00:00"/>
        <d v="2022-12-25T00:00:00"/>
        <d v="2021-08-13T00:00:00"/>
        <d v="2022-06-16T00:00:00"/>
        <d v="2021-05-20T00:00:00"/>
        <d v="2022-07-13T00:00:00"/>
        <d v="2021-11-16T00:00:00"/>
        <d v="2021-05-19T00:00:00"/>
        <d v="2023-04-25T00:00:00"/>
        <d v="2021-09-16T00:00:00"/>
        <d v="2023-06-21T00:00:00"/>
        <d v="2021-09-18T00:00:00"/>
        <d v="2021-06-21T00:00:00"/>
        <d v="2021-01-13T00:00:00"/>
        <d v="2021-11-25T00:00:00"/>
        <d v="2023-06-30T00:00:00"/>
        <d v="2021-11-30T00:00:00"/>
        <d v="2022-01-11T00:00:00"/>
        <d v="2023-07-07T00:00:00"/>
        <d v="2022-12-26T00:00:00"/>
        <d v="2021-05-12T00:00:00"/>
        <d v="2021-03-30T00:00:00"/>
        <d v="2022-09-08T00:00:00"/>
        <d v="2023-03-11T00:00:00"/>
        <d v="2022-02-26T00:00:00"/>
        <d v="2021-05-23T00:00:00"/>
        <d v="2022-10-27T00:00:00"/>
        <d v="2023-10-04T00:00:00"/>
        <d v="2023-04-01T00:00:00"/>
        <d v="2022-08-02T00:00:00"/>
        <d v="2022-01-26T00:00:00"/>
        <d v="2022-07-08T00:00:00"/>
        <d v="2022-04-23T00:00:00"/>
        <d v="2023-07-12T00:00:00"/>
        <d v="2022-02-24T00:00:00"/>
        <d v="2021-06-06T00:00:00"/>
        <d v="2022-07-04T00:00:00"/>
        <d v="2023-08-09T00:00:00"/>
        <d v="2021-07-15T00:00:00"/>
        <d v="2022-08-21T00:00:00"/>
        <d v="2022-06-01T00:00:00"/>
        <d v="2023-05-15T00:00:00"/>
        <d v="2021-08-04T00:00:00"/>
        <d v="2021-11-20T00:00:00"/>
        <d v="2023-04-24T00:00:00"/>
        <d v="2021-05-10T00:00:00"/>
        <d v="2022-09-19T00:00:00"/>
        <d v="2023-01-25T00:00:00"/>
        <d v="2021-01-11T00:00:00"/>
        <d v="2022-12-13T00:00:00"/>
        <d v="2021-05-21T00:00:00"/>
        <d v="2023-09-12T00:00:00"/>
        <d v="2022-11-14T00:00:00"/>
        <d v="2021-12-22T00:00:00"/>
        <d v="2023-10-05T00:00:00"/>
        <d v="2023-06-07T00:00:00"/>
        <d v="2021-05-07T00:00:00"/>
        <d v="2023-10-11T00:00:00"/>
        <d v="2023-11-19T00:00:00"/>
        <d v="2023-02-18T00:00:00"/>
        <d v="2023-03-25T00:00:00"/>
        <d v="2023-09-10T00:00:00"/>
        <d v="2023-04-05T00:00:00"/>
        <d v="2022-07-21T00:00:00"/>
        <d v="2022-01-06T00:00:00"/>
        <d v="2022-10-23T00:00:00"/>
        <d v="2023-08-27T00:00:00"/>
        <d v="2021-11-09T00:00:00"/>
        <d v="2023-07-26T00:00:00"/>
        <d v="2021-09-01T00:00:00"/>
        <d v="2021-12-13T00:00:00"/>
        <d v="2023-07-28T00:00:00"/>
        <d v="2021-06-05T00:00:00"/>
        <d v="2023-08-25T00:00:00"/>
        <d v="2021-05-28T00:00:00"/>
        <d v="2021-12-08T00:00:00"/>
        <d v="2022-07-15T00:00:00"/>
        <d v="2021-11-23T00:00:00"/>
        <d v="2021-08-03T00:00:00"/>
        <d v="2022-12-24T00:00:00"/>
        <d v="2021-02-01T00:00:00"/>
        <d v="2022-11-01T00:00:00"/>
        <d v="2022-03-05T00:00:00"/>
        <d v="2021-10-13T00:00:00"/>
        <d v="2022-08-13T00:00:00"/>
        <d v="2023-10-07T00:00:00"/>
        <d v="2023-09-15T00:00:00"/>
        <d v="2021-04-24T00:00:00"/>
        <d v="2021-02-24T00:00:00"/>
        <d v="2023-02-17T00:00:00"/>
        <d v="2021-03-28T00:00:00"/>
        <d v="2023-04-13T00:00:00"/>
        <d v="2022-03-19T00:00:00"/>
        <d v="2021-11-24T00:00:00"/>
        <d v="2022-05-06T00:00:00"/>
        <d v="2022-03-28T00:00:00"/>
        <d v="2021-06-14T00:00:00"/>
        <d v="2021-07-01T00:00:00"/>
        <d v="2022-04-14T00:00:00"/>
        <d v="2023-06-29T00:00:00"/>
        <d v="2023-08-02T00:00:00"/>
        <d v="2021-01-07T00:00:00"/>
        <d v="2021-11-26T00:00:00"/>
        <d v="2023-02-14T00:00:00"/>
        <d v="2023-07-04T00:00:00"/>
        <d v="2021-03-23T00:00:00"/>
        <d v="2022-05-29T00:00:00"/>
        <d v="2023-01-16T00:00:00"/>
        <d v="2023-10-20T00:00:00"/>
        <d v="2022-12-08T00:00:00"/>
        <d v="2023-06-24T00:00:00"/>
        <d v="2023-07-29T00:00:00"/>
        <d v="2022-09-24T00:00:00"/>
        <d v="2021-02-28T00:00:00"/>
        <d v="2022-12-22T00:00:00"/>
        <d v="2022-07-06T00:00:00"/>
        <d v="2021-08-25T00:00:00"/>
        <d v="2022-05-09T00:00:00"/>
        <d v="2022-09-02T00:00:00"/>
        <d v="2021-02-11T00:00:00"/>
      </sharedItems>
      <fieldGroup par="28"/>
    </cacheField>
    <cacheField name="Borrower ID" numFmtId="0">
      <sharedItems/>
    </cacheField>
    <cacheField name="State" numFmtId="0">
      <sharedItems count="10">
        <s v="OH"/>
        <s v="PA"/>
        <s v="NY"/>
        <s v="MI"/>
        <s v="NC"/>
        <s v="GA"/>
        <s v="IL"/>
        <s v="CA"/>
        <s v="FL"/>
        <s v="TX"/>
      </sharedItems>
    </cacheField>
    <cacheField name="Loan Amount" numFmtId="0">
      <sharedItems containsSemiMixedTypes="0" containsString="0" containsNumber="1" containsInteger="1" minValue="1060" maxValue="39908"/>
    </cacheField>
    <cacheField name="Interest Rate" numFmtId="0">
      <sharedItems containsSemiMixedTypes="0" containsString="0" containsNumber="1" minValue="5" maxValue="25"/>
    </cacheField>
    <cacheField name="Term (Months)" numFmtId="0">
      <sharedItems containsSemiMixedTypes="0" containsString="0" containsNumber="1" containsInteger="1" minValue="36" maxValue="60"/>
    </cacheField>
    <cacheField name="Loan Status" numFmtId="0">
      <sharedItems count="5">
        <s v="FULLY PAID"/>
        <s v="CURRENT"/>
        <s v="LATE (31-120 DAYS)"/>
        <s v="CHARGED OFF"/>
        <s v="IN GRACE PERIOD"/>
      </sharedItems>
    </cacheField>
    <cacheField name="Loan Grade" numFmtId="0">
      <sharedItems count="7">
        <s v="A"/>
        <s v="D"/>
        <s v="F"/>
        <s v="G"/>
        <s v="B"/>
        <s v="C"/>
        <s v="E"/>
      </sharedItems>
    </cacheField>
    <cacheField name="Loan Intent" numFmtId="0">
      <sharedItems count="5">
        <s v="SMALL BUSINESS"/>
        <s v="CREDIT CARD"/>
        <s v="HOME IMPROVEMENT"/>
        <s v="OTHER"/>
        <s v="DEBT CONSOLIDATION"/>
      </sharedItems>
    </cacheField>
    <cacheField name="Annual Income" numFmtId="0">
      <sharedItems containsSemiMixedTypes="0" containsString="0" containsNumber="1" containsInteger="1" minValue="30203" maxValue="149277"/>
    </cacheField>
    <cacheField name="Home Ownership" numFmtId="0">
      <sharedItems/>
    </cacheField>
    <cacheField name="DTI" numFmtId="0">
      <sharedItems containsSemiMixedTypes="0" containsString="0" containsNumber="1" minValue="0.1" maxValue="0.5"/>
    </cacheField>
    <cacheField name="LTV" numFmtId="0">
      <sharedItems containsSemiMixedTypes="0" containsString="0" containsNumber="1" minValue="0.5" maxValue="0.95"/>
    </cacheField>
    <cacheField name="Total Payments Received" numFmtId="0">
      <sharedItems containsSemiMixedTypes="0" containsString="0" containsNumber="1" minValue="0" maxValue="49533.55"/>
    </cacheField>
    <cacheField name="Recovery Amount" numFmtId="0">
      <sharedItems containsSemiMixedTypes="0" containsString="0" containsNumber="1" minValue="0" maxValue="17357.919999999998"/>
    </cacheField>
    <cacheField name="Months on book" numFmtId="0">
      <sharedItems containsSemiMixedTypes="0" containsString="0" containsNumber="1" containsInteger="1" minValue="26" maxValue="62"/>
    </cacheField>
    <cacheField name="Interest earned" numFmtId="0">
      <sharedItems containsSemiMixedTypes="0" containsString="0" containsNumber="1" minValue="284.03100000000001" maxValue="48417.75"/>
    </cacheField>
    <cacheField name="Total expected amt" numFmtId="0">
      <sharedItems containsSemiMixedTypes="0" containsString="0" containsNumber="1" minValue="1452.587" maxValue="88267.75"/>
    </cacheField>
    <cacheField name="Profit/Loss" numFmtId="0">
      <sharedItems containsSemiMixedTypes="0" containsString="0" containsNumber="1" minValue="-38873" maxValue="9683.5500000000029"/>
    </cacheField>
    <cacheField name="Default flag" numFmtId="0">
      <sharedItems containsSemiMixedTypes="0" containsString="0" containsNumber="1" containsInteger="1" minValue="0" maxValue="1"/>
    </cacheField>
    <cacheField name="Loan Status2" numFmtId="0">
      <sharedItems count="3">
        <s v="GOOD"/>
        <s v="ACTIVE"/>
        <s v="BAD"/>
      </sharedItems>
    </cacheField>
    <cacheField name="Risk Level" numFmtId="0">
      <sharedItems/>
    </cacheField>
    <cacheField name="Monthly EMI" numFmtId="0">
      <sharedItems containsSemiMixedTypes="0" containsString="0" containsNumber="1" minValue="788.97569999999996" maxValue="80696.25"/>
    </cacheField>
    <cacheField name="Profit Margin %" numFmtId="0">
      <sharedItems containsSemiMixedTypes="0" containsString="0" containsNumber="1" minValue="-1" maxValue="0.25"/>
    </cacheField>
    <cacheField name="High risk borrower flag" numFmtId="0">
      <sharedItems/>
    </cacheField>
    <cacheField name="Months (Issue Date)" numFmtId="0" databaseField="0">
      <fieldGroup base="1">
        <rangePr groupBy="months" startDate="2021-01-01T00:00:00" endDate="2023-12-31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3"/>
        </groupItems>
      </fieldGroup>
    </cacheField>
    <cacheField name="Quarters (Issue Date)" numFmtId="0" databaseField="0">
      <fieldGroup base="1">
        <rangePr groupBy="quarters" startDate="2021-01-01T00:00:00" endDate="2023-12-31T00:00:00"/>
        <groupItems count="6">
          <s v="&lt;01-01-2021"/>
          <s v="Qtr1"/>
          <s v="Qtr2"/>
          <s v="Qtr3"/>
          <s v="Qtr4"/>
          <s v="&gt;31-12-2023"/>
        </groupItems>
      </fieldGroup>
    </cacheField>
    <cacheField name="Years (Issue Date)" numFmtId="0" databaseField="0">
      <fieldGroup base="1">
        <rangePr groupBy="years" startDate="2021-01-01T00:00:00" endDate="2023-12-31T00:00:00"/>
        <groupItems count="5">
          <s v="&lt;01-01-2021"/>
          <s v="2021"/>
          <s v="2022"/>
          <s v="2023"/>
          <s v="&gt;31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L0001"/>
    <x v="0"/>
    <s v="B0001"/>
    <x v="0"/>
    <n v="23180"/>
    <n v="10.1"/>
    <n v="60"/>
    <x v="0"/>
    <x v="0"/>
    <x v="0"/>
    <n v="41676"/>
    <s v="OWN"/>
    <n v="0.24"/>
    <n v="0.82"/>
    <n v="25521.18"/>
    <n v="0"/>
    <n v="34"/>
    <n v="11705.9"/>
    <n v="34885.9"/>
    <n v="2341.1800000000003"/>
    <n v="0"/>
    <x v="0"/>
    <s v="LOW"/>
    <n v="19509.833299999998"/>
    <n v="0.10100000000000001"/>
    <s v="HIGH RISK"/>
  </r>
  <r>
    <s v="L0002"/>
    <x v="1"/>
    <s v="B0002"/>
    <x v="1"/>
    <n v="32896"/>
    <n v="20.6"/>
    <n v="36"/>
    <x v="1"/>
    <x v="1"/>
    <x v="1"/>
    <n v="34434"/>
    <s v="MORTGAGE"/>
    <n v="0.47"/>
    <n v="0.59"/>
    <n v="9222.59"/>
    <n v="0"/>
    <n v="28"/>
    <n v="20329.728000000003"/>
    <n v="53225.728000000003"/>
    <n v="-23673.41"/>
    <n v="0"/>
    <x v="1"/>
    <s v="HIGH"/>
    <n v="56471.466699999997"/>
    <n v="-0.71964402966926067"/>
    <s v="HIGH RISK"/>
  </r>
  <r>
    <s v="L0003"/>
    <x v="2"/>
    <s v="B0003"/>
    <x v="1"/>
    <n v="13875"/>
    <n v="21.5"/>
    <n v="36"/>
    <x v="1"/>
    <x v="0"/>
    <x v="2"/>
    <n v="79810"/>
    <s v="RENT"/>
    <n v="0.33"/>
    <n v="0.7"/>
    <n v="2689.37"/>
    <n v="0"/>
    <n v="58"/>
    <n v="8949.375"/>
    <n v="22824.375"/>
    <n v="-11185.630000000001"/>
    <n v="0"/>
    <x v="1"/>
    <s v="LOW"/>
    <n v="24859.375"/>
    <n v="-0.80617153153153165"/>
    <s v="NORMAL"/>
  </r>
  <r>
    <s v="L0004"/>
    <x v="3"/>
    <s v="B0004"/>
    <x v="0"/>
    <n v="2622"/>
    <n v="14.9"/>
    <n v="60"/>
    <x v="0"/>
    <x v="2"/>
    <x v="3"/>
    <n v="133361"/>
    <s v="OWN"/>
    <n v="0.17"/>
    <n v="0.87"/>
    <n v="3012.68"/>
    <n v="0"/>
    <n v="47"/>
    <n v="1953.3900000000003"/>
    <n v="4575.3900000000003"/>
    <n v="390.67999999999984"/>
    <n v="0"/>
    <x v="0"/>
    <s v="VERY HIGH"/>
    <n v="3255.65"/>
    <n v="0.14900076277650642"/>
    <s v="HIGH RISK"/>
  </r>
  <r>
    <s v="L0005"/>
    <x v="4"/>
    <s v="B0005"/>
    <x v="2"/>
    <n v="17725"/>
    <n v="12.7"/>
    <n v="36"/>
    <x v="0"/>
    <x v="3"/>
    <x v="3"/>
    <n v="148696"/>
    <s v="OWN"/>
    <n v="0.16"/>
    <n v="0.79"/>
    <n v="19976.080000000002"/>
    <n v="0"/>
    <n v="51"/>
    <n v="6753.2249999999995"/>
    <n v="24478.224999999999"/>
    <n v="2251.0800000000017"/>
    <n v="0"/>
    <x v="0"/>
    <s v="VERY HIGH"/>
    <n v="18758.958299999998"/>
    <n v="0.12700028208744721"/>
    <s v="NORMAL"/>
  </r>
  <r>
    <s v="L0006"/>
    <x v="5"/>
    <s v="B0006"/>
    <x v="2"/>
    <n v="16646"/>
    <n v="14"/>
    <n v="36"/>
    <x v="0"/>
    <x v="0"/>
    <x v="3"/>
    <n v="124636"/>
    <s v="RENT"/>
    <n v="0.33"/>
    <n v="0.69"/>
    <n v="18976.439999999999"/>
    <n v="0"/>
    <n v="59"/>
    <n v="6991.32"/>
    <n v="23637.32"/>
    <n v="2330.4399999999987"/>
    <n v="0"/>
    <x v="0"/>
    <s v="LOW"/>
    <n v="19420.333299999998"/>
    <n v="0.13999999999999993"/>
    <s v="NORMAL"/>
  </r>
  <r>
    <s v="L0007"/>
    <x v="6"/>
    <s v="B0007"/>
    <x v="3"/>
    <n v="18029"/>
    <n v="9.5"/>
    <n v="60"/>
    <x v="0"/>
    <x v="1"/>
    <x v="4"/>
    <n v="34994"/>
    <s v="OWN"/>
    <n v="0.4"/>
    <n v="0.8"/>
    <n v="19741.759999999998"/>
    <n v="0"/>
    <n v="33"/>
    <n v="8563.7749999999996"/>
    <n v="26592.775000000001"/>
    <n v="1712.7599999999984"/>
    <n v="0"/>
    <x v="0"/>
    <s v="HIGH"/>
    <n v="14272.9583"/>
    <n v="9.5000277330966693E-2"/>
    <s v="NORMAL"/>
  </r>
  <r>
    <s v="L0008"/>
    <x v="7"/>
    <s v="B0008"/>
    <x v="4"/>
    <n v="30402"/>
    <n v="22.8"/>
    <n v="36"/>
    <x v="1"/>
    <x v="0"/>
    <x v="0"/>
    <n v="34234"/>
    <s v="RENT"/>
    <n v="0.41"/>
    <n v="0.55000000000000004"/>
    <n v="3813.31"/>
    <n v="0"/>
    <n v="58"/>
    <n v="20794.968000000001"/>
    <n v="51196.968000000001"/>
    <n v="-26588.69"/>
    <n v="0"/>
    <x v="1"/>
    <s v="LOW"/>
    <n v="57763.8"/>
    <n v="-0.87457042299848686"/>
    <s v="HIGH RISK"/>
  </r>
  <r>
    <s v="L0009"/>
    <x v="8"/>
    <s v="B0009"/>
    <x v="5"/>
    <n v="5263"/>
    <n v="14"/>
    <n v="36"/>
    <x v="1"/>
    <x v="1"/>
    <x v="2"/>
    <n v="99300"/>
    <s v="RENT"/>
    <n v="0.21"/>
    <n v="0.68"/>
    <n v="885.74"/>
    <n v="0"/>
    <n v="37"/>
    <n v="2210.46"/>
    <n v="7473.46"/>
    <n v="-4377.26"/>
    <n v="0"/>
    <x v="1"/>
    <s v="HIGH"/>
    <n v="6140.1666999999998"/>
    <n v="-0.83170435113053398"/>
    <s v="NORMAL"/>
  </r>
  <r>
    <s v="L0010"/>
    <x v="9"/>
    <s v="B0010"/>
    <x v="6"/>
    <n v="31987"/>
    <n v="22.6"/>
    <n v="60"/>
    <x v="1"/>
    <x v="4"/>
    <x v="0"/>
    <n v="73949"/>
    <s v="RENT"/>
    <n v="0.18"/>
    <n v="0.86"/>
    <n v="2113.92"/>
    <n v="0"/>
    <n v="51"/>
    <n v="36145.310000000005"/>
    <n v="68132.31"/>
    <n v="-29873.08"/>
    <n v="0"/>
    <x v="1"/>
    <s v="LOW"/>
    <n v="60242.183299999997"/>
    <n v="-0.93391315221808868"/>
    <s v="HIGH RISK"/>
  </r>
  <r>
    <s v="L0011"/>
    <x v="10"/>
    <s v="B0011"/>
    <x v="1"/>
    <n v="9646"/>
    <n v="7.1"/>
    <n v="60"/>
    <x v="2"/>
    <x v="1"/>
    <x v="4"/>
    <n v="67405"/>
    <s v="RENT"/>
    <n v="0.11"/>
    <n v="0.6"/>
    <n v="0"/>
    <n v="0"/>
    <n v="36"/>
    <n v="3424.3299999999995"/>
    <n v="13070.33"/>
    <n v="-9646"/>
    <n v="0"/>
    <x v="2"/>
    <s v="HIGH"/>
    <n v="5707.2166999999999"/>
    <n v="-1"/>
    <s v="NORMAL"/>
  </r>
  <r>
    <s v="L0012"/>
    <x v="11"/>
    <s v="B0012"/>
    <x v="3"/>
    <n v="28529"/>
    <n v="24.8"/>
    <n v="60"/>
    <x v="0"/>
    <x v="4"/>
    <x v="2"/>
    <n v="64872"/>
    <s v="RENT"/>
    <n v="0.37"/>
    <n v="0.57999999999999996"/>
    <n v="35604.19"/>
    <n v="0"/>
    <n v="49"/>
    <n v="35375.960000000006"/>
    <n v="63904.960000000006"/>
    <n v="7075.1900000000023"/>
    <n v="0"/>
    <x v="0"/>
    <s v="LOW"/>
    <n v="58959.933299999997"/>
    <n v="0.24799992989589548"/>
    <s v="NORMAL"/>
  </r>
  <r>
    <s v="L0013"/>
    <x v="12"/>
    <s v="B0013"/>
    <x v="7"/>
    <n v="12664"/>
    <n v="13.9"/>
    <n v="36"/>
    <x v="0"/>
    <x v="0"/>
    <x v="2"/>
    <n v="72215"/>
    <s v="MORTGAGE"/>
    <n v="0.13"/>
    <n v="0.93"/>
    <n v="14424.3"/>
    <n v="0"/>
    <n v="31"/>
    <n v="5280.8879999999999"/>
    <n v="17944.887999999999"/>
    <n v="1760.2999999999993"/>
    <n v="0"/>
    <x v="0"/>
    <s v="LOW"/>
    <n v="14669.1333"/>
    <n v="0.13900031585596961"/>
    <s v="HIGH RISK"/>
  </r>
  <r>
    <s v="L0014"/>
    <x v="13"/>
    <s v="B0014"/>
    <x v="3"/>
    <n v="36737"/>
    <n v="6"/>
    <n v="60"/>
    <x v="0"/>
    <x v="4"/>
    <x v="1"/>
    <n v="53185"/>
    <s v="RENT"/>
    <n v="0.27"/>
    <n v="0.59"/>
    <n v="38941.22"/>
    <n v="0"/>
    <n v="53"/>
    <n v="11021.099999999999"/>
    <n v="47758.1"/>
    <n v="2204.2200000000012"/>
    <n v="0"/>
    <x v="0"/>
    <s v="LOW"/>
    <n v="18368.5"/>
    <n v="6.0000000000000032E-2"/>
    <s v="NORMAL"/>
  </r>
  <r>
    <s v="L0015"/>
    <x v="14"/>
    <s v="B0015"/>
    <x v="7"/>
    <n v="36796"/>
    <n v="5.8"/>
    <n v="60"/>
    <x v="1"/>
    <x v="0"/>
    <x v="0"/>
    <n v="73442"/>
    <s v="MORTGAGE"/>
    <n v="0.34"/>
    <n v="0.62"/>
    <n v="13503.79"/>
    <n v="0"/>
    <n v="47"/>
    <n v="10670.839999999998"/>
    <n v="47466.84"/>
    <n v="-23292.21"/>
    <n v="0"/>
    <x v="1"/>
    <s v="LOW"/>
    <n v="17784.7333"/>
    <n v="-0.63300929448853138"/>
    <s v="NORMAL"/>
  </r>
  <r>
    <s v="L0016"/>
    <x v="15"/>
    <s v="B0016"/>
    <x v="8"/>
    <n v="25027"/>
    <n v="19.899999999999999"/>
    <n v="36"/>
    <x v="0"/>
    <x v="5"/>
    <x v="0"/>
    <n v="81759"/>
    <s v="RENT"/>
    <n v="0.47"/>
    <n v="0.94"/>
    <n v="30007.37"/>
    <n v="0"/>
    <n v="61"/>
    <n v="14941.118999999999"/>
    <n v="39968.118999999999"/>
    <n v="4980.369999999999"/>
    <n v="0"/>
    <x v="0"/>
    <s v="MEDIUM"/>
    <n v="41503.1083"/>
    <n v="0.19899988012946015"/>
    <s v="HIGH RISK"/>
  </r>
  <r>
    <s v="L0017"/>
    <x v="16"/>
    <s v="B0017"/>
    <x v="9"/>
    <n v="30373"/>
    <n v="18.2"/>
    <n v="60"/>
    <x v="1"/>
    <x v="0"/>
    <x v="1"/>
    <n v="71153"/>
    <s v="OWN"/>
    <n v="0.22"/>
    <n v="0.83"/>
    <n v="8244.83"/>
    <n v="0"/>
    <n v="54"/>
    <n v="27639.429999999997"/>
    <n v="58012.429999999993"/>
    <n v="-22128.17"/>
    <n v="0"/>
    <x v="1"/>
    <s v="LOW"/>
    <n v="46065.716699999997"/>
    <n v="-0.72854739406709901"/>
    <s v="HIGH RISK"/>
  </r>
  <r>
    <s v="L0018"/>
    <x v="17"/>
    <s v="B0018"/>
    <x v="0"/>
    <n v="37397"/>
    <n v="21"/>
    <n v="60"/>
    <x v="0"/>
    <x v="5"/>
    <x v="3"/>
    <n v="107535"/>
    <s v="MORTGAGE"/>
    <n v="0.2"/>
    <n v="0.81"/>
    <n v="45250.37"/>
    <n v="0"/>
    <n v="38"/>
    <n v="39266.85"/>
    <n v="76663.850000000006"/>
    <n v="7853.3700000000026"/>
    <n v="0"/>
    <x v="0"/>
    <s v="MEDIUM"/>
    <n v="65444.75"/>
    <n v="0.21000000000000008"/>
    <s v="HIGH RISK"/>
  </r>
  <r>
    <s v="L0019"/>
    <x v="18"/>
    <s v="B0019"/>
    <x v="9"/>
    <n v="21609"/>
    <n v="7.1"/>
    <n v="60"/>
    <x v="3"/>
    <x v="2"/>
    <x v="4"/>
    <n v="132023"/>
    <s v="OWN"/>
    <n v="0.36"/>
    <n v="0.88"/>
    <n v="2771.85"/>
    <n v="10111.4"/>
    <n v="34"/>
    <n v="7671.1949999999997"/>
    <n v="29280.195"/>
    <n v="-8725.75"/>
    <n v="1"/>
    <x v="2"/>
    <s v="VERY HIGH"/>
    <n v="12785.325000000001"/>
    <n v="-0.4038016567171086"/>
    <s v="HIGH RISK"/>
  </r>
  <r>
    <s v="L0020"/>
    <x v="19"/>
    <s v="B0020"/>
    <x v="3"/>
    <n v="36835"/>
    <n v="5.7"/>
    <n v="60"/>
    <x v="3"/>
    <x v="6"/>
    <x v="0"/>
    <n v="32581"/>
    <s v="RENT"/>
    <n v="0.35"/>
    <n v="0.55000000000000004"/>
    <n v="5580.8"/>
    <n v="9880.57"/>
    <n v="46"/>
    <n v="10497.974999999999"/>
    <n v="47332.974999999999"/>
    <n v="-21373.63"/>
    <n v="1"/>
    <x v="2"/>
    <s v="VERY HIGH"/>
    <n v="17496.625"/>
    <n v="-0.58025329170625761"/>
    <s v="NORMAL"/>
  </r>
  <r>
    <s v="L0021"/>
    <x v="20"/>
    <s v="B0021"/>
    <x v="9"/>
    <n v="39709"/>
    <n v="15.2"/>
    <n v="36"/>
    <x v="0"/>
    <x v="2"/>
    <x v="1"/>
    <n v="81717"/>
    <s v="RENT"/>
    <n v="0.23"/>
    <n v="0.82"/>
    <n v="45744.77"/>
    <n v="0"/>
    <n v="27"/>
    <n v="18107.303999999996"/>
    <n v="57816.303999999996"/>
    <n v="6035.7699999999968"/>
    <n v="0"/>
    <x v="0"/>
    <s v="VERY HIGH"/>
    <n v="50298.066700000003"/>
    <n v="0.15200005036641559"/>
    <s v="HIGH RISK"/>
  </r>
  <r>
    <s v="L0022"/>
    <x v="21"/>
    <s v="B0022"/>
    <x v="6"/>
    <n v="20250"/>
    <n v="12.8"/>
    <n v="60"/>
    <x v="0"/>
    <x v="2"/>
    <x v="2"/>
    <n v="32763"/>
    <s v="OWN"/>
    <n v="0.47"/>
    <n v="0.73"/>
    <n v="22842"/>
    <n v="0"/>
    <n v="45"/>
    <n v="12960"/>
    <n v="33210"/>
    <n v="2592"/>
    <n v="0"/>
    <x v="0"/>
    <s v="VERY HIGH"/>
    <n v="21600"/>
    <n v="0.128"/>
    <s v="HIGH RISK"/>
  </r>
  <r>
    <s v="L0023"/>
    <x v="22"/>
    <s v="B0023"/>
    <x v="8"/>
    <n v="22172"/>
    <n v="14.2"/>
    <n v="60"/>
    <x v="1"/>
    <x v="0"/>
    <x v="1"/>
    <n v="122910"/>
    <s v="RENT"/>
    <n v="0.44"/>
    <n v="0.87"/>
    <n v="2131.63"/>
    <n v="0"/>
    <n v="39"/>
    <n v="15742.119999999997"/>
    <n v="37914.119999999995"/>
    <n v="-20040.37"/>
    <n v="0"/>
    <x v="1"/>
    <s v="LOW"/>
    <n v="26236.866699999999"/>
    <n v="-0.90385937218112933"/>
    <s v="HIGH RISK"/>
  </r>
  <r>
    <s v="L0024"/>
    <x v="23"/>
    <s v="B0024"/>
    <x v="5"/>
    <n v="12555"/>
    <n v="24.8"/>
    <n v="36"/>
    <x v="0"/>
    <x v="0"/>
    <x v="3"/>
    <n v="85480"/>
    <s v="OWN"/>
    <n v="0.19"/>
    <n v="0.73"/>
    <n v="15668.64"/>
    <n v="0"/>
    <n v="30"/>
    <n v="9340.92"/>
    <n v="21895.919999999998"/>
    <n v="3113.6399999999994"/>
    <n v="0"/>
    <x v="0"/>
    <s v="LOW"/>
    <n v="25947"/>
    <n v="0.24799999999999994"/>
    <s v="NORMAL"/>
  </r>
  <r>
    <s v="L0025"/>
    <x v="24"/>
    <s v="B0025"/>
    <x v="8"/>
    <n v="22874"/>
    <n v="24.4"/>
    <n v="60"/>
    <x v="0"/>
    <x v="5"/>
    <x v="4"/>
    <n v="68759"/>
    <s v="RENT"/>
    <n v="0.2"/>
    <n v="0.78"/>
    <n v="28455.26"/>
    <n v="0"/>
    <n v="56"/>
    <n v="27906.28"/>
    <n v="50780.28"/>
    <n v="5581.2599999999984"/>
    <n v="0"/>
    <x v="0"/>
    <s v="MEDIUM"/>
    <n v="46510.466699999997"/>
    <n v="0.24400017487103254"/>
    <s v="NORMAL"/>
  </r>
  <r>
    <s v="L0026"/>
    <x v="25"/>
    <s v="B0026"/>
    <x v="1"/>
    <n v="14081"/>
    <n v="23.8"/>
    <n v="36"/>
    <x v="1"/>
    <x v="2"/>
    <x v="3"/>
    <n v="106067"/>
    <s v="RENT"/>
    <n v="0.3"/>
    <n v="0.71"/>
    <n v="4585.71"/>
    <n v="0"/>
    <n v="31"/>
    <n v="10053.833999999999"/>
    <n v="24134.833999999999"/>
    <n v="-9495.2900000000009"/>
    <n v="0"/>
    <x v="1"/>
    <s v="VERY HIGH"/>
    <n v="27927.316699999999"/>
    <n v="-0.67433349904126139"/>
    <s v="NORMAL"/>
  </r>
  <r>
    <s v="L0027"/>
    <x v="26"/>
    <s v="B0027"/>
    <x v="6"/>
    <n v="25063"/>
    <n v="20.7"/>
    <n v="36"/>
    <x v="0"/>
    <x v="3"/>
    <x v="2"/>
    <n v="148094"/>
    <s v="MORTGAGE"/>
    <n v="0.41"/>
    <n v="0.72"/>
    <n v="30251.040000000001"/>
    <n v="0"/>
    <n v="40"/>
    <n v="15564.123"/>
    <n v="40627.123"/>
    <n v="5188.0400000000009"/>
    <n v="0"/>
    <x v="0"/>
    <s v="VERY HIGH"/>
    <n v="43233.675000000003"/>
    <n v="0.20699996010054666"/>
    <s v="HIGH RISK"/>
  </r>
  <r>
    <s v="L0028"/>
    <x v="25"/>
    <s v="B0028"/>
    <x v="9"/>
    <n v="7819"/>
    <n v="12.1"/>
    <n v="36"/>
    <x v="1"/>
    <x v="0"/>
    <x v="2"/>
    <n v="55307"/>
    <s v="OWN"/>
    <n v="0.12"/>
    <n v="0.85"/>
    <n v="722.43"/>
    <n v="0"/>
    <n v="31"/>
    <n v="2838.297"/>
    <n v="10657.297"/>
    <n v="-7096.57"/>
    <n v="0"/>
    <x v="1"/>
    <s v="LOW"/>
    <n v="7884.1583000000001"/>
    <n v="-0.90760583194781941"/>
    <s v="HIGH RISK"/>
  </r>
  <r>
    <s v="L0029"/>
    <x v="27"/>
    <s v="B0029"/>
    <x v="5"/>
    <n v="26712"/>
    <n v="13.2"/>
    <n v="60"/>
    <x v="1"/>
    <x v="4"/>
    <x v="2"/>
    <n v="126371"/>
    <s v="RENT"/>
    <n v="0.38"/>
    <n v="0.78"/>
    <n v="10402.379999999999"/>
    <n v="0"/>
    <n v="44"/>
    <n v="17629.919999999998"/>
    <n v="44341.919999999998"/>
    <n v="-16309.62"/>
    <n v="0"/>
    <x v="1"/>
    <s v="LOW"/>
    <n v="29383.200000000001"/>
    <n v="-0.61057277628032347"/>
    <s v="NORMAL"/>
  </r>
  <r>
    <s v="L0030"/>
    <x v="28"/>
    <s v="B0030"/>
    <x v="9"/>
    <n v="25762"/>
    <n v="16"/>
    <n v="36"/>
    <x v="0"/>
    <x v="0"/>
    <x v="2"/>
    <n v="41064"/>
    <s v="OWN"/>
    <n v="0.36"/>
    <n v="0.78"/>
    <n v="29883.919999999998"/>
    <n v="0"/>
    <n v="35"/>
    <n v="12365.76"/>
    <n v="38127.760000000002"/>
    <n v="4121.9199999999983"/>
    <n v="0"/>
    <x v="0"/>
    <s v="LOW"/>
    <n v="34349.333299999998"/>
    <n v="0.15999999999999992"/>
    <s v="NORMAL"/>
  </r>
  <r>
    <s v="L0031"/>
    <x v="29"/>
    <s v="B0031"/>
    <x v="4"/>
    <n v="12046"/>
    <n v="21.6"/>
    <n v="36"/>
    <x v="0"/>
    <x v="1"/>
    <x v="1"/>
    <n v="106848"/>
    <s v="MORTGAGE"/>
    <n v="0.19"/>
    <n v="0.7"/>
    <n v="14647.94"/>
    <n v="0"/>
    <n v="41"/>
    <n v="7805.8080000000009"/>
    <n v="19851.808000000001"/>
    <n v="2601.9400000000005"/>
    <n v="0"/>
    <x v="0"/>
    <s v="HIGH"/>
    <n v="21682.799999999999"/>
    <n v="0.21600033206043504"/>
    <s v="NORMAL"/>
  </r>
  <r>
    <s v="L0032"/>
    <x v="30"/>
    <s v="B0032"/>
    <x v="4"/>
    <n v="32463"/>
    <n v="6.4"/>
    <n v="36"/>
    <x v="0"/>
    <x v="1"/>
    <x v="2"/>
    <n v="67548"/>
    <s v="OWN"/>
    <n v="0.37"/>
    <n v="0.74"/>
    <n v="34540.629999999997"/>
    <n v="0"/>
    <n v="61"/>
    <n v="6232.8960000000006"/>
    <n v="38695.896000000001"/>
    <n v="2077.6299999999974"/>
    <n v="0"/>
    <x v="0"/>
    <s v="HIGH"/>
    <n v="17313.603599999999"/>
    <n v="6.3999938391399364E-2"/>
    <s v="NORMAL"/>
  </r>
  <r>
    <s v="L0033"/>
    <x v="31"/>
    <s v="B0033"/>
    <x v="2"/>
    <n v="29769"/>
    <n v="13.5"/>
    <n v="60"/>
    <x v="1"/>
    <x v="0"/>
    <x v="2"/>
    <n v="66945"/>
    <s v="MORTGAGE"/>
    <n v="0.48"/>
    <n v="0.84"/>
    <n v="1763.22"/>
    <n v="0"/>
    <n v="34"/>
    <n v="20094.075000000001"/>
    <n v="49863.074999999997"/>
    <n v="-28005.78"/>
    <n v="0"/>
    <x v="1"/>
    <s v="LOW"/>
    <n v="33490.125"/>
    <n v="-0.94076992844905771"/>
    <s v="HIGH RISK"/>
  </r>
  <r>
    <s v="L0034"/>
    <x v="32"/>
    <s v="B0034"/>
    <x v="8"/>
    <n v="24150"/>
    <n v="6.7"/>
    <n v="60"/>
    <x v="0"/>
    <x v="5"/>
    <x v="1"/>
    <n v="77937"/>
    <s v="OWN"/>
    <n v="0.12"/>
    <n v="0.87"/>
    <n v="25768.05"/>
    <n v="0"/>
    <n v="57"/>
    <n v="8090.25"/>
    <n v="32240.25"/>
    <n v="1618.0499999999993"/>
    <n v="0"/>
    <x v="0"/>
    <s v="MEDIUM"/>
    <n v="13483.75"/>
    <n v="6.6999999999999976E-2"/>
    <s v="HIGH RISK"/>
  </r>
  <r>
    <s v="L0035"/>
    <x v="33"/>
    <s v="B0035"/>
    <x v="5"/>
    <n v="3711"/>
    <n v="15.3"/>
    <n v="60"/>
    <x v="3"/>
    <x v="1"/>
    <x v="2"/>
    <n v="36476"/>
    <s v="OWN"/>
    <n v="0.23"/>
    <n v="0.81"/>
    <n v="648.73"/>
    <n v="938.22"/>
    <n v="49"/>
    <n v="2838.9150000000004"/>
    <n v="6549.9150000000009"/>
    <n v="-2124.0500000000002"/>
    <n v="1"/>
    <x v="2"/>
    <s v="HIGH"/>
    <n v="4731.5249999999996"/>
    <n v="-0.57236593909997313"/>
    <s v="HIGH RISK"/>
  </r>
  <r>
    <s v="L0036"/>
    <x v="34"/>
    <s v="B0036"/>
    <x v="4"/>
    <n v="5853"/>
    <n v="23"/>
    <n v="60"/>
    <x v="0"/>
    <x v="1"/>
    <x v="3"/>
    <n v="81756"/>
    <s v="MORTGAGE"/>
    <n v="0.28000000000000003"/>
    <n v="0.92"/>
    <n v="7199.19"/>
    <n v="0"/>
    <n v="42"/>
    <n v="6730.9500000000007"/>
    <n v="12583.95"/>
    <n v="1346.1899999999996"/>
    <n v="0"/>
    <x v="0"/>
    <s v="HIGH"/>
    <n v="11218.25"/>
    <n v="0.22999999999999993"/>
    <s v="HIGH RISK"/>
  </r>
  <r>
    <s v="L0037"/>
    <x v="35"/>
    <s v="B0037"/>
    <x v="2"/>
    <n v="30077"/>
    <n v="20.6"/>
    <n v="60"/>
    <x v="0"/>
    <x v="0"/>
    <x v="3"/>
    <n v="120101"/>
    <s v="RENT"/>
    <n v="0.46"/>
    <n v="0.87"/>
    <n v="36272.86"/>
    <n v="0"/>
    <n v="52"/>
    <n v="30979.310000000009"/>
    <n v="61056.310000000012"/>
    <n v="6195.8600000000006"/>
    <n v="0"/>
    <x v="0"/>
    <s v="LOW"/>
    <n v="51632.183299999997"/>
    <n v="0.20599993350400642"/>
    <s v="HIGH RISK"/>
  </r>
  <r>
    <s v="L0038"/>
    <x v="36"/>
    <s v="B0038"/>
    <x v="6"/>
    <n v="24863"/>
    <n v="9.6"/>
    <n v="60"/>
    <x v="0"/>
    <x v="2"/>
    <x v="0"/>
    <n v="32382"/>
    <s v="RENT"/>
    <n v="0.48"/>
    <n v="0.75"/>
    <n v="27249.85"/>
    <n v="0"/>
    <n v="62"/>
    <n v="11934.24"/>
    <n v="36797.24"/>
    <n v="2386.8499999999985"/>
    <n v="0"/>
    <x v="0"/>
    <s v="VERY HIGH"/>
    <n v="19890.400000000001"/>
    <n v="9.6000080440815608E-2"/>
    <s v="HIGH RISK"/>
  </r>
  <r>
    <s v="L0039"/>
    <x v="37"/>
    <s v="B0039"/>
    <x v="5"/>
    <n v="22792"/>
    <n v="24.5"/>
    <n v="60"/>
    <x v="0"/>
    <x v="5"/>
    <x v="3"/>
    <n v="79683"/>
    <s v="RENT"/>
    <n v="0.28000000000000003"/>
    <n v="0.8"/>
    <n v="28376.04"/>
    <n v="0"/>
    <n v="54"/>
    <n v="27920.2"/>
    <n v="50712.2"/>
    <n v="5584.0400000000009"/>
    <n v="0"/>
    <x v="0"/>
    <s v="MEDIUM"/>
    <n v="46533.666700000002"/>
    <n v="0.24500000000000005"/>
    <s v="NORMAL"/>
  </r>
  <r>
    <s v="L0040"/>
    <x v="38"/>
    <s v="B0040"/>
    <x v="2"/>
    <n v="9942"/>
    <n v="18.3"/>
    <n v="36"/>
    <x v="0"/>
    <x v="6"/>
    <x v="4"/>
    <n v="117999"/>
    <s v="OWN"/>
    <n v="0.4"/>
    <n v="0.92"/>
    <n v="11761.39"/>
    <n v="0"/>
    <n v="37"/>
    <n v="5458.1580000000004"/>
    <n v="15400.157999999999"/>
    <n v="1819.3899999999994"/>
    <n v="0"/>
    <x v="0"/>
    <s v="VERY HIGH"/>
    <n v="15161.55"/>
    <n v="0.18300040233353443"/>
    <s v="HIGH RISK"/>
  </r>
  <r>
    <s v="L0041"/>
    <x v="39"/>
    <s v="B0041"/>
    <x v="0"/>
    <n v="2762"/>
    <n v="5.2"/>
    <n v="36"/>
    <x v="1"/>
    <x v="6"/>
    <x v="4"/>
    <n v="75276"/>
    <s v="OWN"/>
    <n v="0.31"/>
    <n v="0.78"/>
    <n v="1245.1099999999999"/>
    <n v="0"/>
    <n v="44"/>
    <n v="430.87200000000001"/>
    <n v="3192.8719999999998"/>
    <n v="-1516.89"/>
    <n v="0"/>
    <x v="1"/>
    <s v="VERY HIGH"/>
    <n v="1196.8695"/>
    <n v="-0.54919985517740766"/>
    <s v="NORMAL"/>
  </r>
  <r>
    <s v="L0042"/>
    <x v="40"/>
    <s v="B0042"/>
    <x v="5"/>
    <n v="32987"/>
    <n v="10.1"/>
    <n v="36"/>
    <x v="0"/>
    <x v="0"/>
    <x v="4"/>
    <n v="63402"/>
    <s v="RENT"/>
    <n v="0.32"/>
    <n v="0.87"/>
    <n v="36318.69"/>
    <n v="0"/>
    <n v="33"/>
    <n v="9995.0609999999997"/>
    <n v="42982.061000000002"/>
    <n v="3331.6900000000023"/>
    <n v="0"/>
    <x v="0"/>
    <s v="LOW"/>
    <n v="27764.058300000001"/>
    <n v="0.10100009094491777"/>
    <s v="HIGH RISK"/>
  </r>
  <r>
    <s v="L0043"/>
    <x v="41"/>
    <s v="B0043"/>
    <x v="3"/>
    <n v="16850"/>
    <n v="10.199999999999999"/>
    <n v="36"/>
    <x v="0"/>
    <x v="0"/>
    <x v="1"/>
    <n v="121881"/>
    <s v="OWN"/>
    <n v="0.21"/>
    <n v="0.81"/>
    <n v="18568.7"/>
    <n v="0"/>
    <n v="59"/>
    <n v="5156.1000000000004"/>
    <n v="22006.1"/>
    <n v="1718.7000000000007"/>
    <n v="0"/>
    <x v="0"/>
    <s v="LOW"/>
    <n v="14322.5"/>
    <n v="0.10200000000000005"/>
    <s v="HIGH RISK"/>
  </r>
  <r>
    <s v="L0044"/>
    <x v="12"/>
    <s v="B0044"/>
    <x v="2"/>
    <n v="13112"/>
    <n v="6.4"/>
    <n v="60"/>
    <x v="0"/>
    <x v="1"/>
    <x v="3"/>
    <n v="140300"/>
    <s v="OWN"/>
    <n v="0.19"/>
    <n v="0.75"/>
    <n v="13951.17"/>
    <n v="0"/>
    <n v="31"/>
    <n v="4195.84"/>
    <n v="17307.84"/>
    <n v="839.17000000000007"/>
    <n v="0"/>
    <x v="0"/>
    <s v="HIGH"/>
    <n v="6993.0667000000003"/>
    <n v="6.4000152532031729E-2"/>
    <s v="NORMAL"/>
  </r>
  <r>
    <s v="L0045"/>
    <x v="42"/>
    <s v="B0045"/>
    <x v="9"/>
    <n v="25058"/>
    <n v="24.2"/>
    <n v="36"/>
    <x v="1"/>
    <x v="0"/>
    <x v="4"/>
    <n v="56946"/>
    <s v="RENT"/>
    <n v="0.22"/>
    <n v="0.61"/>
    <n v="9355.1299999999992"/>
    <n v="0"/>
    <n v="45"/>
    <n v="18192.108"/>
    <n v="43250.108"/>
    <n v="-15702.87"/>
    <n v="0"/>
    <x v="1"/>
    <s v="LOW"/>
    <n v="50533.633300000001"/>
    <n v="-0.62666094660387905"/>
    <s v="NORMAL"/>
  </r>
  <r>
    <s v="L0046"/>
    <x v="43"/>
    <s v="B0046"/>
    <x v="3"/>
    <n v="39890"/>
    <n v="14.6"/>
    <n v="36"/>
    <x v="1"/>
    <x v="6"/>
    <x v="0"/>
    <n v="109698"/>
    <s v="MORTGAGE"/>
    <n v="0.32"/>
    <n v="0.69"/>
    <n v="3304.32"/>
    <n v="0"/>
    <n v="37"/>
    <n v="17471.82"/>
    <n v="57361.82"/>
    <n v="-36585.68"/>
    <n v="0"/>
    <x v="1"/>
    <s v="VERY HIGH"/>
    <n v="48532.833299999998"/>
    <n v="-0.91716420155427425"/>
    <s v="NORMAL"/>
  </r>
  <r>
    <s v="L0047"/>
    <x v="44"/>
    <s v="B0047"/>
    <x v="0"/>
    <n v="1481"/>
    <n v="22.9"/>
    <n v="36"/>
    <x v="0"/>
    <x v="1"/>
    <x v="1"/>
    <n v="144690"/>
    <s v="OWN"/>
    <n v="0.11"/>
    <n v="0.94"/>
    <n v="1820.15"/>
    <n v="0"/>
    <n v="61"/>
    <n v="1017.447"/>
    <n v="2498.4470000000001"/>
    <n v="339.15000000000009"/>
    <n v="0"/>
    <x v="0"/>
    <s v="HIGH"/>
    <n v="2826.2417"/>
    <n v="0.22900067521944639"/>
    <s v="HIGH RISK"/>
  </r>
  <r>
    <s v="L0048"/>
    <x v="45"/>
    <s v="B0048"/>
    <x v="4"/>
    <n v="33921"/>
    <n v="11.4"/>
    <n v="36"/>
    <x v="1"/>
    <x v="6"/>
    <x v="0"/>
    <n v="142309"/>
    <s v="OWN"/>
    <n v="0.46"/>
    <n v="0.8"/>
    <n v="14230.09"/>
    <n v="0"/>
    <n v="55"/>
    <n v="11600.982000000002"/>
    <n v="45521.982000000004"/>
    <n v="-19690.91"/>
    <n v="0"/>
    <x v="1"/>
    <s v="VERY HIGH"/>
    <n v="32224.95"/>
    <n v="-0.58049320479938682"/>
    <s v="HIGH RISK"/>
  </r>
  <r>
    <s v="L0049"/>
    <x v="46"/>
    <s v="B0049"/>
    <x v="7"/>
    <n v="2524"/>
    <n v="7.5"/>
    <n v="60"/>
    <x v="0"/>
    <x v="4"/>
    <x v="3"/>
    <n v="103933"/>
    <s v="OWN"/>
    <n v="0.16"/>
    <n v="0.75"/>
    <n v="2713.3"/>
    <n v="0"/>
    <n v="28"/>
    <n v="946.5"/>
    <n v="3470.5"/>
    <n v="189.30000000000018"/>
    <n v="0"/>
    <x v="0"/>
    <s v="LOW"/>
    <n v="1577.5"/>
    <n v="7.5000000000000067E-2"/>
    <s v="NORMAL"/>
  </r>
  <r>
    <s v="L0050"/>
    <x v="47"/>
    <s v="B0050"/>
    <x v="2"/>
    <n v="35888"/>
    <n v="14.5"/>
    <n v="60"/>
    <x v="1"/>
    <x v="4"/>
    <x v="2"/>
    <n v="52335"/>
    <s v="OWN"/>
    <n v="0.19"/>
    <n v="0.92"/>
    <n v="9756.7199999999993"/>
    <n v="0"/>
    <n v="29"/>
    <n v="26018.800000000003"/>
    <n v="61906.8"/>
    <n v="-26131.279999999999"/>
    <n v="0"/>
    <x v="1"/>
    <s v="LOW"/>
    <n v="43364.666700000002"/>
    <n v="-0.72813419527418632"/>
    <s v="HIGH RISK"/>
  </r>
  <r>
    <s v="L0051"/>
    <x v="48"/>
    <s v="B0051"/>
    <x v="6"/>
    <n v="16048"/>
    <n v="7.3"/>
    <n v="60"/>
    <x v="0"/>
    <x v="1"/>
    <x v="0"/>
    <n v="75095"/>
    <s v="MORTGAGE"/>
    <n v="0.31"/>
    <n v="0.76"/>
    <n v="17219.5"/>
    <n v="0"/>
    <n v="43"/>
    <n v="5857.5199999999995"/>
    <n v="21905.52"/>
    <n v="1171.5"/>
    <n v="0"/>
    <x v="0"/>
    <s v="HIGH"/>
    <n v="9762.5332999999991"/>
    <n v="7.2999750747756734E-2"/>
    <s v="NORMAL"/>
  </r>
  <r>
    <s v="L0052"/>
    <x v="49"/>
    <s v="B0052"/>
    <x v="2"/>
    <n v="36111"/>
    <n v="14.7"/>
    <n v="36"/>
    <x v="0"/>
    <x v="0"/>
    <x v="2"/>
    <n v="109930"/>
    <s v="RENT"/>
    <n v="0.38"/>
    <n v="0.74"/>
    <n v="41419.32"/>
    <n v="0"/>
    <n v="39"/>
    <n v="15924.950999999995"/>
    <n v="52035.950999999994"/>
    <n v="5308.32"/>
    <n v="0"/>
    <x v="0"/>
    <s v="LOW"/>
    <n v="44235.974999999999"/>
    <n v="0.14700008307717868"/>
    <s v="NORMAL"/>
  </r>
  <r>
    <s v="L0053"/>
    <x v="50"/>
    <s v="B0053"/>
    <x v="7"/>
    <n v="38904"/>
    <n v="23.4"/>
    <n v="60"/>
    <x v="3"/>
    <x v="1"/>
    <x v="1"/>
    <n v="57197"/>
    <s v="OWN"/>
    <n v="0.14000000000000001"/>
    <n v="0.84"/>
    <n v="13773.37"/>
    <n v="12116.05"/>
    <n v="49"/>
    <n v="45517.68"/>
    <n v="84421.68"/>
    <n v="-13014.580000000002"/>
    <n v="1"/>
    <x v="2"/>
    <s v="HIGH"/>
    <n v="75862.8"/>
    <n v="-0.33453063952292827"/>
    <s v="HIGH RISK"/>
  </r>
  <r>
    <s v="L0054"/>
    <x v="51"/>
    <s v="B0054"/>
    <x v="0"/>
    <n v="35008"/>
    <n v="15.4"/>
    <n v="36"/>
    <x v="0"/>
    <x v="6"/>
    <x v="0"/>
    <n v="52010"/>
    <s v="RENT"/>
    <n v="0.23"/>
    <n v="0.82"/>
    <n v="40399.230000000003"/>
    <n v="0"/>
    <n v="38"/>
    <n v="16173.696000000004"/>
    <n v="51181.696000000004"/>
    <n v="5391.2300000000032"/>
    <n v="0"/>
    <x v="0"/>
    <s v="VERY HIGH"/>
    <n v="44926.933299999997"/>
    <n v="0.15399994287020119"/>
    <s v="HIGH RISK"/>
  </r>
  <r>
    <s v="L0055"/>
    <x v="52"/>
    <s v="B0055"/>
    <x v="0"/>
    <n v="1060"/>
    <n v="17.3"/>
    <n v="60"/>
    <x v="1"/>
    <x v="4"/>
    <x v="0"/>
    <n v="54123"/>
    <s v="OWN"/>
    <n v="0.49"/>
    <n v="0.59"/>
    <n v="339.55"/>
    <n v="0"/>
    <n v="57"/>
    <n v="916.9"/>
    <n v="1976.9"/>
    <n v="-720.45"/>
    <n v="0"/>
    <x v="1"/>
    <s v="LOW"/>
    <n v="1528.1667"/>
    <n v="-0.67966981132075477"/>
    <s v="HIGH RISK"/>
  </r>
  <r>
    <s v="L0056"/>
    <x v="53"/>
    <s v="B0056"/>
    <x v="3"/>
    <n v="10130"/>
    <n v="8.1"/>
    <n v="60"/>
    <x v="0"/>
    <x v="1"/>
    <x v="1"/>
    <n v="117923"/>
    <s v="MORTGAGE"/>
    <n v="0.2"/>
    <n v="0.71"/>
    <n v="10950.53"/>
    <n v="0"/>
    <n v="55"/>
    <n v="4102.6499999999996"/>
    <n v="14232.65"/>
    <n v="820.53000000000065"/>
    <n v="0"/>
    <x v="0"/>
    <s v="HIGH"/>
    <n v="6837.75"/>
    <n v="8.1000000000000058E-2"/>
    <s v="NORMAL"/>
  </r>
  <r>
    <s v="L0057"/>
    <x v="54"/>
    <s v="B0057"/>
    <x v="5"/>
    <n v="19023"/>
    <n v="5.9"/>
    <n v="60"/>
    <x v="1"/>
    <x v="0"/>
    <x v="1"/>
    <n v="32890"/>
    <s v="RENT"/>
    <n v="0.23"/>
    <n v="0.71"/>
    <n v="6787.88"/>
    <n v="0"/>
    <n v="29"/>
    <n v="5611.7850000000008"/>
    <n v="24634.785"/>
    <n v="-12235.119999999999"/>
    <n v="0"/>
    <x v="1"/>
    <s v="LOW"/>
    <n v="9352.9750000000004"/>
    <n v="-0.64317510382168952"/>
    <s v="NORMAL"/>
  </r>
  <r>
    <s v="L0058"/>
    <x v="55"/>
    <s v="B0058"/>
    <x v="6"/>
    <n v="14350"/>
    <n v="7.2"/>
    <n v="60"/>
    <x v="3"/>
    <x v="4"/>
    <x v="4"/>
    <n v="123305"/>
    <s v="MORTGAGE"/>
    <n v="0.43"/>
    <n v="0.67"/>
    <n v="5712.02"/>
    <n v="3379.84"/>
    <n v="53"/>
    <n v="5166"/>
    <n v="19516"/>
    <n v="-5258.1399999999994"/>
    <n v="1"/>
    <x v="2"/>
    <s v="LOW"/>
    <n v="8610"/>
    <n v="-0.36642090592334492"/>
    <s v="HIGH RISK"/>
  </r>
  <r>
    <s v="L0059"/>
    <x v="56"/>
    <s v="B0059"/>
    <x v="3"/>
    <n v="25354"/>
    <n v="17"/>
    <n v="60"/>
    <x v="0"/>
    <x v="3"/>
    <x v="3"/>
    <n v="139162"/>
    <s v="OWN"/>
    <n v="0.12"/>
    <n v="0.73"/>
    <n v="29664.18"/>
    <n v="0"/>
    <n v="35"/>
    <n v="21550.9"/>
    <n v="46904.9"/>
    <n v="4310.18"/>
    <n v="0"/>
    <x v="0"/>
    <s v="VERY HIGH"/>
    <n v="35918.166700000002"/>
    <n v="0.17"/>
    <s v="NORMAL"/>
  </r>
  <r>
    <s v="L0060"/>
    <x v="57"/>
    <s v="B0060"/>
    <x v="6"/>
    <n v="29145"/>
    <n v="6.9"/>
    <n v="36"/>
    <x v="1"/>
    <x v="3"/>
    <x v="0"/>
    <n v="38026"/>
    <s v="MORTGAGE"/>
    <n v="0.28999999999999998"/>
    <n v="0.69"/>
    <n v="4504.3900000000003"/>
    <n v="0"/>
    <n v="47"/>
    <n v="6033.0150000000003"/>
    <n v="35178.014999999999"/>
    <n v="-24640.61"/>
    <n v="0"/>
    <x v="1"/>
    <s v="VERY HIGH"/>
    <n v="16758.3763"/>
    <n v="-0.84544896208612119"/>
    <s v="NORMAL"/>
  </r>
  <r>
    <s v="L0061"/>
    <x v="58"/>
    <s v="B0061"/>
    <x v="6"/>
    <n v="35020"/>
    <n v="12.5"/>
    <n v="60"/>
    <x v="1"/>
    <x v="5"/>
    <x v="0"/>
    <n v="94925"/>
    <s v="MORTGAGE"/>
    <n v="0.25"/>
    <n v="0.59"/>
    <n v="11583.76"/>
    <n v="0"/>
    <n v="29"/>
    <n v="21887.5"/>
    <n v="56907.5"/>
    <n v="-23436.239999999998"/>
    <n v="0"/>
    <x v="1"/>
    <s v="MEDIUM"/>
    <n v="36479.166700000002"/>
    <n v="-0.66922444317532837"/>
    <s v="NORMAL"/>
  </r>
  <r>
    <s v="L0062"/>
    <x v="59"/>
    <s v="B0062"/>
    <x v="7"/>
    <n v="21587"/>
    <n v="16"/>
    <n v="36"/>
    <x v="1"/>
    <x v="2"/>
    <x v="1"/>
    <n v="98842"/>
    <s v="OWN"/>
    <n v="0.23"/>
    <n v="0.69"/>
    <n v="5550.98"/>
    <n v="0"/>
    <n v="52"/>
    <n v="10361.76"/>
    <n v="31948.760000000002"/>
    <n v="-16036.02"/>
    <n v="0"/>
    <x v="1"/>
    <s v="VERY HIGH"/>
    <n v="28782.666700000002"/>
    <n v="-0.74285542224486967"/>
    <s v="NORMAL"/>
  </r>
  <r>
    <s v="L0063"/>
    <x v="60"/>
    <s v="B0063"/>
    <x v="3"/>
    <n v="10650"/>
    <n v="12.8"/>
    <n v="36"/>
    <x v="0"/>
    <x v="5"/>
    <x v="1"/>
    <n v="63665"/>
    <s v="OWN"/>
    <n v="0.21"/>
    <n v="0.53"/>
    <n v="12013.2"/>
    <n v="0"/>
    <n v="38"/>
    <n v="4089.6000000000004"/>
    <n v="14739.6"/>
    <n v="1363.2000000000007"/>
    <n v="0"/>
    <x v="0"/>
    <s v="MEDIUM"/>
    <n v="11360"/>
    <n v="0.12800000000000006"/>
    <s v="NORMAL"/>
  </r>
  <r>
    <s v="L0064"/>
    <x v="61"/>
    <s v="B0064"/>
    <x v="6"/>
    <n v="20933"/>
    <n v="8.3000000000000007"/>
    <n v="36"/>
    <x v="3"/>
    <x v="4"/>
    <x v="3"/>
    <n v="39277"/>
    <s v="RENT"/>
    <n v="0.14000000000000001"/>
    <n v="0.76"/>
    <n v="2341.0500000000002"/>
    <n v="2519.27"/>
    <n v="51"/>
    <n v="5212.3170000000009"/>
    <n v="26145.317000000003"/>
    <n v="-16072.68"/>
    <n v="1"/>
    <x v="2"/>
    <s v="LOW"/>
    <n v="14478.6584"/>
    <n v="-0.76781541107342477"/>
    <s v="NORMAL"/>
  </r>
  <r>
    <s v="L0065"/>
    <x v="62"/>
    <s v="B0065"/>
    <x v="1"/>
    <n v="21581"/>
    <n v="10.5"/>
    <n v="36"/>
    <x v="0"/>
    <x v="4"/>
    <x v="1"/>
    <n v="72239"/>
    <s v="OWN"/>
    <n v="0.23"/>
    <n v="0.88"/>
    <n v="23847"/>
    <n v="0"/>
    <n v="33"/>
    <n v="6798.0150000000003"/>
    <n v="28379.014999999999"/>
    <n v="2266"/>
    <n v="0"/>
    <x v="0"/>
    <s v="LOW"/>
    <n v="18883.375"/>
    <n v="0.10499976831472128"/>
    <s v="HIGH RISK"/>
  </r>
  <r>
    <s v="L0066"/>
    <x v="63"/>
    <s v="B0066"/>
    <x v="7"/>
    <n v="24393"/>
    <n v="23.6"/>
    <n v="36"/>
    <x v="0"/>
    <x v="2"/>
    <x v="2"/>
    <n v="77664"/>
    <s v="RENT"/>
    <n v="0.12"/>
    <n v="0.83"/>
    <n v="30149.75"/>
    <n v="0"/>
    <n v="27"/>
    <n v="17270.244000000002"/>
    <n v="41663.244000000006"/>
    <n v="5756.75"/>
    <n v="0"/>
    <x v="0"/>
    <s v="VERY HIGH"/>
    <n v="47972.9"/>
    <n v="0.23600008199073505"/>
    <s v="HIGH RISK"/>
  </r>
  <r>
    <s v="L0067"/>
    <x v="64"/>
    <s v="B0067"/>
    <x v="0"/>
    <n v="24051"/>
    <n v="18.5"/>
    <n v="60"/>
    <x v="3"/>
    <x v="0"/>
    <x v="2"/>
    <n v="78008"/>
    <s v="MORTGAGE"/>
    <n v="0.41"/>
    <n v="0.66"/>
    <n v="2509.5100000000002"/>
    <n v="11762.86"/>
    <n v="36"/>
    <n v="22247.175000000003"/>
    <n v="46298.175000000003"/>
    <n v="-9778.6299999999992"/>
    <n v="1"/>
    <x v="2"/>
    <s v="LOW"/>
    <n v="37078.625"/>
    <n v="-0.4065789364267598"/>
    <s v="HIGH RISK"/>
  </r>
  <r>
    <s v="L0068"/>
    <x v="65"/>
    <s v="B0068"/>
    <x v="7"/>
    <n v="27212"/>
    <n v="14.9"/>
    <n v="60"/>
    <x v="1"/>
    <x v="5"/>
    <x v="2"/>
    <n v="44683"/>
    <s v="MORTGAGE"/>
    <n v="0.26"/>
    <n v="0.54"/>
    <n v="2820.6"/>
    <n v="0"/>
    <n v="55"/>
    <n v="20272.939999999999"/>
    <n v="47484.94"/>
    <n v="-24391.4"/>
    <n v="0"/>
    <x v="1"/>
    <s v="MEDIUM"/>
    <n v="33788.2333"/>
    <n v="-0.8963471997648097"/>
    <s v="NORMAL"/>
  </r>
  <r>
    <s v="L0069"/>
    <x v="66"/>
    <s v="B0069"/>
    <x v="9"/>
    <n v="5090"/>
    <n v="5.3"/>
    <n v="60"/>
    <x v="0"/>
    <x v="5"/>
    <x v="2"/>
    <n v="30670"/>
    <s v="RENT"/>
    <n v="0.28000000000000003"/>
    <n v="0.59"/>
    <n v="5359.77"/>
    <n v="0"/>
    <n v="37"/>
    <n v="1348.85"/>
    <n v="6438.85"/>
    <n v="269.77000000000044"/>
    <n v="0"/>
    <x v="0"/>
    <s v="MEDIUM"/>
    <n v="2248.0832999999998"/>
    <n v="5.3000000000000089E-2"/>
    <s v="NORMAL"/>
  </r>
  <r>
    <s v="L0070"/>
    <x v="67"/>
    <s v="B0070"/>
    <x v="9"/>
    <n v="7960"/>
    <n v="24.8"/>
    <n v="60"/>
    <x v="0"/>
    <x v="1"/>
    <x v="3"/>
    <n v="119211"/>
    <s v="OWN"/>
    <n v="0.46"/>
    <n v="0.75"/>
    <n v="9934.08"/>
    <n v="0"/>
    <n v="56"/>
    <n v="9870.4"/>
    <n v="17830.400000000001"/>
    <n v="1974.08"/>
    <n v="0"/>
    <x v="0"/>
    <s v="HIGH"/>
    <n v="16450.666700000002"/>
    <n v="0.248"/>
    <s v="HIGH RISK"/>
  </r>
  <r>
    <s v="L0071"/>
    <x v="68"/>
    <s v="B0071"/>
    <x v="6"/>
    <n v="36772"/>
    <n v="18.399999999999999"/>
    <n v="36"/>
    <x v="0"/>
    <x v="5"/>
    <x v="0"/>
    <n v="47889"/>
    <s v="OWN"/>
    <n v="0.36"/>
    <n v="0.59"/>
    <n v="43538.05"/>
    <n v="0"/>
    <n v="50"/>
    <n v="20298.143999999997"/>
    <n v="57070.144"/>
    <n v="6766.0500000000029"/>
    <n v="0"/>
    <x v="0"/>
    <s v="MEDIUM"/>
    <n v="56383.7333"/>
    <n v="0.18400005438920927"/>
    <s v="NORMAL"/>
  </r>
  <r>
    <s v="L0072"/>
    <x v="69"/>
    <s v="B0072"/>
    <x v="3"/>
    <n v="22520"/>
    <n v="11.3"/>
    <n v="60"/>
    <x v="0"/>
    <x v="4"/>
    <x v="2"/>
    <n v="85612"/>
    <s v="MORTGAGE"/>
    <n v="0.1"/>
    <n v="0.74"/>
    <n v="25064.76"/>
    <n v="0"/>
    <n v="46"/>
    <n v="12723.800000000001"/>
    <n v="35243.800000000003"/>
    <n v="2544.7599999999984"/>
    <n v="0"/>
    <x v="0"/>
    <s v="LOW"/>
    <n v="21206.333299999998"/>
    <n v="0.11299999999999993"/>
    <s v="NORMAL"/>
  </r>
  <r>
    <s v="L0073"/>
    <x v="70"/>
    <s v="B0073"/>
    <x v="0"/>
    <n v="37408"/>
    <n v="22.6"/>
    <n v="60"/>
    <x v="0"/>
    <x v="0"/>
    <x v="1"/>
    <n v="74535"/>
    <s v="RENT"/>
    <n v="0.48"/>
    <n v="0.6"/>
    <n v="45862.21"/>
    <n v="0"/>
    <n v="27"/>
    <n v="42271.040000000001"/>
    <n v="79679.040000000008"/>
    <n v="8454.2099999999991"/>
    <n v="0"/>
    <x v="0"/>
    <s v="LOW"/>
    <n v="70451.733300000007"/>
    <n v="0.22600005346449956"/>
    <s v="HIGH RISK"/>
  </r>
  <r>
    <s v="L0074"/>
    <x v="71"/>
    <s v="B0074"/>
    <x v="7"/>
    <n v="29470"/>
    <n v="10.199999999999999"/>
    <n v="36"/>
    <x v="1"/>
    <x v="5"/>
    <x v="2"/>
    <n v="108542"/>
    <s v="MORTGAGE"/>
    <n v="0.19"/>
    <n v="0.88"/>
    <n v="10081.43"/>
    <n v="0"/>
    <n v="62"/>
    <n v="9017.82"/>
    <n v="38487.82"/>
    <n v="-19388.57"/>
    <n v="0"/>
    <x v="1"/>
    <s v="MEDIUM"/>
    <n v="25049.5"/>
    <n v="-0.6579087207329487"/>
    <s v="HIGH RISK"/>
  </r>
  <r>
    <s v="L0075"/>
    <x v="72"/>
    <s v="B0075"/>
    <x v="3"/>
    <n v="21491"/>
    <n v="15.9"/>
    <n v="36"/>
    <x v="0"/>
    <x v="1"/>
    <x v="3"/>
    <n v="84319"/>
    <s v="MORTGAGE"/>
    <n v="0.14000000000000001"/>
    <n v="0.68"/>
    <n v="24908.07"/>
    <n v="0"/>
    <n v="60"/>
    <n v="10251.207"/>
    <n v="31742.207000000002"/>
    <n v="3417.0699999999997"/>
    <n v="0"/>
    <x v="0"/>
    <s v="HIGH"/>
    <n v="28475.575000000001"/>
    <n v="0.15900004653110603"/>
    <s v="NORMAL"/>
  </r>
  <r>
    <s v="L0076"/>
    <x v="73"/>
    <s v="B0076"/>
    <x v="7"/>
    <n v="2341"/>
    <n v="17.7"/>
    <n v="60"/>
    <x v="1"/>
    <x v="5"/>
    <x v="1"/>
    <n v="144072"/>
    <s v="OWN"/>
    <n v="0.41"/>
    <n v="0.61"/>
    <n v="714.53"/>
    <n v="0"/>
    <n v="45"/>
    <n v="2071.7849999999999"/>
    <n v="4412.7849999999999"/>
    <n v="-1626.47"/>
    <n v="0"/>
    <x v="1"/>
    <s v="MEDIUM"/>
    <n v="3452.9749999999999"/>
    <n v="-0.69477573686458782"/>
    <s v="HIGH RISK"/>
  </r>
  <r>
    <s v="L0077"/>
    <x v="74"/>
    <s v="B0077"/>
    <x v="7"/>
    <n v="25791"/>
    <n v="9.4"/>
    <n v="60"/>
    <x v="1"/>
    <x v="1"/>
    <x v="2"/>
    <n v="122067"/>
    <s v="RENT"/>
    <n v="0.3"/>
    <n v="0.87"/>
    <n v="7712.63"/>
    <n v="0"/>
    <n v="41"/>
    <n v="12121.770000000002"/>
    <n v="37912.770000000004"/>
    <n v="-18078.37"/>
    <n v="0"/>
    <x v="1"/>
    <s v="HIGH"/>
    <n v="20202.95"/>
    <n v="-0.70095653522546619"/>
    <s v="HIGH RISK"/>
  </r>
  <r>
    <s v="L0078"/>
    <x v="75"/>
    <s v="B0078"/>
    <x v="1"/>
    <n v="1338"/>
    <n v="24.6"/>
    <n v="36"/>
    <x v="0"/>
    <x v="0"/>
    <x v="0"/>
    <n v="51639"/>
    <s v="MORTGAGE"/>
    <n v="0.27"/>
    <n v="0.65"/>
    <n v="1667.15"/>
    <n v="0"/>
    <n v="26"/>
    <n v="987.44400000000007"/>
    <n v="2325.444"/>
    <n v="329.15000000000009"/>
    <n v="0"/>
    <x v="0"/>
    <s v="LOW"/>
    <n v="2742.9"/>
    <n v="0.24600149476831099"/>
    <s v="NORMAL"/>
  </r>
  <r>
    <s v="L0079"/>
    <x v="76"/>
    <s v="B0079"/>
    <x v="9"/>
    <n v="6895"/>
    <n v="20"/>
    <n v="60"/>
    <x v="0"/>
    <x v="2"/>
    <x v="1"/>
    <n v="94712"/>
    <s v="OWN"/>
    <n v="0.2"/>
    <n v="0.55000000000000004"/>
    <n v="8274"/>
    <n v="0"/>
    <n v="43"/>
    <n v="6895"/>
    <n v="13790"/>
    <n v="1379"/>
    <n v="0"/>
    <x v="0"/>
    <s v="VERY HIGH"/>
    <n v="11491.6667"/>
    <n v="0.2"/>
    <s v="NORMAL"/>
  </r>
  <r>
    <s v="L0080"/>
    <x v="77"/>
    <s v="B0080"/>
    <x v="7"/>
    <n v="13254"/>
    <n v="16.2"/>
    <n v="60"/>
    <x v="0"/>
    <x v="5"/>
    <x v="1"/>
    <n v="46633"/>
    <s v="MORTGAGE"/>
    <n v="0.32"/>
    <n v="0.76"/>
    <n v="15401.15"/>
    <n v="0"/>
    <n v="49"/>
    <n v="10735.739999999998"/>
    <n v="23989.739999999998"/>
    <n v="2147.1499999999996"/>
    <n v="0"/>
    <x v="0"/>
    <s v="MEDIUM"/>
    <n v="17892.900000000001"/>
    <n v="0.16200015089784214"/>
    <s v="NORMAL"/>
  </r>
  <r>
    <s v="L0081"/>
    <x v="78"/>
    <s v="B0081"/>
    <x v="1"/>
    <n v="12344"/>
    <n v="8.6"/>
    <n v="60"/>
    <x v="0"/>
    <x v="0"/>
    <x v="0"/>
    <n v="64660"/>
    <s v="MORTGAGE"/>
    <n v="0.21"/>
    <n v="0.76"/>
    <n v="13405.58"/>
    <n v="0"/>
    <n v="48"/>
    <n v="5307.9199999999992"/>
    <n v="17651.919999999998"/>
    <n v="1061.58"/>
    <n v="0"/>
    <x v="0"/>
    <s v="LOW"/>
    <n v="8846.5332999999991"/>
    <n v="8.5999675955929999E-2"/>
    <s v="NORMAL"/>
  </r>
  <r>
    <s v="L0082"/>
    <x v="79"/>
    <s v="B0082"/>
    <x v="9"/>
    <n v="2750"/>
    <n v="6.1"/>
    <n v="60"/>
    <x v="1"/>
    <x v="5"/>
    <x v="1"/>
    <n v="98975"/>
    <s v="OWN"/>
    <n v="0.46"/>
    <n v="0.82"/>
    <n v="176.92"/>
    <n v="0"/>
    <n v="53"/>
    <n v="838.75"/>
    <n v="3588.75"/>
    <n v="-2573.08"/>
    <n v="0"/>
    <x v="1"/>
    <s v="MEDIUM"/>
    <n v="1397.9167"/>
    <n v="-0.93566545454545447"/>
    <s v="HIGH RISK"/>
  </r>
  <r>
    <s v="L0083"/>
    <x v="80"/>
    <s v="B0083"/>
    <x v="1"/>
    <n v="3421"/>
    <n v="11.4"/>
    <n v="36"/>
    <x v="0"/>
    <x v="6"/>
    <x v="2"/>
    <n v="62172"/>
    <s v="OWN"/>
    <n v="0.19"/>
    <n v="0.61"/>
    <n v="3810.99"/>
    <n v="0"/>
    <n v="50"/>
    <n v="1169.9820000000002"/>
    <n v="4590.982"/>
    <n v="389.98999999999978"/>
    <n v="0"/>
    <x v="0"/>
    <s v="VERY HIGH"/>
    <n v="3249.95"/>
    <n v="0.11399883075124226"/>
    <s v="NORMAL"/>
  </r>
  <r>
    <s v="L0084"/>
    <x v="81"/>
    <s v="B0084"/>
    <x v="3"/>
    <n v="6319"/>
    <n v="20.100000000000001"/>
    <n v="36"/>
    <x v="1"/>
    <x v="2"/>
    <x v="1"/>
    <n v="89197"/>
    <s v="RENT"/>
    <n v="0.45"/>
    <n v="0.7"/>
    <n v="1650.44"/>
    <n v="0"/>
    <n v="55"/>
    <n v="3810.3570000000004"/>
    <n v="10129.357"/>
    <n v="-4668.5599999999995"/>
    <n v="0"/>
    <x v="1"/>
    <s v="VERY HIGH"/>
    <n v="10584.325000000001"/>
    <n v="-0.73881310333913586"/>
    <s v="HIGH RISK"/>
  </r>
  <r>
    <s v="L0085"/>
    <x v="82"/>
    <s v="B0085"/>
    <x v="5"/>
    <n v="16896"/>
    <n v="10.4"/>
    <n v="36"/>
    <x v="0"/>
    <x v="4"/>
    <x v="2"/>
    <n v="131158"/>
    <s v="MORTGAGE"/>
    <n v="0.32"/>
    <n v="0.63"/>
    <n v="18653.18"/>
    <n v="0"/>
    <n v="29"/>
    <n v="5271.5519999999997"/>
    <n v="22167.552"/>
    <n v="1757.1800000000003"/>
    <n v="0"/>
    <x v="0"/>
    <s v="LOW"/>
    <n v="14643.2"/>
    <n v="0.10399976325757578"/>
    <s v="NORMAL"/>
  </r>
  <r>
    <s v="L0086"/>
    <x v="83"/>
    <s v="B0086"/>
    <x v="9"/>
    <n v="12918"/>
    <n v="15.8"/>
    <n v="60"/>
    <x v="0"/>
    <x v="1"/>
    <x v="0"/>
    <n v="88847"/>
    <s v="RENT"/>
    <n v="0.43"/>
    <n v="0.54"/>
    <n v="14959.04"/>
    <n v="0"/>
    <n v="61"/>
    <n v="10205.220000000001"/>
    <n v="23123.22"/>
    <n v="2041.0400000000009"/>
    <n v="0"/>
    <x v="0"/>
    <s v="HIGH"/>
    <n v="17008.7"/>
    <n v="0.15799969035454411"/>
    <s v="HIGH RISK"/>
  </r>
  <r>
    <s v="L0087"/>
    <x v="84"/>
    <s v="B0087"/>
    <x v="4"/>
    <n v="26064"/>
    <n v="19.600000000000001"/>
    <n v="60"/>
    <x v="0"/>
    <x v="0"/>
    <x v="4"/>
    <n v="41577"/>
    <s v="OWN"/>
    <n v="0.39"/>
    <n v="0.89"/>
    <n v="31172.54"/>
    <n v="0"/>
    <n v="28"/>
    <n v="25542.720000000001"/>
    <n v="51606.720000000001"/>
    <n v="5108.5400000000009"/>
    <n v="0"/>
    <x v="0"/>
    <s v="LOW"/>
    <n v="42571.199999999997"/>
    <n v="0.19599984653161451"/>
    <s v="HIGH RISK"/>
  </r>
  <r>
    <s v="L0088"/>
    <x v="85"/>
    <s v="B0088"/>
    <x v="5"/>
    <n v="28935"/>
    <n v="7.2"/>
    <n v="60"/>
    <x v="0"/>
    <x v="0"/>
    <x v="0"/>
    <n v="107299"/>
    <s v="OWN"/>
    <n v="0.38"/>
    <n v="0.83"/>
    <n v="31018.32"/>
    <n v="0"/>
    <n v="58"/>
    <n v="10416.6"/>
    <n v="39351.599999999999"/>
    <n v="2083.3199999999997"/>
    <n v="0"/>
    <x v="0"/>
    <s v="LOW"/>
    <n v="17361"/>
    <n v="7.1999999999999995E-2"/>
    <s v="HIGH RISK"/>
  </r>
  <r>
    <s v="L0089"/>
    <x v="86"/>
    <s v="B0089"/>
    <x v="3"/>
    <n v="38641"/>
    <n v="18.7"/>
    <n v="60"/>
    <x v="0"/>
    <x v="5"/>
    <x v="2"/>
    <n v="50176"/>
    <s v="MORTGAGE"/>
    <n v="0.23"/>
    <n v="0.64"/>
    <n v="45866.87"/>
    <n v="0"/>
    <n v="55"/>
    <n v="36129.334999999999"/>
    <n v="74770.334999999992"/>
    <n v="7225.8700000000026"/>
    <n v="0"/>
    <x v="0"/>
    <s v="MEDIUM"/>
    <n v="60215.558299999997"/>
    <n v="0.18700007763774237"/>
    <s v="NORMAL"/>
  </r>
  <r>
    <s v="L0090"/>
    <x v="87"/>
    <s v="B0090"/>
    <x v="7"/>
    <n v="30711"/>
    <n v="6.8"/>
    <n v="60"/>
    <x v="0"/>
    <x v="1"/>
    <x v="3"/>
    <n v="74386"/>
    <s v="RENT"/>
    <n v="0.19"/>
    <n v="0.77"/>
    <n v="32799.35"/>
    <n v="0"/>
    <n v="37"/>
    <n v="10441.74"/>
    <n v="41152.74"/>
    <n v="2088.3499999999985"/>
    <n v="0"/>
    <x v="0"/>
    <s v="HIGH"/>
    <n v="17402.900000000001"/>
    <n v="6.800006512324569E-2"/>
    <s v="NORMAL"/>
  </r>
  <r>
    <s v="L0091"/>
    <x v="88"/>
    <s v="B0091"/>
    <x v="0"/>
    <n v="5806"/>
    <n v="24.3"/>
    <n v="36"/>
    <x v="3"/>
    <x v="6"/>
    <x v="0"/>
    <n v="93972"/>
    <s v="RENT"/>
    <n v="0.18"/>
    <n v="0.59"/>
    <n v="2191.11"/>
    <n v="417.13"/>
    <n v="32"/>
    <n v="4232.5740000000005"/>
    <n v="10038.574000000001"/>
    <n v="-3197.7599999999998"/>
    <n v="1"/>
    <x v="2"/>
    <s v="VERY HIGH"/>
    <n v="11757.15"/>
    <n v="-0.55076817085773333"/>
    <s v="NORMAL"/>
  </r>
  <r>
    <s v="L0092"/>
    <x v="89"/>
    <s v="B0092"/>
    <x v="3"/>
    <n v="13182"/>
    <n v="14.8"/>
    <n v="60"/>
    <x v="1"/>
    <x v="4"/>
    <x v="3"/>
    <n v="119791"/>
    <s v="MORTGAGE"/>
    <n v="0.44"/>
    <n v="0.9"/>
    <n v="3017.58"/>
    <n v="0"/>
    <n v="27"/>
    <n v="9754.68"/>
    <n v="22936.68"/>
    <n v="-10164.42"/>
    <n v="0"/>
    <x v="1"/>
    <s v="LOW"/>
    <n v="16257.8"/>
    <n v="-0.77108329540282206"/>
    <s v="HIGH RISK"/>
  </r>
  <r>
    <s v="L0093"/>
    <x v="90"/>
    <s v="B0093"/>
    <x v="1"/>
    <n v="23297"/>
    <n v="8"/>
    <n v="60"/>
    <x v="0"/>
    <x v="0"/>
    <x v="3"/>
    <n v="71003"/>
    <s v="MORTGAGE"/>
    <n v="0.43"/>
    <n v="0.55000000000000004"/>
    <n v="25160.76"/>
    <n v="0"/>
    <n v="27"/>
    <n v="9318.8000000000011"/>
    <n v="32615.800000000003"/>
    <n v="1863.7599999999984"/>
    <n v="0"/>
    <x v="0"/>
    <s v="LOW"/>
    <n v="15531.3333"/>
    <n v="7.9999999999999932E-2"/>
    <s v="HIGH RISK"/>
  </r>
  <r>
    <s v="L0094"/>
    <x v="91"/>
    <s v="B0094"/>
    <x v="1"/>
    <n v="20541"/>
    <n v="11.8"/>
    <n v="36"/>
    <x v="0"/>
    <x v="5"/>
    <x v="2"/>
    <n v="49996"/>
    <s v="RENT"/>
    <n v="0.28000000000000003"/>
    <n v="0.5"/>
    <n v="22964.84"/>
    <n v="0"/>
    <n v="46"/>
    <n v="7271.5140000000001"/>
    <n v="27812.513999999999"/>
    <n v="2423.84"/>
    <n v="0"/>
    <x v="0"/>
    <s v="MEDIUM"/>
    <n v="20198.650000000001"/>
    <n v="0.11800009736624313"/>
    <s v="NORMAL"/>
  </r>
  <r>
    <s v="L0095"/>
    <x v="92"/>
    <s v="B0095"/>
    <x v="1"/>
    <n v="29921"/>
    <n v="13.3"/>
    <n v="60"/>
    <x v="0"/>
    <x v="0"/>
    <x v="2"/>
    <n v="130922"/>
    <s v="OWN"/>
    <n v="0.15"/>
    <n v="0.73"/>
    <n v="33900.49"/>
    <n v="0"/>
    <n v="49"/>
    <n v="19897.465"/>
    <n v="49818.464999999997"/>
    <n v="3979.489999999998"/>
    <n v="0"/>
    <x v="0"/>
    <s v="LOW"/>
    <n v="33162.441700000003"/>
    <n v="0.13299989973597132"/>
    <s v="NORMAL"/>
  </r>
  <r>
    <s v="L0096"/>
    <x v="93"/>
    <s v="B0096"/>
    <x v="1"/>
    <n v="17774"/>
    <n v="20.2"/>
    <n v="36"/>
    <x v="0"/>
    <x v="0"/>
    <x v="4"/>
    <n v="116598"/>
    <s v="OWN"/>
    <n v="0.25"/>
    <n v="0.76"/>
    <n v="21364.35"/>
    <n v="0"/>
    <n v="36"/>
    <n v="10771.044"/>
    <n v="28545.044000000002"/>
    <n v="3590.3499999999985"/>
    <n v="0"/>
    <x v="0"/>
    <s v="LOW"/>
    <n v="29919.566699999999"/>
    <n v="0.20200011252391126"/>
    <s v="NORMAL"/>
  </r>
  <r>
    <s v="L0097"/>
    <x v="94"/>
    <s v="B0097"/>
    <x v="3"/>
    <n v="38198"/>
    <n v="19.899999999999999"/>
    <n v="36"/>
    <x v="0"/>
    <x v="4"/>
    <x v="1"/>
    <n v="65931"/>
    <s v="MORTGAGE"/>
    <n v="0.35"/>
    <n v="0.76"/>
    <n v="45799.4"/>
    <n v="0"/>
    <n v="59"/>
    <n v="22804.205999999995"/>
    <n v="61002.205999999991"/>
    <n v="7601.4000000000015"/>
    <n v="0"/>
    <x v="0"/>
    <s v="LOW"/>
    <n v="63345.0167"/>
    <n v="0.1989999476412378"/>
    <s v="NORMAL"/>
  </r>
  <r>
    <s v="L0098"/>
    <x v="95"/>
    <s v="B0098"/>
    <x v="0"/>
    <n v="9820"/>
    <n v="17.2"/>
    <n v="36"/>
    <x v="0"/>
    <x v="4"/>
    <x v="0"/>
    <n v="65710"/>
    <s v="RENT"/>
    <n v="0.28000000000000003"/>
    <n v="0.52"/>
    <n v="11509.04"/>
    <n v="0"/>
    <n v="40"/>
    <n v="5067.12"/>
    <n v="14887.119999999999"/>
    <n v="1689.0400000000009"/>
    <n v="0"/>
    <x v="0"/>
    <s v="LOW"/>
    <n v="14075.3333"/>
    <n v="0.1720000000000001"/>
    <s v="NORMAL"/>
  </r>
  <r>
    <s v="L0099"/>
    <x v="96"/>
    <s v="B0099"/>
    <x v="2"/>
    <n v="25070"/>
    <n v="7.1"/>
    <n v="36"/>
    <x v="0"/>
    <x v="4"/>
    <x v="2"/>
    <n v="64693"/>
    <s v="RENT"/>
    <n v="0.41"/>
    <n v="0.64"/>
    <n v="26849.97"/>
    <n v="0"/>
    <n v="38"/>
    <n v="5339.91"/>
    <n v="30409.91"/>
    <n v="1779.9700000000012"/>
    <n v="0"/>
    <x v="0"/>
    <s v="LOW"/>
    <n v="14833.0841"/>
    <n v="7.1000000000000049E-2"/>
    <s v="HIGH RISK"/>
  </r>
  <r>
    <s v="L0100"/>
    <x v="97"/>
    <s v="B0100"/>
    <x v="1"/>
    <n v="5232"/>
    <n v="8"/>
    <n v="36"/>
    <x v="0"/>
    <x v="5"/>
    <x v="0"/>
    <n v="65740"/>
    <s v="RENT"/>
    <n v="0.5"/>
    <n v="0.72"/>
    <n v="5650.56"/>
    <n v="0"/>
    <n v="31"/>
    <n v="1255.68"/>
    <n v="6487.68"/>
    <n v="418.5600000000004"/>
    <n v="0"/>
    <x v="0"/>
    <s v="MEDIUM"/>
    <n v="3488"/>
    <n v="8.0000000000000071E-2"/>
    <s v="HIGH RISK"/>
  </r>
  <r>
    <s v="L0101"/>
    <x v="98"/>
    <s v="B0101"/>
    <x v="2"/>
    <n v="12122"/>
    <n v="6.9"/>
    <n v="60"/>
    <x v="0"/>
    <x v="0"/>
    <x v="3"/>
    <n v="107241"/>
    <s v="OWN"/>
    <n v="0.18"/>
    <n v="0.6"/>
    <n v="12958.42"/>
    <n v="0"/>
    <n v="42"/>
    <n v="4182.09"/>
    <n v="16304.09"/>
    <n v="836.42000000000007"/>
    <n v="0"/>
    <x v="0"/>
    <s v="LOW"/>
    <n v="6970.15"/>
    <n v="6.9000164989275706E-2"/>
    <s v="NORMAL"/>
  </r>
  <r>
    <s v="L0102"/>
    <x v="99"/>
    <s v="B0102"/>
    <x v="0"/>
    <n v="16023"/>
    <n v="16.5"/>
    <n v="36"/>
    <x v="0"/>
    <x v="0"/>
    <x v="1"/>
    <n v="138944"/>
    <s v="OWN"/>
    <n v="0.28000000000000003"/>
    <n v="0.89"/>
    <n v="18666.8"/>
    <n v="0"/>
    <n v="41"/>
    <n v="7931.3849999999993"/>
    <n v="23954.384999999998"/>
    <n v="2643.7999999999993"/>
    <n v="0"/>
    <x v="0"/>
    <s v="LOW"/>
    <n v="22031.625"/>
    <n v="0.16500031205142604"/>
    <s v="HIGH RISK"/>
  </r>
  <r>
    <s v="L0103"/>
    <x v="100"/>
    <s v="B0103"/>
    <x v="0"/>
    <n v="9007"/>
    <n v="22.5"/>
    <n v="36"/>
    <x v="1"/>
    <x v="1"/>
    <x v="4"/>
    <n v="123583"/>
    <s v="RENT"/>
    <n v="0.27"/>
    <n v="0.54"/>
    <n v="2983.25"/>
    <n v="0"/>
    <n v="28"/>
    <n v="6079.7249999999995"/>
    <n v="15086.724999999999"/>
    <n v="-6023.75"/>
    <n v="0"/>
    <x v="1"/>
    <s v="HIGH"/>
    <n v="16888.125"/>
    <n v="-0.66878538914177865"/>
    <s v="NORMAL"/>
  </r>
  <r>
    <s v="L0104"/>
    <x v="91"/>
    <s v="B0104"/>
    <x v="5"/>
    <n v="18905"/>
    <n v="13.7"/>
    <n v="60"/>
    <x v="0"/>
    <x v="0"/>
    <x v="0"/>
    <n v="106502"/>
    <s v="RENT"/>
    <n v="0.22"/>
    <n v="0.72"/>
    <n v="21494.98"/>
    <n v="0"/>
    <n v="46"/>
    <n v="12949.925000000001"/>
    <n v="31854.925000000003"/>
    <n v="2589.9799999999996"/>
    <n v="0"/>
    <x v="0"/>
    <s v="LOW"/>
    <n v="21583.208299999998"/>
    <n v="0.13699973551970376"/>
    <s v="NORMAL"/>
  </r>
  <r>
    <s v="L0105"/>
    <x v="101"/>
    <s v="B0105"/>
    <x v="9"/>
    <n v="30398"/>
    <n v="8.1999999999999993"/>
    <n v="60"/>
    <x v="0"/>
    <x v="1"/>
    <x v="1"/>
    <n v="47374"/>
    <s v="MORTGAGE"/>
    <n v="0.18"/>
    <n v="0.81"/>
    <n v="32890.639999999999"/>
    <n v="0"/>
    <n v="37"/>
    <n v="12463.18"/>
    <n v="42861.18"/>
    <n v="2492.6399999999994"/>
    <n v="0"/>
    <x v="0"/>
    <s v="HIGH"/>
    <n v="20771.966700000001"/>
    <n v="8.2000131587604427E-2"/>
    <s v="HIGH RISK"/>
  </r>
  <r>
    <s v="L0106"/>
    <x v="102"/>
    <s v="B0106"/>
    <x v="4"/>
    <n v="35268"/>
    <n v="16.2"/>
    <n v="36"/>
    <x v="1"/>
    <x v="0"/>
    <x v="4"/>
    <n v="106674"/>
    <s v="MORTGAGE"/>
    <n v="0.13"/>
    <n v="0.62"/>
    <n v="14139.59"/>
    <n v="0"/>
    <n v="49"/>
    <n v="17140.248"/>
    <n v="52408.248"/>
    <n v="-21128.41"/>
    <n v="0"/>
    <x v="1"/>
    <s v="LOW"/>
    <n v="47611.8"/>
    <n v="-0.59908160372008623"/>
    <s v="NORMAL"/>
  </r>
  <r>
    <s v="L0107"/>
    <x v="103"/>
    <s v="B0107"/>
    <x v="6"/>
    <n v="7737"/>
    <n v="21.2"/>
    <n v="60"/>
    <x v="3"/>
    <x v="4"/>
    <x v="0"/>
    <n v="146500"/>
    <s v="RENT"/>
    <n v="0.45"/>
    <n v="0.78"/>
    <n v="2593.27"/>
    <n v="2439.15"/>
    <n v="33"/>
    <n v="8201.2199999999993"/>
    <n v="15938.22"/>
    <n v="-2704.58"/>
    <n v="1"/>
    <x v="2"/>
    <s v="LOW"/>
    <n v="13668.7"/>
    <n v="-0.34956443065787773"/>
    <s v="HIGH RISK"/>
  </r>
  <r>
    <s v="L0108"/>
    <x v="104"/>
    <s v="B0108"/>
    <x v="4"/>
    <n v="37062"/>
    <n v="19.8"/>
    <n v="60"/>
    <x v="3"/>
    <x v="0"/>
    <x v="1"/>
    <n v="111471"/>
    <s v="RENT"/>
    <n v="0.27"/>
    <n v="0.87"/>
    <n v="9479.8700000000008"/>
    <n v="13222.79"/>
    <n v="36"/>
    <n v="36691.379999999997"/>
    <n v="73753.38"/>
    <n v="-14359.339999999997"/>
    <n v="1"/>
    <x v="2"/>
    <s v="LOW"/>
    <n v="61152.3"/>
    <n v="-0.38744104473584795"/>
    <s v="HIGH RISK"/>
  </r>
  <r>
    <s v="L0109"/>
    <x v="105"/>
    <s v="B0109"/>
    <x v="3"/>
    <n v="26510"/>
    <n v="22.6"/>
    <n v="36"/>
    <x v="1"/>
    <x v="0"/>
    <x v="2"/>
    <n v="75913"/>
    <s v="OWN"/>
    <n v="0.3"/>
    <n v="0.59"/>
    <n v="11560.44"/>
    <n v="0"/>
    <n v="49"/>
    <n v="17973.780000000002"/>
    <n v="44483.78"/>
    <n v="-14949.56"/>
    <n v="0"/>
    <x v="1"/>
    <s v="LOW"/>
    <n v="49927.166700000002"/>
    <n v="-0.56392153904187092"/>
    <s v="NORMAL"/>
  </r>
  <r>
    <s v="L0110"/>
    <x v="106"/>
    <s v="B0110"/>
    <x v="6"/>
    <n v="20426"/>
    <n v="10.6"/>
    <n v="36"/>
    <x v="0"/>
    <x v="5"/>
    <x v="0"/>
    <n v="96025"/>
    <s v="RENT"/>
    <n v="0.47"/>
    <n v="0.91"/>
    <n v="22591.16"/>
    <n v="0"/>
    <n v="55"/>
    <n v="6495.4679999999998"/>
    <n v="26921.468000000001"/>
    <n v="2165.16"/>
    <n v="0"/>
    <x v="0"/>
    <s v="MEDIUM"/>
    <n v="18042.966700000001"/>
    <n v="0.10600019582884558"/>
    <s v="HIGH RISK"/>
  </r>
  <r>
    <s v="L0111"/>
    <x v="107"/>
    <s v="B0111"/>
    <x v="0"/>
    <n v="38265"/>
    <n v="8.9"/>
    <n v="60"/>
    <x v="1"/>
    <x v="2"/>
    <x v="1"/>
    <n v="74516"/>
    <s v="MORTGAGE"/>
    <n v="0.41"/>
    <n v="0.75"/>
    <n v="8652.49"/>
    <n v="0"/>
    <n v="28"/>
    <n v="17027.924999999999"/>
    <n v="55292.925000000003"/>
    <n v="-29612.510000000002"/>
    <n v="0"/>
    <x v="1"/>
    <s v="VERY HIGH"/>
    <n v="28379.875"/>
    <n v="-0.77387978570495231"/>
    <s v="HIGH RISK"/>
  </r>
  <r>
    <s v="L0112"/>
    <x v="108"/>
    <s v="B0112"/>
    <x v="4"/>
    <n v="18850"/>
    <n v="22.6"/>
    <n v="36"/>
    <x v="1"/>
    <x v="0"/>
    <x v="4"/>
    <n v="117796"/>
    <s v="OWN"/>
    <n v="0.15"/>
    <n v="0.63"/>
    <n v="8480.84"/>
    <n v="0"/>
    <n v="33"/>
    <n v="12780.300000000001"/>
    <n v="31630.300000000003"/>
    <n v="-10369.16"/>
    <n v="0"/>
    <x v="1"/>
    <s v="LOW"/>
    <n v="35500.833299999998"/>
    <n v="-0.55008806366047747"/>
    <s v="NORMAL"/>
  </r>
  <r>
    <s v="L0113"/>
    <x v="109"/>
    <s v="B0113"/>
    <x v="8"/>
    <n v="1614"/>
    <n v="18.2"/>
    <n v="36"/>
    <x v="0"/>
    <x v="4"/>
    <x v="1"/>
    <n v="56069"/>
    <s v="MORTGAGE"/>
    <n v="0.33"/>
    <n v="0.69"/>
    <n v="1907.75"/>
    <n v="0"/>
    <n v="34"/>
    <n v="881.24400000000003"/>
    <n v="2495.2440000000001"/>
    <n v="293.75"/>
    <n v="0"/>
    <x v="0"/>
    <s v="LOW"/>
    <n v="2447.9"/>
    <n v="0.18200123915737298"/>
    <s v="NORMAL"/>
  </r>
  <r>
    <s v="L0114"/>
    <x v="110"/>
    <s v="B0114"/>
    <x v="9"/>
    <n v="22776"/>
    <n v="11.2"/>
    <n v="60"/>
    <x v="0"/>
    <x v="1"/>
    <x v="2"/>
    <n v="148333"/>
    <s v="MORTGAGE"/>
    <n v="0.28000000000000003"/>
    <n v="0.64"/>
    <n v="25326.91"/>
    <n v="0"/>
    <n v="38"/>
    <n v="12754.56"/>
    <n v="35530.559999999998"/>
    <n v="2550.91"/>
    <n v="0"/>
    <x v="0"/>
    <s v="HIGH"/>
    <n v="21257.599999999999"/>
    <n v="0.11199991218826835"/>
    <s v="NORMAL"/>
  </r>
  <r>
    <s v="L0115"/>
    <x v="111"/>
    <s v="B0115"/>
    <x v="4"/>
    <n v="25077"/>
    <n v="19.8"/>
    <n v="36"/>
    <x v="3"/>
    <x v="5"/>
    <x v="0"/>
    <n v="86233"/>
    <s v="OWN"/>
    <n v="0.42"/>
    <n v="0.83"/>
    <n v="4314.95"/>
    <n v="11970.48"/>
    <n v="44"/>
    <n v="14895.737999999999"/>
    <n v="39972.737999999998"/>
    <n v="-8791.57"/>
    <n v="1"/>
    <x v="2"/>
    <s v="MEDIUM"/>
    <n v="41377.050000000003"/>
    <n v="-0.35058300434661244"/>
    <s v="HIGH RISK"/>
  </r>
  <r>
    <s v="L0116"/>
    <x v="112"/>
    <s v="B0116"/>
    <x v="9"/>
    <n v="10374"/>
    <n v="21.3"/>
    <n v="36"/>
    <x v="0"/>
    <x v="6"/>
    <x v="0"/>
    <n v="114811"/>
    <s v="MORTGAGE"/>
    <n v="0.39"/>
    <n v="0.86"/>
    <n v="12583.66"/>
    <n v="0"/>
    <n v="29"/>
    <n v="6628.9860000000008"/>
    <n v="17002.986000000001"/>
    <n v="2209.66"/>
    <n v="0"/>
    <x v="0"/>
    <s v="VERY HIGH"/>
    <n v="18413.849999999999"/>
    <n v="0.21299980721033351"/>
    <s v="HIGH RISK"/>
  </r>
  <r>
    <s v="L0117"/>
    <x v="113"/>
    <s v="B0117"/>
    <x v="2"/>
    <n v="36435"/>
    <n v="17.3"/>
    <n v="36"/>
    <x v="0"/>
    <x v="0"/>
    <x v="0"/>
    <n v="89049"/>
    <s v="RENT"/>
    <n v="0.38"/>
    <n v="0.87"/>
    <n v="42738.26"/>
    <n v="0"/>
    <n v="59"/>
    <n v="18909.764999999999"/>
    <n v="55344.764999999999"/>
    <n v="6303.260000000002"/>
    <n v="0"/>
    <x v="0"/>
    <s v="LOW"/>
    <n v="52527.125"/>
    <n v="0.17300013723068483"/>
    <s v="HIGH RISK"/>
  </r>
  <r>
    <s v="L0118"/>
    <x v="114"/>
    <s v="B0118"/>
    <x v="3"/>
    <n v="31907"/>
    <n v="18.8"/>
    <n v="36"/>
    <x v="0"/>
    <x v="2"/>
    <x v="2"/>
    <n v="131820"/>
    <s v="MORTGAGE"/>
    <n v="0.24"/>
    <n v="0.94"/>
    <n v="37905.519999999997"/>
    <n v="0"/>
    <n v="46"/>
    <n v="17995.547999999999"/>
    <n v="49902.547999999995"/>
    <n v="5998.5199999999968"/>
    <n v="0"/>
    <x v="0"/>
    <s v="VERY HIGH"/>
    <n v="49987.633300000001"/>
    <n v="0.18800012536434002"/>
    <s v="HIGH RISK"/>
  </r>
  <r>
    <s v="L0119"/>
    <x v="81"/>
    <s v="B0119"/>
    <x v="9"/>
    <n v="14409"/>
    <n v="12.5"/>
    <n v="36"/>
    <x v="0"/>
    <x v="4"/>
    <x v="4"/>
    <n v="148028"/>
    <s v="OWN"/>
    <n v="0.42"/>
    <n v="0.86"/>
    <n v="16210.12"/>
    <n v="0"/>
    <n v="55"/>
    <n v="5403.375"/>
    <n v="19812.375"/>
    <n v="1801.1200000000008"/>
    <n v="0"/>
    <x v="0"/>
    <s v="LOW"/>
    <n v="15009.375"/>
    <n v="0.12499965299465618"/>
    <s v="HIGH RISK"/>
  </r>
  <r>
    <s v="L0120"/>
    <x v="115"/>
    <s v="B0120"/>
    <x v="2"/>
    <n v="17514"/>
    <n v="15.8"/>
    <n v="60"/>
    <x v="0"/>
    <x v="4"/>
    <x v="0"/>
    <n v="69178"/>
    <s v="OWN"/>
    <n v="0.12"/>
    <n v="0.77"/>
    <n v="20281.21"/>
    <n v="0"/>
    <n v="38"/>
    <n v="13836.06"/>
    <n v="31350.059999999998"/>
    <n v="2767.2099999999991"/>
    <n v="0"/>
    <x v="0"/>
    <s v="LOW"/>
    <n v="23060.1"/>
    <n v="0.15799988580564114"/>
    <s v="NORMAL"/>
  </r>
  <r>
    <s v="L0121"/>
    <x v="116"/>
    <s v="B0121"/>
    <x v="1"/>
    <n v="30866"/>
    <n v="15.5"/>
    <n v="60"/>
    <x v="1"/>
    <x v="6"/>
    <x v="4"/>
    <n v="62821"/>
    <s v="OWN"/>
    <n v="0.16"/>
    <n v="0.65"/>
    <n v="5435.42"/>
    <n v="0"/>
    <n v="44"/>
    <n v="23921.149999999998"/>
    <n v="54787.149999999994"/>
    <n v="-25430.58"/>
    <n v="0"/>
    <x v="1"/>
    <s v="VERY HIGH"/>
    <n v="39868.583299999998"/>
    <n v="-0.82390267608371681"/>
    <s v="NORMAL"/>
  </r>
  <r>
    <s v="L0122"/>
    <x v="117"/>
    <s v="B0122"/>
    <x v="2"/>
    <n v="3983"/>
    <n v="22"/>
    <n v="36"/>
    <x v="1"/>
    <x v="5"/>
    <x v="1"/>
    <n v="81727"/>
    <s v="MORTGAGE"/>
    <n v="0.23"/>
    <n v="0.75"/>
    <n v="294.36"/>
    <n v="0"/>
    <n v="27"/>
    <n v="2628.78"/>
    <n v="6611.7800000000007"/>
    <n v="-3688.64"/>
    <n v="0"/>
    <x v="1"/>
    <s v="MEDIUM"/>
    <n v="7302.1666999999998"/>
    <n v="-0.92609590760733107"/>
    <s v="NORMAL"/>
  </r>
  <r>
    <s v="L0123"/>
    <x v="118"/>
    <s v="B0123"/>
    <x v="3"/>
    <n v="32705"/>
    <n v="21.8"/>
    <n v="60"/>
    <x v="0"/>
    <x v="5"/>
    <x v="4"/>
    <n v="90935"/>
    <s v="RENT"/>
    <n v="0.13"/>
    <n v="0.52"/>
    <n v="39834.69"/>
    <n v="0"/>
    <n v="45"/>
    <n v="35648.449999999997"/>
    <n v="68353.45"/>
    <n v="7129.6900000000023"/>
    <n v="0"/>
    <x v="0"/>
    <s v="MEDIUM"/>
    <n v="59414.083299999998"/>
    <n v="0.21800000000000008"/>
    <s v="NORMAL"/>
  </r>
  <r>
    <s v="L0124"/>
    <x v="119"/>
    <s v="B0124"/>
    <x v="5"/>
    <n v="21662"/>
    <n v="21.7"/>
    <n v="36"/>
    <x v="3"/>
    <x v="1"/>
    <x v="4"/>
    <n v="46999"/>
    <s v="OWN"/>
    <n v="0.19"/>
    <n v="0.84"/>
    <n v="7336.37"/>
    <n v="1820.32"/>
    <n v="43"/>
    <n v="14101.962"/>
    <n v="35763.962"/>
    <n v="-12505.31"/>
    <n v="1"/>
    <x v="2"/>
    <s v="HIGH"/>
    <n v="39172.116699999999"/>
    <n v="-0.57729249376788849"/>
    <s v="HIGH RISK"/>
  </r>
  <r>
    <s v="L0125"/>
    <x v="120"/>
    <s v="B0125"/>
    <x v="1"/>
    <n v="24510"/>
    <n v="5.2"/>
    <n v="36"/>
    <x v="0"/>
    <x v="5"/>
    <x v="0"/>
    <n v="92522"/>
    <s v="RENT"/>
    <n v="0.43"/>
    <n v="0.7"/>
    <n v="25784.52"/>
    <n v="0"/>
    <n v="40"/>
    <n v="3823.56"/>
    <n v="28333.56"/>
    <n v="1274.5200000000004"/>
    <n v="0"/>
    <x v="0"/>
    <s v="MEDIUM"/>
    <n v="10621.025"/>
    <n v="5.2000000000000018E-2"/>
    <s v="HIGH RISK"/>
  </r>
  <r>
    <s v="L0126"/>
    <x v="121"/>
    <s v="B0126"/>
    <x v="0"/>
    <n v="13651"/>
    <n v="20"/>
    <n v="36"/>
    <x v="0"/>
    <x v="0"/>
    <x v="3"/>
    <n v="68712"/>
    <s v="OWN"/>
    <n v="0.48"/>
    <n v="0.51"/>
    <n v="16381.2"/>
    <n v="0"/>
    <n v="44"/>
    <n v="8190.5999999999995"/>
    <n v="21841.599999999999"/>
    <n v="2730.2000000000007"/>
    <n v="0"/>
    <x v="0"/>
    <s v="LOW"/>
    <n v="22751.666700000002"/>
    <n v="0.20000000000000007"/>
    <s v="HIGH RISK"/>
  </r>
  <r>
    <s v="L0127"/>
    <x v="122"/>
    <s v="B0127"/>
    <x v="7"/>
    <n v="29535"/>
    <n v="20.2"/>
    <n v="36"/>
    <x v="1"/>
    <x v="1"/>
    <x v="3"/>
    <n v="94551"/>
    <s v="RENT"/>
    <n v="0.22"/>
    <n v="0.53"/>
    <n v="7019.73"/>
    <n v="0"/>
    <n v="29"/>
    <n v="17898.21"/>
    <n v="47433.21"/>
    <n v="-22515.27"/>
    <n v="0"/>
    <x v="1"/>
    <s v="HIGH"/>
    <n v="49717.25"/>
    <n v="-0.7623250380904012"/>
    <s v="NORMAL"/>
  </r>
  <r>
    <s v="L0128"/>
    <x v="123"/>
    <s v="B0128"/>
    <x v="2"/>
    <n v="7640"/>
    <n v="18.600000000000001"/>
    <n v="36"/>
    <x v="1"/>
    <x v="0"/>
    <x v="2"/>
    <n v="70172"/>
    <s v="RENT"/>
    <n v="0.21"/>
    <n v="0.67"/>
    <n v="1169.7"/>
    <n v="0"/>
    <n v="41"/>
    <n v="4263.12"/>
    <n v="11903.119999999999"/>
    <n v="-6470.3"/>
    <n v="0"/>
    <x v="1"/>
    <s v="LOW"/>
    <n v="11842"/>
    <n v="-0.84689790575916235"/>
    <s v="NORMAL"/>
  </r>
  <r>
    <s v="L0129"/>
    <x v="124"/>
    <s v="B0129"/>
    <x v="2"/>
    <n v="16317"/>
    <n v="20.100000000000001"/>
    <n v="60"/>
    <x v="1"/>
    <x v="6"/>
    <x v="2"/>
    <n v="63722"/>
    <s v="RENT"/>
    <n v="0.21"/>
    <n v="0.76"/>
    <n v="2517.8000000000002"/>
    <n v="0"/>
    <n v="36"/>
    <n v="16398.585000000003"/>
    <n v="32715.585000000003"/>
    <n v="-13799.2"/>
    <n v="0"/>
    <x v="1"/>
    <s v="VERY HIGH"/>
    <n v="27330.974999999999"/>
    <n v="-0.8456946742661029"/>
    <s v="NORMAL"/>
  </r>
  <r>
    <s v="L0130"/>
    <x v="84"/>
    <s v="B0130"/>
    <x v="9"/>
    <n v="8564"/>
    <n v="21.8"/>
    <n v="60"/>
    <x v="3"/>
    <x v="3"/>
    <x v="3"/>
    <n v="40625"/>
    <s v="OWN"/>
    <n v="0.21"/>
    <n v="0.71"/>
    <n v="3172.28"/>
    <n v="2148.21"/>
    <n v="28"/>
    <n v="9334.76"/>
    <n v="17898.760000000002"/>
    <n v="-3243.51"/>
    <n v="1"/>
    <x v="2"/>
    <s v="VERY HIGH"/>
    <n v="15557.933300000001"/>
    <n v="-0.37873773937412425"/>
    <s v="NORMAL"/>
  </r>
  <r>
    <s v="L0131"/>
    <x v="24"/>
    <s v="B0131"/>
    <x v="0"/>
    <n v="28345"/>
    <n v="14.4"/>
    <n v="36"/>
    <x v="1"/>
    <x v="4"/>
    <x v="1"/>
    <n v="97165"/>
    <s v="MORTGAGE"/>
    <n v="0.11"/>
    <n v="0.78"/>
    <n v="12054.06"/>
    <n v="0"/>
    <n v="56"/>
    <n v="12245.039999999999"/>
    <n v="40590.04"/>
    <n v="-16290.94"/>
    <n v="0"/>
    <x v="1"/>
    <s v="LOW"/>
    <n v="34014"/>
    <n v="-0.57473769624272364"/>
    <s v="NORMAL"/>
  </r>
  <r>
    <s v="L0132"/>
    <x v="125"/>
    <s v="B0132"/>
    <x v="4"/>
    <n v="29687"/>
    <n v="15"/>
    <n v="60"/>
    <x v="3"/>
    <x v="4"/>
    <x v="0"/>
    <n v="106509"/>
    <s v="MORTGAGE"/>
    <n v="0.47"/>
    <n v="0.72"/>
    <n v="7898.5"/>
    <n v="6839.85"/>
    <n v="41"/>
    <n v="22265.25"/>
    <n v="51952.25"/>
    <n v="-14948.65"/>
    <n v="1"/>
    <x v="2"/>
    <s v="LOW"/>
    <n v="37108.75"/>
    <n v="-0.50354195439081073"/>
    <s v="HIGH RISK"/>
  </r>
  <r>
    <s v="L0133"/>
    <x v="126"/>
    <s v="B0133"/>
    <x v="8"/>
    <n v="14737"/>
    <n v="7.5"/>
    <n v="36"/>
    <x v="0"/>
    <x v="0"/>
    <x v="0"/>
    <n v="36859"/>
    <s v="MORTGAGE"/>
    <n v="0.19"/>
    <n v="0.8"/>
    <n v="15842.28"/>
    <n v="0"/>
    <n v="41"/>
    <n v="3315.8250000000003"/>
    <n v="18052.825000000001"/>
    <n v="1105.2800000000007"/>
    <n v="0"/>
    <x v="0"/>
    <s v="LOW"/>
    <n v="9210.6252000000004"/>
    <n v="7.5000339282079165E-2"/>
    <s v="NORMAL"/>
  </r>
  <r>
    <s v="L0134"/>
    <x v="127"/>
    <s v="B0134"/>
    <x v="6"/>
    <n v="10323"/>
    <n v="12.7"/>
    <n v="60"/>
    <x v="1"/>
    <x v="0"/>
    <x v="1"/>
    <n v="71609"/>
    <s v="RENT"/>
    <n v="0.27"/>
    <n v="0.6"/>
    <n v="3378.2"/>
    <n v="0"/>
    <n v="30"/>
    <n v="6555.1049999999996"/>
    <n v="16878.105"/>
    <n v="-6944.8"/>
    <n v="0"/>
    <x v="1"/>
    <s v="LOW"/>
    <n v="10925.174999999999"/>
    <n v="-0.67275016952436306"/>
    <s v="NORMAL"/>
  </r>
  <r>
    <s v="L0135"/>
    <x v="128"/>
    <s v="B0135"/>
    <x v="2"/>
    <n v="16229"/>
    <n v="17.899999999999999"/>
    <n v="36"/>
    <x v="4"/>
    <x v="2"/>
    <x v="1"/>
    <n v="73307"/>
    <s v="OWN"/>
    <n v="0.1"/>
    <n v="0.55000000000000004"/>
    <n v="0"/>
    <n v="0"/>
    <n v="39"/>
    <n v="8714.973"/>
    <n v="24943.972999999998"/>
    <n v="-16229"/>
    <n v="0"/>
    <x v="2"/>
    <s v="VERY HIGH"/>
    <n v="24208.258300000001"/>
    <n v="-1"/>
    <s v="NORMAL"/>
  </r>
  <r>
    <s v="L0136"/>
    <x v="129"/>
    <s v="B0136"/>
    <x v="4"/>
    <n v="9502"/>
    <n v="20.6"/>
    <n v="60"/>
    <x v="1"/>
    <x v="0"/>
    <x v="3"/>
    <n v="140986"/>
    <s v="RENT"/>
    <n v="0.44"/>
    <n v="0.77"/>
    <n v="2503.27"/>
    <n v="0"/>
    <n v="41"/>
    <n v="9787.06"/>
    <n v="19289.059999999998"/>
    <n v="-6998.73"/>
    <n v="0"/>
    <x v="1"/>
    <s v="LOW"/>
    <n v="16311.7667"/>
    <n v="-0.73655335718796033"/>
    <s v="HIGH RISK"/>
  </r>
  <r>
    <s v="L0137"/>
    <x v="130"/>
    <s v="B0137"/>
    <x v="8"/>
    <n v="1545"/>
    <n v="9.3000000000000007"/>
    <n v="36"/>
    <x v="0"/>
    <x v="4"/>
    <x v="2"/>
    <n v="131582"/>
    <s v="OWN"/>
    <n v="0.39"/>
    <n v="0.72"/>
    <n v="1688.68"/>
    <n v="0"/>
    <n v="52"/>
    <n v="431.05500000000006"/>
    <n v="1976.0550000000001"/>
    <n v="143.68000000000006"/>
    <n v="0"/>
    <x v="0"/>
    <s v="LOW"/>
    <n v="1197.375"/>
    <n v="9.299676375404535E-2"/>
    <s v="NORMAL"/>
  </r>
  <r>
    <s v="L0138"/>
    <x v="95"/>
    <s v="B0138"/>
    <x v="6"/>
    <n v="38114"/>
    <n v="7.8"/>
    <n v="36"/>
    <x v="0"/>
    <x v="6"/>
    <x v="1"/>
    <n v="51839"/>
    <s v="RENT"/>
    <n v="0.48"/>
    <n v="0.51"/>
    <n v="41086.89"/>
    <n v="0"/>
    <n v="40"/>
    <n v="8918.6760000000013"/>
    <n v="47032.675999999999"/>
    <n v="2972.8899999999994"/>
    <n v="0"/>
    <x v="0"/>
    <s v="VERY HIGH"/>
    <n v="24774.100399999999"/>
    <n v="7.7999947525843508E-2"/>
    <s v="HIGH RISK"/>
  </r>
  <r>
    <s v="L0139"/>
    <x v="131"/>
    <s v="B0139"/>
    <x v="7"/>
    <n v="30430"/>
    <n v="18.3"/>
    <n v="60"/>
    <x v="1"/>
    <x v="2"/>
    <x v="2"/>
    <n v="57216"/>
    <s v="OWN"/>
    <n v="0.41"/>
    <n v="0.67"/>
    <n v="6884.79"/>
    <n v="0"/>
    <n v="40"/>
    <n v="27843.449999999997"/>
    <n v="58273.45"/>
    <n v="-23545.21"/>
    <n v="0"/>
    <x v="1"/>
    <s v="VERY HIGH"/>
    <n v="46405.75"/>
    <n v="-0.77374991784423264"/>
    <s v="HIGH RISK"/>
  </r>
  <r>
    <s v="L0140"/>
    <x v="132"/>
    <s v="B0140"/>
    <x v="9"/>
    <n v="10996"/>
    <n v="5"/>
    <n v="60"/>
    <x v="0"/>
    <x v="5"/>
    <x v="4"/>
    <n v="82953"/>
    <s v="OWN"/>
    <n v="0.23"/>
    <n v="0.55000000000000004"/>
    <n v="11545.8"/>
    <n v="0"/>
    <n v="48"/>
    <n v="2749"/>
    <n v="13745"/>
    <n v="549.79999999999927"/>
    <n v="0"/>
    <x v="0"/>
    <s v="MEDIUM"/>
    <n v="4581.6666999999998"/>
    <n v="4.9999999999999933E-2"/>
    <s v="NORMAL"/>
  </r>
  <r>
    <s v="L0141"/>
    <x v="111"/>
    <s v="B0141"/>
    <x v="4"/>
    <n v="28788"/>
    <n v="8.6"/>
    <n v="36"/>
    <x v="2"/>
    <x v="5"/>
    <x v="0"/>
    <n v="114481"/>
    <s v="OWN"/>
    <n v="0.2"/>
    <n v="0.74"/>
    <n v="0"/>
    <n v="0"/>
    <n v="44"/>
    <n v="7427.3040000000001"/>
    <n v="36215.304000000004"/>
    <n v="-28788"/>
    <n v="0"/>
    <x v="2"/>
    <s v="MEDIUM"/>
    <n v="20631.400099999999"/>
    <n v="-1"/>
    <s v="NORMAL"/>
  </r>
  <r>
    <s v="L0142"/>
    <x v="133"/>
    <s v="B0142"/>
    <x v="9"/>
    <n v="30969"/>
    <n v="5.6"/>
    <n v="60"/>
    <x v="0"/>
    <x v="1"/>
    <x v="3"/>
    <n v="90593"/>
    <s v="RENT"/>
    <n v="0.38"/>
    <n v="0.68"/>
    <n v="32703.26"/>
    <n v="0"/>
    <n v="31"/>
    <n v="8671.32"/>
    <n v="39640.32"/>
    <n v="1734.2599999999984"/>
    <n v="0"/>
    <x v="0"/>
    <s v="HIGH"/>
    <n v="14452.2"/>
    <n v="5.5999870838580462E-2"/>
    <s v="NORMAL"/>
  </r>
  <r>
    <s v="L0143"/>
    <x v="134"/>
    <s v="B0143"/>
    <x v="6"/>
    <n v="14919"/>
    <n v="8.3000000000000007"/>
    <n v="36"/>
    <x v="0"/>
    <x v="3"/>
    <x v="0"/>
    <n v="102075"/>
    <s v="MORTGAGE"/>
    <n v="0.25"/>
    <n v="0.78"/>
    <n v="16157.28"/>
    <n v="0"/>
    <n v="39"/>
    <n v="3714.8310000000001"/>
    <n v="18633.830999999998"/>
    <n v="1238.2800000000007"/>
    <n v="0"/>
    <x v="0"/>
    <s v="VERY HIGH"/>
    <n v="10318.9751"/>
    <n v="8.3000201085863715E-2"/>
    <s v="NORMAL"/>
  </r>
  <r>
    <s v="L0144"/>
    <x v="135"/>
    <s v="B0144"/>
    <x v="5"/>
    <n v="4810"/>
    <n v="8.6"/>
    <n v="60"/>
    <x v="3"/>
    <x v="5"/>
    <x v="3"/>
    <n v="79522"/>
    <s v="RENT"/>
    <n v="0.33"/>
    <n v="0.86"/>
    <n v="1802.03"/>
    <n v="798.06"/>
    <n v="58"/>
    <n v="2068.3000000000002"/>
    <n v="6878.3"/>
    <n v="-2209.91"/>
    <n v="1"/>
    <x v="2"/>
    <s v="MEDIUM"/>
    <n v="3447.1667000000002"/>
    <n v="-0.45944074844074839"/>
    <s v="HIGH RISK"/>
  </r>
  <r>
    <s v="L0145"/>
    <x v="136"/>
    <s v="B0145"/>
    <x v="2"/>
    <n v="31586"/>
    <n v="12.8"/>
    <n v="60"/>
    <x v="0"/>
    <x v="5"/>
    <x v="4"/>
    <n v="129161"/>
    <s v="RENT"/>
    <n v="0.1"/>
    <n v="0.63"/>
    <n v="35629.01"/>
    <n v="0"/>
    <n v="62"/>
    <n v="20215.04"/>
    <n v="51801.04"/>
    <n v="4043.010000000002"/>
    <n v="0"/>
    <x v="0"/>
    <s v="MEDIUM"/>
    <n v="33691.7333"/>
    <n v="0.12800006331919211"/>
    <s v="NORMAL"/>
  </r>
  <r>
    <s v="L0146"/>
    <x v="137"/>
    <s v="B0146"/>
    <x v="1"/>
    <n v="17371"/>
    <n v="13"/>
    <n v="36"/>
    <x v="0"/>
    <x v="0"/>
    <x v="0"/>
    <n v="34886"/>
    <s v="OWN"/>
    <n v="0.12"/>
    <n v="0.93"/>
    <n v="19629.23"/>
    <n v="0"/>
    <n v="41"/>
    <n v="6774.69"/>
    <n v="24145.69"/>
    <n v="2258.2299999999996"/>
    <n v="0"/>
    <x v="0"/>
    <s v="LOW"/>
    <n v="18818.583299999998"/>
    <n v="0.12999999999999998"/>
    <s v="HIGH RISK"/>
  </r>
  <r>
    <s v="L0147"/>
    <x v="138"/>
    <s v="B0147"/>
    <x v="8"/>
    <n v="30629"/>
    <n v="22.5"/>
    <n v="60"/>
    <x v="1"/>
    <x v="0"/>
    <x v="4"/>
    <n v="141249"/>
    <s v="OWN"/>
    <n v="0.31"/>
    <n v="0.74"/>
    <n v="3262.78"/>
    <n v="0"/>
    <n v="55"/>
    <n v="34457.625"/>
    <n v="65086.625"/>
    <n v="-27366.22"/>
    <n v="0"/>
    <x v="1"/>
    <s v="LOW"/>
    <n v="57429.375"/>
    <n v="-0.89347415847726019"/>
    <s v="NORMAL"/>
  </r>
  <r>
    <s v="L0148"/>
    <x v="139"/>
    <s v="B0148"/>
    <x v="0"/>
    <n v="9436"/>
    <n v="15.2"/>
    <n v="60"/>
    <x v="1"/>
    <x v="5"/>
    <x v="3"/>
    <n v="37485"/>
    <s v="MORTGAGE"/>
    <n v="0.33"/>
    <n v="0.78"/>
    <n v="2248.61"/>
    <n v="0"/>
    <n v="34"/>
    <n v="7171.36"/>
    <n v="16607.36"/>
    <n v="-7187.3899999999994"/>
    <n v="0"/>
    <x v="1"/>
    <s v="MEDIUM"/>
    <n v="11952.2667"/>
    <n v="-0.76169881305637976"/>
    <s v="NORMAL"/>
  </r>
  <r>
    <s v="L0149"/>
    <x v="140"/>
    <s v="B0149"/>
    <x v="3"/>
    <n v="13984"/>
    <n v="19.5"/>
    <n v="36"/>
    <x v="0"/>
    <x v="2"/>
    <x v="1"/>
    <n v="61455"/>
    <s v="MORTGAGE"/>
    <n v="0.4"/>
    <n v="0.81"/>
    <n v="16710.88"/>
    <n v="0"/>
    <n v="49"/>
    <n v="8180.64"/>
    <n v="22164.639999999999"/>
    <n v="2726.880000000001"/>
    <n v="0"/>
    <x v="0"/>
    <s v="VERY HIGH"/>
    <n v="22724"/>
    <n v="0.19500000000000006"/>
    <s v="HIGH RISK"/>
  </r>
  <r>
    <s v="L0150"/>
    <x v="63"/>
    <s v="B0150"/>
    <x v="2"/>
    <n v="34039"/>
    <n v="7.1"/>
    <n v="60"/>
    <x v="2"/>
    <x v="6"/>
    <x v="0"/>
    <n v="141984"/>
    <s v="OWN"/>
    <n v="0.15"/>
    <n v="0.8"/>
    <n v="0"/>
    <n v="0"/>
    <n v="27"/>
    <n v="12083.844999999999"/>
    <n v="46122.845000000001"/>
    <n v="-34039"/>
    <n v="0"/>
    <x v="2"/>
    <s v="VERY HIGH"/>
    <n v="20139.741699999999"/>
    <n v="-1"/>
    <s v="NORMAL"/>
  </r>
  <r>
    <s v="L0151"/>
    <x v="51"/>
    <s v="B0151"/>
    <x v="1"/>
    <n v="20895"/>
    <n v="9.5"/>
    <n v="36"/>
    <x v="0"/>
    <x v="3"/>
    <x v="4"/>
    <n v="46767"/>
    <s v="MORTGAGE"/>
    <n v="0.31"/>
    <n v="0.73"/>
    <n v="22880.02"/>
    <n v="0"/>
    <n v="38"/>
    <n v="5955.0750000000007"/>
    <n v="26850.075000000001"/>
    <n v="1985.0200000000004"/>
    <n v="0"/>
    <x v="0"/>
    <s v="VERY HIGH"/>
    <n v="16541.875"/>
    <n v="9.4999760708303446E-2"/>
    <s v="NORMAL"/>
  </r>
  <r>
    <s v="L0152"/>
    <x v="141"/>
    <s v="B0152"/>
    <x v="3"/>
    <n v="19155"/>
    <n v="19.100000000000001"/>
    <n v="36"/>
    <x v="1"/>
    <x v="5"/>
    <x v="0"/>
    <n v="142701"/>
    <s v="MORTGAGE"/>
    <n v="0.18"/>
    <n v="0.69"/>
    <n v="3927.79"/>
    <n v="0"/>
    <n v="54"/>
    <n v="10975.815000000001"/>
    <n v="30130.815000000002"/>
    <n v="-15227.21"/>
    <n v="0"/>
    <x v="1"/>
    <s v="MEDIUM"/>
    <n v="30488.375"/>
    <n v="-0.7949470112242234"/>
    <s v="NORMAL"/>
  </r>
  <r>
    <s v="L0153"/>
    <x v="142"/>
    <s v="B0153"/>
    <x v="4"/>
    <n v="11616"/>
    <n v="6.1"/>
    <n v="36"/>
    <x v="0"/>
    <x v="6"/>
    <x v="0"/>
    <n v="58453"/>
    <s v="OWN"/>
    <n v="0.14000000000000001"/>
    <n v="0.52"/>
    <n v="12324.58"/>
    <n v="0"/>
    <n v="35"/>
    <n v="2125.7279999999996"/>
    <n v="13741.727999999999"/>
    <n v="708.57999999999993"/>
    <n v="0"/>
    <x v="0"/>
    <s v="VERY HIGH"/>
    <n v="5904.8022000000001"/>
    <n v="6.1000344352617072E-2"/>
    <s v="NORMAL"/>
  </r>
  <r>
    <s v="L0154"/>
    <x v="143"/>
    <s v="B0154"/>
    <x v="3"/>
    <n v="38129"/>
    <n v="14.7"/>
    <n v="36"/>
    <x v="1"/>
    <x v="6"/>
    <x v="0"/>
    <n v="106280"/>
    <s v="RENT"/>
    <n v="0.26"/>
    <n v="0.51"/>
    <n v="10453.74"/>
    <n v="0"/>
    <n v="55"/>
    <n v="16814.888999999999"/>
    <n v="54943.888999999996"/>
    <n v="-27675.260000000002"/>
    <n v="0"/>
    <x v="1"/>
    <s v="VERY HIGH"/>
    <n v="46708.025000000001"/>
    <n v="-0.72583230611870231"/>
    <s v="NORMAL"/>
  </r>
  <r>
    <s v="L0155"/>
    <x v="144"/>
    <s v="B0155"/>
    <x v="7"/>
    <n v="25574"/>
    <n v="17"/>
    <n v="36"/>
    <x v="0"/>
    <x v="1"/>
    <x v="2"/>
    <n v="132638"/>
    <s v="MORTGAGE"/>
    <n v="0.17"/>
    <n v="0.66"/>
    <n v="29921.58"/>
    <n v="0"/>
    <n v="58"/>
    <n v="13042.74"/>
    <n v="38616.74"/>
    <n v="4347.5800000000017"/>
    <n v="0"/>
    <x v="0"/>
    <s v="HIGH"/>
    <n v="36229.833299999998"/>
    <n v="0.17000000000000007"/>
    <s v="NORMAL"/>
  </r>
  <r>
    <s v="L0156"/>
    <x v="145"/>
    <s v="B0156"/>
    <x v="2"/>
    <n v="4430"/>
    <n v="17"/>
    <n v="60"/>
    <x v="0"/>
    <x v="4"/>
    <x v="4"/>
    <n v="83442"/>
    <s v="OWN"/>
    <n v="0.19"/>
    <n v="0.65"/>
    <n v="5183.1000000000004"/>
    <n v="0"/>
    <n v="49"/>
    <n v="3765.5"/>
    <n v="8195.5"/>
    <n v="753.10000000000036"/>
    <n v="0"/>
    <x v="0"/>
    <s v="LOW"/>
    <n v="6275.8333000000002"/>
    <n v="0.1700000000000001"/>
    <s v="NORMAL"/>
  </r>
  <r>
    <s v="L0157"/>
    <x v="101"/>
    <s v="B0157"/>
    <x v="9"/>
    <n v="13676"/>
    <n v="5.5"/>
    <n v="36"/>
    <x v="0"/>
    <x v="5"/>
    <x v="4"/>
    <n v="81877"/>
    <s v="MORTGAGE"/>
    <n v="0.23"/>
    <n v="0.67"/>
    <n v="14428.18"/>
    <n v="0"/>
    <n v="37"/>
    <n v="2256.54"/>
    <n v="15932.54"/>
    <n v="752.18000000000029"/>
    <n v="0"/>
    <x v="0"/>
    <s v="MEDIUM"/>
    <n v="6268.1746000000003"/>
    <n v="5.5000000000000021E-2"/>
    <s v="NORMAL"/>
  </r>
  <r>
    <s v="L0158"/>
    <x v="146"/>
    <s v="B0158"/>
    <x v="5"/>
    <n v="11816"/>
    <n v="11.4"/>
    <n v="36"/>
    <x v="1"/>
    <x v="6"/>
    <x v="0"/>
    <n v="42226"/>
    <s v="MORTGAGE"/>
    <n v="0.2"/>
    <n v="0.56000000000000005"/>
    <n v="3024.12"/>
    <n v="0"/>
    <n v="52"/>
    <n v="4041.0719999999997"/>
    <n v="15857.072"/>
    <n v="-8791.880000000001"/>
    <n v="0"/>
    <x v="1"/>
    <s v="VERY HIGH"/>
    <n v="11225.2"/>
    <n v="-0.74406567366283016"/>
    <s v="NORMAL"/>
  </r>
  <r>
    <s v="L0159"/>
    <x v="147"/>
    <s v="B0159"/>
    <x v="0"/>
    <n v="33733"/>
    <n v="17.7"/>
    <n v="60"/>
    <x v="0"/>
    <x v="4"/>
    <x v="1"/>
    <n v="123405"/>
    <s v="OWN"/>
    <n v="0.14000000000000001"/>
    <n v="0.83"/>
    <n v="39703.74"/>
    <n v="0"/>
    <n v="53"/>
    <n v="29853.705000000002"/>
    <n v="63586.705000000002"/>
    <n v="5970.739999999998"/>
    <n v="0"/>
    <x v="0"/>
    <s v="LOW"/>
    <n v="49756.175000000003"/>
    <n v="0.17699997035543824"/>
    <s v="HIGH RISK"/>
  </r>
  <r>
    <s v="L0160"/>
    <x v="148"/>
    <s v="B0160"/>
    <x v="9"/>
    <n v="21144"/>
    <n v="8"/>
    <n v="60"/>
    <x v="1"/>
    <x v="2"/>
    <x v="0"/>
    <n v="52588"/>
    <s v="MORTGAGE"/>
    <n v="0.14000000000000001"/>
    <n v="0.89"/>
    <n v="5994.33"/>
    <n v="0"/>
    <n v="33"/>
    <n v="8457.6"/>
    <n v="29601.599999999999"/>
    <n v="-15149.67"/>
    <n v="0"/>
    <x v="1"/>
    <s v="VERY HIGH"/>
    <n v="14096"/>
    <n v="-0.71649971623155506"/>
    <s v="HIGH RISK"/>
  </r>
  <r>
    <s v="L0161"/>
    <x v="149"/>
    <s v="B0161"/>
    <x v="1"/>
    <n v="3050"/>
    <n v="18.899999999999999"/>
    <n v="60"/>
    <x v="1"/>
    <x v="0"/>
    <x v="2"/>
    <n v="108976"/>
    <s v="MORTGAGE"/>
    <n v="0.18"/>
    <n v="0.92"/>
    <n v="344.54"/>
    <n v="0"/>
    <n v="56"/>
    <n v="2882.2499999999995"/>
    <n v="5932.25"/>
    <n v="-2705.46"/>
    <n v="0"/>
    <x v="1"/>
    <s v="LOW"/>
    <n v="4803.75"/>
    <n v="-0.88703606557377046"/>
    <s v="HIGH RISK"/>
  </r>
  <r>
    <s v="L0162"/>
    <x v="150"/>
    <s v="B0162"/>
    <x v="2"/>
    <n v="34933"/>
    <n v="19.899999999999999"/>
    <n v="36"/>
    <x v="0"/>
    <x v="1"/>
    <x v="3"/>
    <n v="61709"/>
    <s v="MORTGAGE"/>
    <n v="0.12"/>
    <n v="0.72"/>
    <n v="41884.67"/>
    <n v="0"/>
    <n v="30"/>
    <n v="20855.001"/>
    <n v="55788.001000000004"/>
    <n v="6951.6699999999983"/>
    <n v="0"/>
    <x v="0"/>
    <s v="HIGH"/>
    <n v="57930.558299999997"/>
    <n v="0.19900008587868201"/>
    <s v="NORMAL"/>
  </r>
  <r>
    <s v="L0163"/>
    <x v="151"/>
    <s v="B0163"/>
    <x v="5"/>
    <n v="25951"/>
    <n v="24.6"/>
    <n v="36"/>
    <x v="0"/>
    <x v="1"/>
    <x v="2"/>
    <n v="77788"/>
    <s v="RENT"/>
    <n v="0.35"/>
    <n v="0.82"/>
    <n v="32334.95"/>
    <n v="0"/>
    <n v="37"/>
    <n v="19151.838000000003"/>
    <n v="45102.838000000003"/>
    <n v="6383.9500000000007"/>
    <n v="0"/>
    <x v="0"/>
    <s v="HIGH"/>
    <n v="53199.55"/>
    <n v="0.24600015413664217"/>
    <s v="HIGH RISK"/>
  </r>
  <r>
    <s v="L0164"/>
    <x v="152"/>
    <s v="B0164"/>
    <x v="3"/>
    <n v="33413"/>
    <n v="9.1999999999999993"/>
    <n v="36"/>
    <x v="0"/>
    <x v="1"/>
    <x v="1"/>
    <n v="118031"/>
    <s v="RENT"/>
    <n v="0.21"/>
    <n v="0.88"/>
    <n v="36487"/>
    <n v="0"/>
    <n v="57"/>
    <n v="9221.9879999999994"/>
    <n v="42634.987999999998"/>
    <n v="3074"/>
    <n v="0"/>
    <x v="0"/>
    <s v="HIGH"/>
    <n v="25616.633399999999"/>
    <n v="9.2000119713883818E-2"/>
    <s v="HIGH RISK"/>
  </r>
  <r>
    <s v="L0165"/>
    <x v="153"/>
    <s v="B0165"/>
    <x v="2"/>
    <n v="35801"/>
    <n v="21.5"/>
    <n v="60"/>
    <x v="1"/>
    <x v="4"/>
    <x v="0"/>
    <n v="67019"/>
    <s v="MORTGAGE"/>
    <n v="0.21"/>
    <n v="0.69"/>
    <n v="10056.99"/>
    <n v="0"/>
    <n v="42"/>
    <n v="38486.075000000004"/>
    <n v="74287.075000000012"/>
    <n v="-25744.010000000002"/>
    <n v="0"/>
    <x v="1"/>
    <s v="LOW"/>
    <n v="64143.458299999998"/>
    <n v="-0.71908633837043667"/>
    <s v="NORMAL"/>
  </r>
  <r>
    <s v="L0166"/>
    <x v="154"/>
    <s v="B0166"/>
    <x v="3"/>
    <n v="33913"/>
    <n v="15.4"/>
    <n v="36"/>
    <x v="0"/>
    <x v="2"/>
    <x v="4"/>
    <n v="74948"/>
    <s v="OWN"/>
    <n v="0.23"/>
    <n v="0.64"/>
    <n v="39135.599999999999"/>
    <n v="0"/>
    <n v="56"/>
    <n v="15667.805999999999"/>
    <n v="49580.805999999997"/>
    <n v="5222.5999999999985"/>
    <n v="0"/>
    <x v="0"/>
    <s v="VERY HIGH"/>
    <n v="43521.683299999997"/>
    <n v="0.15399994102556538"/>
    <s v="NORMAL"/>
  </r>
  <r>
    <s v="L0167"/>
    <x v="155"/>
    <s v="B0167"/>
    <x v="4"/>
    <n v="26280"/>
    <n v="12.5"/>
    <n v="60"/>
    <x v="0"/>
    <x v="1"/>
    <x v="0"/>
    <n v="95133"/>
    <s v="MORTGAGE"/>
    <n v="0.37"/>
    <n v="0.92"/>
    <n v="29565"/>
    <n v="0"/>
    <n v="47"/>
    <n v="16425"/>
    <n v="42705"/>
    <n v="3285"/>
    <n v="0"/>
    <x v="0"/>
    <s v="HIGH"/>
    <n v="27375"/>
    <n v="0.125"/>
    <s v="HIGH RISK"/>
  </r>
  <r>
    <s v="L0168"/>
    <x v="156"/>
    <s v="B0168"/>
    <x v="7"/>
    <n v="25557"/>
    <n v="7.4"/>
    <n v="36"/>
    <x v="1"/>
    <x v="4"/>
    <x v="1"/>
    <n v="144444"/>
    <s v="MORTGAGE"/>
    <n v="0.45"/>
    <n v="0.73"/>
    <n v="4065.82"/>
    <n v="0"/>
    <n v="40"/>
    <n v="5673.6539999999995"/>
    <n v="31230.653999999999"/>
    <n v="-21491.18"/>
    <n v="0"/>
    <x v="1"/>
    <s v="LOW"/>
    <n v="15760.1505"/>
    <n v="-0.84091168760026613"/>
    <s v="HIGH RISK"/>
  </r>
  <r>
    <s v="L0169"/>
    <x v="66"/>
    <s v="B0169"/>
    <x v="6"/>
    <n v="36400"/>
    <n v="19.7"/>
    <n v="60"/>
    <x v="1"/>
    <x v="1"/>
    <x v="4"/>
    <n v="96458"/>
    <s v="RENT"/>
    <n v="0.4"/>
    <n v="0.72"/>
    <n v="4839.3500000000004"/>
    <n v="0"/>
    <n v="37"/>
    <n v="35854"/>
    <n v="72254"/>
    <n v="-31560.65"/>
    <n v="0"/>
    <x v="1"/>
    <s v="HIGH"/>
    <n v="59756.666700000002"/>
    <n v="-0.86705082417582424"/>
    <s v="NORMAL"/>
  </r>
  <r>
    <s v="L0170"/>
    <x v="157"/>
    <s v="B0170"/>
    <x v="2"/>
    <n v="5494"/>
    <n v="9.6999999999999993"/>
    <n v="36"/>
    <x v="0"/>
    <x v="4"/>
    <x v="2"/>
    <n v="147603"/>
    <s v="RENT"/>
    <n v="0.39"/>
    <n v="0.57999999999999996"/>
    <n v="6026.92"/>
    <n v="0"/>
    <n v="31"/>
    <n v="1598.7539999999999"/>
    <n v="7092.7539999999999"/>
    <n v="532.92000000000007"/>
    <n v="0"/>
    <x v="0"/>
    <s v="LOW"/>
    <n v="4440.9832999999999"/>
    <n v="9.700036403349109E-2"/>
    <s v="NORMAL"/>
  </r>
  <r>
    <s v="L0171"/>
    <x v="158"/>
    <s v="B0171"/>
    <x v="1"/>
    <n v="16152"/>
    <n v="12.4"/>
    <n v="36"/>
    <x v="0"/>
    <x v="4"/>
    <x v="3"/>
    <n v="57526"/>
    <s v="RENT"/>
    <n v="0.28999999999999998"/>
    <n v="0.55000000000000004"/>
    <n v="18154.849999999999"/>
    <n v="0"/>
    <n v="49"/>
    <n v="6008.5440000000008"/>
    <n v="22160.544000000002"/>
    <n v="2002.8499999999985"/>
    <n v="0"/>
    <x v="0"/>
    <s v="LOW"/>
    <n v="16690.400000000001"/>
    <n v="0.12400012382367499"/>
    <s v="NORMAL"/>
  </r>
  <r>
    <s v="L0172"/>
    <x v="159"/>
    <s v="B0172"/>
    <x v="3"/>
    <n v="24895"/>
    <n v="6.3"/>
    <n v="36"/>
    <x v="1"/>
    <x v="4"/>
    <x v="3"/>
    <n v="103493"/>
    <s v="MORTGAGE"/>
    <n v="0.38"/>
    <n v="0.88"/>
    <n v="1971.07"/>
    <n v="0"/>
    <n v="57"/>
    <n v="4705.1549999999997"/>
    <n v="29600.154999999999"/>
    <n v="-22923.93"/>
    <n v="0"/>
    <x v="1"/>
    <s v="LOW"/>
    <n v="13069.8783"/>
    <n v="-0.92082466358706572"/>
    <s v="HIGH RISK"/>
  </r>
  <r>
    <s v="L0173"/>
    <x v="109"/>
    <s v="B0173"/>
    <x v="9"/>
    <n v="10155"/>
    <n v="21"/>
    <n v="60"/>
    <x v="3"/>
    <x v="6"/>
    <x v="0"/>
    <n v="82198"/>
    <s v="MORTGAGE"/>
    <n v="0.32"/>
    <n v="0.78"/>
    <n v="3338.92"/>
    <n v="989.42"/>
    <n v="34"/>
    <n v="10662.750000000002"/>
    <n v="20817.75"/>
    <n v="-5826.66"/>
    <n v="1"/>
    <x v="2"/>
    <s v="VERY HIGH"/>
    <n v="17771.25"/>
    <n v="-0.57377252584933525"/>
    <s v="NORMAL"/>
  </r>
  <r>
    <s v="L0174"/>
    <x v="160"/>
    <s v="B0174"/>
    <x v="4"/>
    <n v="32883"/>
    <n v="20.3"/>
    <n v="60"/>
    <x v="3"/>
    <x v="5"/>
    <x v="2"/>
    <n v="144100"/>
    <s v="OWN"/>
    <n v="0.19"/>
    <n v="0.65"/>
    <n v="7504.97"/>
    <n v="9677.33"/>
    <n v="46"/>
    <n v="33376.245000000003"/>
    <n v="66259.244999999995"/>
    <n v="-15700.7"/>
    <n v="1"/>
    <x v="2"/>
    <s v="MEDIUM"/>
    <n v="55627.074999999997"/>
    <n v="-0.47747164188182345"/>
    <s v="NORMAL"/>
  </r>
  <r>
    <s v="L0175"/>
    <x v="161"/>
    <s v="B0175"/>
    <x v="1"/>
    <n v="2828"/>
    <n v="19.7"/>
    <n v="36"/>
    <x v="1"/>
    <x v="1"/>
    <x v="1"/>
    <n v="129534"/>
    <s v="MORTGAGE"/>
    <n v="0.18"/>
    <n v="0.59"/>
    <n v="938.87"/>
    <n v="0"/>
    <n v="32"/>
    <n v="1671.348"/>
    <n v="4499.348"/>
    <n v="-1889.13"/>
    <n v="0"/>
    <x v="1"/>
    <s v="HIGH"/>
    <n v="4642.6333000000004"/>
    <n v="-0.66800919377652057"/>
    <s v="NORMAL"/>
  </r>
  <r>
    <s v="L0176"/>
    <x v="162"/>
    <s v="B0176"/>
    <x v="0"/>
    <n v="33123"/>
    <n v="11"/>
    <n v="36"/>
    <x v="0"/>
    <x v="4"/>
    <x v="3"/>
    <n v="73395"/>
    <s v="MORTGAGE"/>
    <n v="0.22"/>
    <n v="0.75"/>
    <n v="36766.53"/>
    <n v="0"/>
    <n v="44"/>
    <n v="10930.590000000002"/>
    <n v="44053.590000000004"/>
    <n v="3643.5299999999988"/>
    <n v="0"/>
    <x v="0"/>
    <s v="LOW"/>
    <n v="30362.75"/>
    <n v="0.10999999999999996"/>
    <s v="NORMAL"/>
  </r>
  <r>
    <s v="L0177"/>
    <x v="61"/>
    <s v="B0177"/>
    <x v="6"/>
    <n v="38573"/>
    <n v="8.5"/>
    <n v="36"/>
    <x v="0"/>
    <x v="4"/>
    <x v="2"/>
    <n v="54031"/>
    <s v="RENT"/>
    <n v="0.46"/>
    <n v="0.76"/>
    <n v="41851.699999999997"/>
    <n v="0"/>
    <n v="51"/>
    <n v="9836.1149999999998"/>
    <n v="48409.114999999998"/>
    <n v="3278.6999999999971"/>
    <n v="0"/>
    <x v="0"/>
    <s v="LOW"/>
    <n v="27322.541799999999"/>
    <n v="8.4999870375651293E-2"/>
    <s v="HIGH RISK"/>
  </r>
  <r>
    <s v="L0178"/>
    <x v="6"/>
    <s v="B0178"/>
    <x v="4"/>
    <n v="1806"/>
    <n v="17.8"/>
    <n v="60"/>
    <x v="0"/>
    <x v="2"/>
    <x v="0"/>
    <n v="105542"/>
    <s v="RENT"/>
    <n v="0.32"/>
    <n v="0.59"/>
    <n v="2127.4699999999998"/>
    <n v="0"/>
    <n v="33"/>
    <n v="1607.3400000000001"/>
    <n v="3413.34"/>
    <n v="321.4699999999998"/>
    <n v="0"/>
    <x v="0"/>
    <s v="VERY HIGH"/>
    <n v="2678.9"/>
    <n v="0.17800110741971195"/>
    <s v="NORMAL"/>
  </r>
  <r>
    <s v="L0179"/>
    <x v="163"/>
    <s v="B0179"/>
    <x v="7"/>
    <n v="30757"/>
    <n v="14.9"/>
    <n v="36"/>
    <x v="0"/>
    <x v="5"/>
    <x v="4"/>
    <n v="67701"/>
    <s v="RENT"/>
    <n v="0.39"/>
    <n v="0.88"/>
    <n v="35339.79"/>
    <n v="0"/>
    <n v="41"/>
    <n v="13748.378999999999"/>
    <n v="44505.379000000001"/>
    <n v="4582.7900000000009"/>
    <n v="0"/>
    <x v="0"/>
    <s v="MEDIUM"/>
    <n v="38189.941700000003"/>
    <n v="0.14899990246122838"/>
    <s v="HIGH RISK"/>
  </r>
  <r>
    <s v="L0180"/>
    <x v="164"/>
    <s v="B0180"/>
    <x v="6"/>
    <n v="35636"/>
    <n v="8.6"/>
    <n v="36"/>
    <x v="1"/>
    <x v="2"/>
    <x v="0"/>
    <n v="142599"/>
    <s v="RENT"/>
    <n v="0.24"/>
    <n v="0.54"/>
    <n v="13449.63"/>
    <n v="0"/>
    <n v="47"/>
    <n v="9194.0879999999997"/>
    <n v="44830.088000000003"/>
    <n v="-22186.370000000003"/>
    <n v="0"/>
    <x v="1"/>
    <s v="VERY HIGH"/>
    <n v="25539.133399999999"/>
    <n v="-0.62258306207206204"/>
    <s v="NORMAL"/>
  </r>
  <r>
    <s v="L0181"/>
    <x v="165"/>
    <s v="B0181"/>
    <x v="3"/>
    <n v="15561"/>
    <n v="18.7"/>
    <n v="36"/>
    <x v="0"/>
    <x v="0"/>
    <x v="0"/>
    <n v="55939"/>
    <s v="RENT"/>
    <n v="0.26"/>
    <n v="0.66"/>
    <n v="18470.91"/>
    <n v="0"/>
    <n v="57"/>
    <n v="8729.7209999999995"/>
    <n v="24290.720999999998"/>
    <n v="2909.91"/>
    <n v="0"/>
    <x v="0"/>
    <s v="LOW"/>
    <n v="24249.224999999999"/>
    <n v="0.18700019278966645"/>
    <s v="NORMAL"/>
  </r>
  <r>
    <s v="L0182"/>
    <x v="166"/>
    <s v="B0182"/>
    <x v="1"/>
    <n v="25262"/>
    <n v="24.8"/>
    <n v="36"/>
    <x v="0"/>
    <x v="0"/>
    <x v="2"/>
    <n v="79145"/>
    <s v="OWN"/>
    <n v="0.15"/>
    <n v="0.81"/>
    <n v="31526.98"/>
    <n v="0"/>
    <n v="53"/>
    <n v="18794.928"/>
    <n v="44056.928"/>
    <n v="6264.98"/>
    <n v="0"/>
    <x v="0"/>
    <s v="LOW"/>
    <n v="52208.133300000001"/>
    <n v="0.24800015834059058"/>
    <s v="HIGH RISK"/>
  </r>
  <r>
    <s v="L0183"/>
    <x v="152"/>
    <s v="B0183"/>
    <x v="0"/>
    <n v="15899"/>
    <n v="19.899999999999999"/>
    <n v="60"/>
    <x v="4"/>
    <x v="6"/>
    <x v="3"/>
    <n v="50324"/>
    <s v="OWN"/>
    <n v="0.17"/>
    <n v="0.62"/>
    <n v="0"/>
    <n v="0"/>
    <n v="57"/>
    <n v="15819.504999999999"/>
    <n v="31718.504999999997"/>
    <n v="-15899"/>
    <n v="0"/>
    <x v="2"/>
    <s v="VERY HIGH"/>
    <n v="26365.841700000001"/>
    <n v="-1"/>
    <s v="NORMAL"/>
  </r>
  <r>
    <s v="L0184"/>
    <x v="167"/>
    <s v="B0184"/>
    <x v="8"/>
    <n v="16934"/>
    <n v="19.8"/>
    <n v="60"/>
    <x v="0"/>
    <x v="1"/>
    <x v="2"/>
    <n v="52867"/>
    <s v="OWN"/>
    <n v="0.43"/>
    <n v="0.87"/>
    <n v="20286.93"/>
    <n v="0"/>
    <n v="51"/>
    <n v="16764.66"/>
    <n v="33698.660000000003"/>
    <n v="3352.9300000000003"/>
    <n v="0"/>
    <x v="0"/>
    <s v="HIGH"/>
    <n v="27941.1"/>
    <n v="0.19799988189441362"/>
    <s v="HIGH RISK"/>
  </r>
  <r>
    <s v="L0185"/>
    <x v="168"/>
    <s v="B0185"/>
    <x v="7"/>
    <n v="39197"/>
    <n v="24"/>
    <n v="36"/>
    <x v="0"/>
    <x v="0"/>
    <x v="4"/>
    <n v="30203"/>
    <s v="RENT"/>
    <n v="0.33"/>
    <n v="0.83"/>
    <n v="48604.28"/>
    <n v="0"/>
    <n v="42"/>
    <n v="28221.84"/>
    <n v="67418.84"/>
    <n v="9407.2799999999988"/>
    <n v="0"/>
    <x v="0"/>
    <s v="LOW"/>
    <n v="78394"/>
    <n v="0.23999999999999996"/>
    <s v="HIGH RISK"/>
  </r>
  <r>
    <s v="L0186"/>
    <x v="58"/>
    <s v="B0186"/>
    <x v="5"/>
    <n v="37332"/>
    <n v="9.1"/>
    <n v="36"/>
    <x v="0"/>
    <x v="4"/>
    <x v="2"/>
    <n v="46544"/>
    <s v="RENT"/>
    <n v="0.24"/>
    <n v="0.86"/>
    <n v="40729.21"/>
    <n v="0"/>
    <n v="29"/>
    <n v="10191.636"/>
    <n v="47523.635999999999"/>
    <n v="3397.2099999999991"/>
    <n v="0"/>
    <x v="0"/>
    <s v="LOW"/>
    <n v="28310.1"/>
    <n v="9.0999946426658068E-2"/>
    <s v="HIGH RISK"/>
  </r>
  <r>
    <s v="L0187"/>
    <x v="169"/>
    <s v="B0187"/>
    <x v="3"/>
    <n v="35157"/>
    <n v="16.3"/>
    <n v="60"/>
    <x v="1"/>
    <x v="6"/>
    <x v="1"/>
    <n v="45899"/>
    <s v="RENT"/>
    <n v="0.42"/>
    <n v="0.55000000000000004"/>
    <n v="12505.08"/>
    <n v="0"/>
    <n v="33"/>
    <n v="28652.954999999998"/>
    <n v="63809.955000000002"/>
    <n v="-22651.919999999998"/>
    <n v="0"/>
    <x v="1"/>
    <s v="VERY HIGH"/>
    <n v="47754.925000000003"/>
    <n v="-0.64430753477259151"/>
    <s v="HIGH RISK"/>
  </r>
  <r>
    <s v="L0188"/>
    <x v="136"/>
    <s v="B0188"/>
    <x v="8"/>
    <n v="12593"/>
    <n v="24.6"/>
    <n v="60"/>
    <x v="1"/>
    <x v="5"/>
    <x v="0"/>
    <n v="59063"/>
    <s v="OWN"/>
    <n v="0.2"/>
    <n v="0.56000000000000005"/>
    <n v="3295.91"/>
    <n v="0"/>
    <n v="62"/>
    <n v="15489.390000000005"/>
    <n v="28082.390000000007"/>
    <n v="-9297.09"/>
    <n v="0"/>
    <x v="1"/>
    <s v="MEDIUM"/>
    <n v="25815.65"/>
    <n v="-0.73827443817994121"/>
    <s v="NORMAL"/>
  </r>
  <r>
    <s v="L0189"/>
    <x v="170"/>
    <s v="B0189"/>
    <x v="2"/>
    <n v="18320"/>
    <n v="8.3000000000000007"/>
    <n v="36"/>
    <x v="0"/>
    <x v="1"/>
    <x v="3"/>
    <n v="120880"/>
    <s v="RENT"/>
    <n v="0.49"/>
    <n v="0.63"/>
    <n v="19840.560000000001"/>
    <n v="0"/>
    <n v="33"/>
    <n v="4561.6799999999994"/>
    <n v="22881.68"/>
    <n v="1520.5600000000013"/>
    <n v="0"/>
    <x v="0"/>
    <s v="HIGH"/>
    <n v="12671.3334"/>
    <n v="8.3000000000000074E-2"/>
    <s v="HIGH RISK"/>
  </r>
  <r>
    <s v="L0190"/>
    <x v="171"/>
    <s v="B0190"/>
    <x v="0"/>
    <n v="28376"/>
    <n v="19"/>
    <n v="60"/>
    <x v="0"/>
    <x v="4"/>
    <x v="4"/>
    <n v="33748"/>
    <s v="OWN"/>
    <n v="0.24"/>
    <n v="0.73"/>
    <n v="33767.440000000002"/>
    <n v="0"/>
    <n v="54"/>
    <n v="26957.199999999997"/>
    <n v="55333.2"/>
    <n v="5391.4400000000023"/>
    <n v="0"/>
    <x v="0"/>
    <s v="LOW"/>
    <n v="44928.666700000002"/>
    <n v="0.19000000000000009"/>
    <s v="NORMAL"/>
  </r>
  <r>
    <s v="L0191"/>
    <x v="172"/>
    <s v="B0191"/>
    <x v="9"/>
    <n v="15199"/>
    <n v="16.7"/>
    <n v="60"/>
    <x v="1"/>
    <x v="4"/>
    <x v="0"/>
    <n v="135022"/>
    <s v="RENT"/>
    <n v="0.23"/>
    <n v="0.84"/>
    <n v="3413"/>
    <n v="0"/>
    <n v="47"/>
    <n v="12691.164999999999"/>
    <n v="27890.165000000001"/>
    <n v="-11786"/>
    <n v="0"/>
    <x v="1"/>
    <s v="LOW"/>
    <n v="21151.941699999999"/>
    <n v="-0.77544575301006646"/>
    <s v="HIGH RISK"/>
  </r>
  <r>
    <s v="L0192"/>
    <x v="173"/>
    <s v="B0192"/>
    <x v="5"/>
    <n v="16876"/>
    <n v="16.7"/>
    <n v="36"/>
    <x v="1"/>
    <x v="3"/>
    <x v="2"/>
    <n v="147269"/>
    <s v="MORTGAGE"/>
    <n v="0.22"/>
    <n v="0.88"/>
    <n v="3698.91"/>
    <n v="0"/>
    <n v="27"/>
    <n v="8454.8760000000002"/>
    <n v="25330.876"/>
    <n v="-13177.09"/>
    <n v="0"/>
    <x v="1"/>
    <s v="VERY HIGH"/>
    <n v="23485.7667"/>
    <n v="-0.78081832187722211"/>
    <s v="HIGH RISK"/>
  </r>
  <r>
    <s v="L0193"/>
    <x v="174"/>
    <s v="B0193"/>
    <x v="1"/>
    <n v="9245"/>
    <n v="19"/>
    <n v="60"/>
    <x v="2"/>
    <x v="0"/>
    <x v="1"/>
    <n v="96629"/>
    <s v="OWN"/>
    <n v="0.15"/>
    <n v="0.82"/>
    <n v="0"/>
    <n v="0"/>
    <n v="29"/>
    <n v="8782.75"/>
    <n v="18027.75"/>
    <n v="-9245"/>
    <n v="0"/>
    <x v="2"/>
    <s v="LOW"/>
    <n v="14637.9167"/>
    <n v="-1"/>
    <s v="HIGH RISK"/>
  </r>
  <r>
    <s v="L0194"/>
    <x v="175"/>
    <s v="B0194"/>
    <x v="0"/>
    <n v="8214"/>
    <n v="23.6"/>
    <n v="60"/>
    <x v="1"/>
    <x v="5"/>
    <x v="2"/>
    <n v="110764"/>
    <s v="MORTGAGE"/>
    <n v="0.14000000000000001"/>
    <n v="0.92"/>
    <n v="2776.51"/>
    <n v="0"/>
    <n v="62"/>
    <n v="9692.52"/>
    <n v="17906.52"/>
    <n v="-5437.49"/>
    <n v="0"/>
    <x v="1"/>
    <s v="MEDIUM"/>
    <n v="16154.2"/>
    <n v="-0.66197832968103232"/>
    <s v="HIGH RISK"/>
  </r>
  <r>
    <s v="L0195"/>
    <x v="56"/>
    <s v="B0195"/>
    <x v="6"/>
    <n v="1726"/>
    <n v="20.7"/>
    <n v="36"/>
    <x v="1"/>
    <x v="6"/>
    <x v="0"/>
    <n v="50884"/>
    <s v="OWN"/>
    <n v="0.36"/>
    <n v="0.83"/>
    <n v="470.61"/>
    <n v="0"/>
    <n v="35"/>
    <n v="1071.846"/>
    <n v="2797.846"/>
    <n v="-1255.3899999999999"/>
    <n v="0"/>
    <x v="1"/>
    <s v="VERY HIGH"/>
    <n v="2977.35"/>
    <n v="-0.72734067207415987"/>
    <s v="HIGH RISK"/>
  </r>
  <r>
    <s v="L0196"/>
    <x v="176"/>
    <s v="B0196"/>
    <x v="4"/>
    <n v="12362"/>
    <n v="6.1"/>
    <n v="36"/>
    <x v="0"/>
    <x v="0"/>
    <x v="4"/>
    <n v="55183"/>
    <s v="RENT"/>
    <n v="0.45"/>
    <n v="0.64"/>
    <n v="13116.08"/>
    <n v="0"/>
    <n v="55"/>
    <n v="2262.2460000000001"/>
    <n v="14624.245999999999"/>
    <n v="754.07999999999993"/>
    <n v="0"/>
    <x v="0"/>
    <s v="LOW"/>
    <n v="6284.0190000000002"/>
    <n v="6.099983821388124E-2"/>
    <s v="HIGH RISK"/>
  </r>
  <r>
    <s v="L0197"/>
    <x v="177"/>
    <s v="B0197"/>
    <x v="6"/>
    <n v="19297"/>
    <n v="22.1"/>
    <n v="60"/>
    <x v="0"/>
    <x v="4"/>
    <x v="3"/>
    <n v="111570"/>
    <s v="RENT"/>
    <n v="0.42"/>
    <n v="0.62"/>
    <n v="23561.64"/>
    <n v="0"/>
    <n v="49"/>
    <n v="21323.184999999998"/>
    <n v="40620.184999999998"/>
    <n v="4264.6399999999994"/>
    <n v="0"/>
    <x v="0"/>
    <s v="LOW"/>
    <n v="35538.6417"/>
    <n v="0.22100015546457996"/>
    <s v="HIGH RISK"/>
  </r>
  <r>
    <s v="L0198"/>
    <x v="178"/>
    <s v="B0198"/>
    <x v="6"/>
    <n v="31448"/>
    <n v="9.5"/>
    <n v="36"/>
    <x v="0"/>
    <x v="5"/>
    <x v="0"/>
    <n v="101246"/>
    <s v="MORTGAGE"/>
    <n v="0.16"/>
    <n v="0.81"/>
    <n v="34435.56"/>
    <n v="0"/>
    <n v="57"/>
    <n v="8962.68"/>
    <n v="40410.68"/>
    <n v="2987.5599999999977"/>
    <n v="0"/>
    <x v="0"/>
    <s v="MEDIUM"/>
    <n v="24896.3334"/>
    <n v="9.4999999999999932E-2"/>
    <s v="HIGH RISK"/>
  </r>
  <r>
    <s v="L0199"/>
    <x v="179"/>
    <s v="B0199"/>
    <x v="2"/>
    <n v="27172"/>
    <n v="12.5"/>
    <n v="60"/>
    <x v="1"/>
    <x v="5"/>
    <x v="4"/>
    <n v="138036"/>
    <s v="RENT"/>
    <n v="0.32"/>
    <n v="0.59"/>
    <n v="11741.28"/>
    <n v="0"/>
    <n v="60"/>
    <n v="16982.5"/>
    <n v="44154.5"/>
    <n v="-15430.72"/>
    <n v="0"/>
    <x v="1"/>
    <s v="MEDIUM"/>
    <n v="28304.166700000002"/>
    <n v="-0.56789047548947447"/>
    <s v="NORMAL"/>
  </r>
  <r>
    <s v="L0200"/>
    <x v="126"/>
    <s v="B0200"/>
    <x v="7"/>
    <n v="8657"/>
    <n v="14.2"/>
    <n v="36"/>
    <x v="1"/>
    <x v="5"/>
    <x v="0"/>
    <n v="49259"/>
    <s v="OWN"/>
    <n v="0.14000000000000001"/>
    <n v="0.54"/>
    <n v="3840.38"/>
    <n v="0"/>
    <n v="41"/>
    <n v="3687.8819999999996"/>
    <n v="12344.882"/>
    <n v="-4816.62"/>
    <n v="0"/>
    <x v="1"/>
    <s v="MEDIUM"/>
    <n v="10244.1167"/>
    <n v="-0.55638442878595351"/>
    <s v="NORMAL"/>
  </r>
  <r>
    <s v="L0201"/>
    <x v="180"/>
    <s v="B0201"/>
    <x v="9"/>
    <n v="19850"/>
    <n v="14.6"/>
    <n v="60"/>
    <x v="0"/>
    <x v="4"/>
    <x v="1"/>
    <n v="65959"/>
    <s v="RENT"/>
    <n v="0.12"/>
    <n v="0.74"/>
    <n v="22748.1"/>
    <n v="0"/>
    <n v="43"/>
    <n v="14490.5"/>
    <n v="34340.5"/>
    <n v="2898.0999999999985"/>
    <n v="0"/>
    <x v="0"/>
    <s v="LOW"/>
    <n v="24150.833299999998"/>
    <n v="0.14599999999999994"/>
    <s v="NORMAL"/>
  </r>
  <r>
    <s v="L0202"/>
    <x v="181"/>
    <s v="B0202"/>
    <x v="5"/>
    <n v="26425"/>
    <n v="13.7"/>
    <n v="36"/>
    <x v="0"/>
    <x v="5"/>
    <x v="2"/>
    <n v="146525"/>
    <s v="RENT"/>
    <n v="0.36"/>
    <n v="0.87"/>
    <n v="30045.22"/>
    <n v="0"/>
    <n v="59"/>
    <n v="10860.674999999999"/>
    <n v="37285.675000000003"/>
    <n v="3620.2200000000012"/>
    <n v="0"/>
    <x v="0"/>
    <s v="MEDIUM"/>
    <n v="30168.541700000002"/>
    <n v="0.13699981078524129"/>
    <s v="HIGH RISK"/>
  </r>
  <r>
    <s v="L0203"/>
    <x v="171"/>
    <s v="B0203"/>
    <x v="7"/>
    <n v="27685"/>
    <n v="23.7"/>
    <n v="60"/>
    <x v="0"/>
    <x v="5"/>
    <x v="3"/>
    <n v="63457"/>
    <s v="OWN"/>
    <n v="0.31"/>
    <n v="0.55000000000000004"/>
    <n v="34246.339999999997"/>
    <n v="0"/>
    <n v="54"/>
    <n v="32806.724999999999"/>
    <n v="60491.724999999999"/>
    <n v="6561.3399999999965"/>
    <n v="0"/>
    <x v="0"/>
    <s v="MEDIUM"/>
    <n v="54677.875"/>
    <n v="0.23699981939678513"/>
    <s v="NORMAL"/>
  </r>
  <r>
    <s v="L0204"/>
    <x v="182"/>
    <s v="B0204"/>
    <x v="0"/>
    <n v="25578"/>
    <n v="19.100000000000001"/>
    <n v="60"/>
    <x v="3"/>
    <x v="1"/>
    <x v="4"/>
    <n v="115679"/>
    <s v="MORTGAGE"/>
    <n v="0.13"/>
    <n v="0.86"/>
    <n v="3866.58"/>
    <n v="7371.47"/>
    <n v="45"/>
    <n v="24426.99"/>
    <n v="50004.990000000005"/>
    <n v="-14339.95"/>
    <n v="1"/>
    <x v="2"/>
    <s v="HIGH"/>
    <n v="40711.65"/>
    <n v="-0.56063609351786692"/>
    <s v="HIGH RISK"/>
  </r>
  <r>
    <s v="L0205"/>
    <x v="94"/>
    <s v="B0205"/>
    <x v="6"/>
    <n v="29831"/>
    <n v="17.600000000000001"/>
    <n v="60"/>
    <x v="1"/>
    <x v="0"/>
    <x v="3"/>
    <n v="32103"/>
    <s v="MORTGAGE"/>
    <n v="0.11"/>
    <n v="0.87"/>
    <n v="3320.34"/>
    <n v="0"/>
    <n v="59"/>
    <n v="26251.28000000001"/>
    <n v="56082.280000000013"/>
    <n v="-26510.66"/>
    <n v="0"/>
    <x v="1"/>
    <s v="LOW"/>
    <n v="43752.133300000001"/>
    <n v="-0.88869498173041461"/>
    <s v="HIGH RISK"/>
  </r>
  <r>
    <s v="L0206"/>
    <x v="183"/>
    <s v="B0206"/>
    <x v="2"/>
    <n v="8906"/>
    <n v="6"/>
    <n v="36"/>
    <x v="1"/>
    <x v="1"/>
    <x v="3"/>
    <n v="95901"/>
    <s v="RENT"/>
    <n v="0.5"/>
    <n v="0.72"/>
    <n v="2971.76"/>
    <n v="0"/>
    <n v="57"/>
    <n v="1603.08"/>
    <n v="10509.08"/>
    <n v="-5934.24"/>
    <n v="0"/>
    <x v="1"/>
    <s v="HIGH"/>
    <n v="4453.0020000000004"/>
    <n v="-0.66631933527958676"/>
    <s v="HIGH RISK"/>
  </r>
  <r>
    <s v="L0207"/>
    <x v="184"/>
    <s v="B0207"/>
    <x v="0"/>
    <n v="8287"/>
    <n v="23.1"/>
    <n v="36"/>
    <x v="1"/>
    <x v="2"/>
    <x v="3"/>
    <n v="142314"/>
    <s v="OWN"/>
    <n v="0.11"/>
    <n v="0.53"/>
    <n v="1537.67"/>
    <n v="0"/>
    <n v="32"/>
    <n v="5742.8909999999996"/>
    <n v="14029.891"/>
    <n v="-6749.33"/>
    <n v="0"/>
    <x v="1"/>
    <s v="VERY HIGH"/>
    <n v="15952.475"/>
    <n v="-0.81444793049354414"/>
    <s v="NORMAL"/>
  </r>
  <r>
    <s v="L0208"/>
    <x v="185"/>
    <s v="B0208"/>
    <x v="4"/>
    <n v="34660"/>
    <n v="23.2"/>
    <n v="60"/>
    <x v="3"/>
    <x v="5"/>
    <x v="4"/>
    <n v="74535"/>
    <s v="MORTGAGE"/>
    <n v="0.28000000000000003"/>
    <n v="0.57999999999999996"/>
    <n v="3659.1"/>
    <n v="4720.7299999999996"/>
    <n v="33"/>
    <n v="40205.599999999999"/>
    <n v="74865.600000000006"/>
    <n v="-26280.17"/>
    <n v="1"/>
    <x v="2"/>
    <s v="MEDIUM"/>
    <n v="67009.333299999998"/>
    <n v="-0.75822763993075581"/>
    <s v="NORMAL"/>
  </r>
  <r>
    <s v="L0209"/>
    <x v="61"/>
    <s v="B0209"/>
    <x v="9"/>
    <n v="11222"/>
    <n v="20.6"/>
    <n v="60"/>
    <x v="1"/>
    <x v="1"/>
    <x v="4"/>
    <n v="46103"/>
    <s v="MORTGAGE"/>
    <n v="0.3"/>
    <n v="0.82"/>
    <n v="5048.66"/>
    <n v="0"/>
    <n v="51"/>
    <n v="11558.659999999998"/>
    <n v="22780.659999999996"/>
    <n v="-6173.34"/>
    <n v="0"/>
    <x v="1"/>
    <s v="HIGH"/>
    <n v="19264.433300000001"/>
    <n v="-0.55011049723756911"/>
    <s v="HIGH RISK"/>
  </r>
  <r>
    <s v="L0210"/>
    <x v="186"/>
    <s v="B0210"/>
    <x v="5"/>
    <n v="38443"/>
    <n v="5.0999999999999996"/>
    <n v="36"/>
    <x v="1"/>
    <x v="5"/>
    <x v="3"/>
    <n v="128046"/>
    <s v="RENT"/>
    <n v="0.15"/>
    <n v="0.82"/>
    <n v="5847.39"/>
    <n v="0"/>
    <n v="35"/>
    <n v="5881.7789999999995"/>
    <n v="44324.779000000002"/>
    <n v="-32595.61"/>
    <n v="0"/>
    <x v="1"/>
    <s v="MEDIUM"/>
    <n v="16338.322399999999"/>
    <n v="-0.84789454517077234"/>
    <s v="HIGH RISK"/>
  </r>
  <r>
    <s v="L0211"/>
    <x v="187"/>
    <s v="B0211"/>
    <x v="4"/>
    <n v="35701"/>
    <n v="6.1"/>
    <n v="36"/>
    <x v="0"/>
    <x v="6"/>
    <x v="2"/>
    <n v="120012"/>
    <s v="OWN"/>
    <n v="0.17"/>
    <n v="0.9"/>
    <n v="37878.76"/>
    <n v="0"/>
    <n v="31"/>
    <n v="6533.2829999999994"/>
    <n v="42234.282999999996"/>
    <n v="2177.760000000002"/>
    <n v="0"/>
    <x v="0"/>
    <s v="VERY HIGH"/>
    <n v="18148.015100000001"/>
    <n v="6.0999971989580182E-2"/>
    <s v="HIGH RISK"/>
  </r>
  <r>
    <s v="L0212"/>
    <x v="188"/>
    <s v="B0212"/>
    <x v="2"/>
    <n v="18764"/>
    <n v="9.5"/>
    <n v="36"/>
    <x v="0"/>
    <x v="2"/>
    <x v="0"/>
    <n v="108278"/>
    <s v="MORTGAGE"/>
    <n v="0.24"/>
    <n v="0.76"/>
    <n v="20546.580000000002"/>
    <n v="0"/>
    <n v="57"/>
    <n v="5347.74"/>
    <n v="24111.739999999998"/>
    <n v="1782.5800000000017"/>
    <n v="0"/>
    <x v="0"/>
    <s v="VERY HIGH"/>
    <n v="14854.8333"/>
    <n v="9.5000000000000098E-2"/>
    <s v="NORMAL"/>
  </r>
  <r>
    <s v="L0213"/>
    <x v="189"/>
    <s v="B0213"/>
    <x v="9"/>
    <n v="18674"/>
    <n v="7.6"/>
    <n v="36"/>
    <x v="0"/>
    <x v="0"/>
    <x v="3"/>
    <n v="42391"/>
    <s v="RENT"/>
    <n v="0.4"/>
    <n v="0.56000000000000005"/>
    <n v="20093.22"/>
    <n v="0"/>
    <n v="36"/>
    <n v="4257.6719999999996"/>
    <n v="22931.671999999999"/>
    <n v="1419.2200000000012"/>
    <n v="0"/>
    <x v="0"/>
    <s v="LOW"/>
    <n v="11826.866900000001"/>
    <n v="7.5999785798436387E-2"/>
    <s v="NORMAL"/>
  </r>
  <r>
    <s v="L0214"/>
    <x v="102"/>
    <s v="B0214"/>
    <x v="0"/>
    <n v="19024"/>
    <n v="13"/>
    <n v="36"/>
    <x v="0"/>
    <x v="4"/>
    <x v="1"/>
    <n v="132476"/>
    <s v="RENT"/>
    <n v="0.3"/>
    <n v="0.55000000000000004"/>
    <n v="21497.119999999999"/>
    <n v="0"/>
    <n v="49"/>
    <n v="7419.36"/>
    <n v="26443.360000000001"/>
    <n v="2473.119999999999"/>
    <n v="0"/>
    <x v="0"/>
    <s v="LOW"/>
    <n v="20609.333299999998"/>
    <n v="0.12999999999999995"/>
    <s v="NORMAL"/>
  </r>
  <r>
    <s v="L0215"/>
    <x v="56"/>
    <s v="B0215"/>
    <x v="6"/>
    <n v="24874"/>
    <n v="23.5"/>
    <n v="36"/>
    <x v="2"/>
    <x v="4"/>
    <x v="3"/>
    <n v="58901"/>
    <s v="RENT"/>
    <n v="0.36"/>
    <n v="0.82"/>
    <n v="0"/>
    <n v="0"/>
    <n v="35"/>
    <n v="17536.170000000002"/>
    <n v="42410.17"/>
    <n v="-24874"/>
    <n v="0"/>
    <x v="2"/>
    <s v="LOW"/>
    <n v="48711.583299999998"/>
    <n v="-1"/>
    <s v="HIGH RISK"/>
  </r>
  <r>
    <s v="L0216"/>
    <x v="145"/>
    <s v="B0216"/>
    <x v="6"/>
    <n v="33284"/>
    <n v="14.4"/>
    <n v="60"/>
    <x v="0"/>
    <x v="4"/>
    <x v="4"/>
    <n v="127537"/>
    <s v="RENT"/>
    <n v="0.49"/>
    <n v="0.57999999999999996"/>
    <n v="38076.9"/>
    <n v="0"/>
    <n v="49"/>
    <n v="23964.48"/>
    <n v="57248.479999999996"/>
    <n v="4792.9000000000015"/>
    <n v="0"/>
    <x v="0"/>
    <s v="LOW"/>
    <n v="39940.800000000003"/>
    <n v="0.14400012017786329"/>
    <s v="HIGH RISK"/>
  </r>
  <r>
    <s v="L0217"/>
    <x v="190"/>
    <s v="B0217"/>
    <x v="3"/>
    <n v="18602"/>
    <n v="5.3"/>
    <n v="36"/>
    <x v="3"/>
    <x v="0"/>
    <x v="0"/>
    <n v="111159"/>
    <s v="MORTGAGE"/>
    <n v="0.41"/>
    <n v="0.65"/>
    <n v="7046.14"/>
    <n v="4694.51"/>
    <n v="41"/>
    <n v="2957.7179999999994"/>
    <n v="21559.718000000001"/>
    <n v="-6861.3499999999985"/>
    <n v="1"/>
    <x v="2"/>
    <s v="LOW"/>
    <n v="8215.8989999999994"/>
    <n v="-0.36885012364261899"/>
    <s v="HIGH RISK"/>
  </r>
  <r>
    <s v="L0218"/>
    <x v="89"/>
    <s v="B0218"/>
    <x v="6"/>
    <n v="38784"/>
    <n v="10.7"/>
    <n v="60"/>
    <x v="0"/>
    <x v="6"/>
    <x v="1"/>
    <n v="97914"/>
    <s v="OWN"/>
    <n v="0.27"/>
    <n v="0.72"/>
    <n v="42933.89"/>
    <n v="0"/>
    <n v="27"/>
    <n v="20749.439999999999"/>
    <n v="59533.440000000002"/>
    <n v="4149.8899999999994"/>
    <n v="0"/>
    <x v="0"/>
    <s v="VERY HIGH"/>
    <n v="34582.400000000001"/>
    <n v="0.10700005156765675"/>
    <s v="NORMAL"/>
  </r>
  <r>
    <s v="L0219"/>
    <x v="191"/>
    <s v="B0219"/>
    <x v="8"/>
    <n v="24265"/>
    <n v="5.9"/>
    <n v="36"/>
    <x v="0"/>
    <x v="0"/>
    <x v="0"/>
    <n v="80357"/>
    <s v="RENT"/>
    <n v="0.28000000000000003"/>
    <n v="0.51"/>
    <n v="25696.639999999999"/>
    <n v="0"/>
    <n v="40"/>
    <n v="4294.9049999999997"/>
    <n v="28559.904999999999"/>
    <n v="1431.6399999999994"/>
    <n v="0"/>
    <x v="0"/>
    <s v="LOW"/>
    <n v="11930.2983"/>
    <n v="5.9000206058108365E-2"/>
    <s v="NORMAL"/>
  </r>
  <r>
    <s v="L0220"/>
    <x v="14"/>
    <s v="B0220"/>
    <x v="6"/>
    <n v="26931"/>
    <n v="5.7"/>
    <n v="36"/>
    <x v="3"/>
    <x v="5"/>
    <x v="0"/>
    <n v="116908"/>
    <s v="RENT"/>
    <n v="0.35"/>
    <n v="0.61"/>
    <n v="8489.4699999999993"/>
    <n v="8648.65"/>
    <n v="47"/>
    <n v="4605.201"/>
    <n v="31536.201000000001"/>
    <n v="-9792.880000000001"/>
    <n v="1"/>
    <x v="2"/>
    <s v="MEDIUM"/>
    <n v="12792.235699999999"/>
    <n v="-0.36362853217481717"/>
    <s v="NORMAL"/>
  </r>
  <r>
    <s v="L0221"/>
    <x v="157"/>
    <s v="B0221"/>
    <x v="8"/>
    <n v="29841"/>
    <n v="10.5"/>
    <n v="60"/>
    <x v="0"/>
    <x v="1"/>
    <x v="1"/>
    <n v="140335"/>
    <s v="MORTGAGE"/>
    <n v="0.37"/>
    <n v="0.68"/>
    <n v="32974.300000000003"/>
    <n v="0"/>
    <n v="31"/>
    <n v="15666.525"/>
    <n v="45507.525000000001"/>
    <n v="3133.3000000000029"/>
    <n v="0"/>
    <x v="0"/>
    <s v="HIGH"/>
    <n v="26110.875"/>
    <n v="0.10499983244529348"/>
    <s v="NORMAL"/>
  </r>
  <r>
    <s v="L0222"/>
    <x v="192"/>
    <s v="B0222"/>
    <x v="1"/>
    <n v="30192"/>
    <n v="10.5"/>
    <n v="60"/>
    <x v="0"/>
    <x v="0"/>
    <x v="3"/>
    <n v="68437"/>
    <s v="RENT"/>
    <n v="0.3"/>
    <n v="0.63"/>
    <n v="33362.160000000003"/>
    <n v="0"/>
    <n v="47"/>
    <n v="15850.799999999997"/>
    <n v="46042.799999999996"/>
    <n v="3170.1600000000035"/>
    <n v="0"/>
    <x v="0"/>
    <s v="LOW"/>
    <n v="26418"/>
    <n v="0.10500000000000012"/>
    <s v="NORMAL"/>
  </r>
  <r>
    <s v="L0223"/>
    <x v="193"/>
    <s v="B0223"/>
    <x v="8"/>
    <n v="16585"/>
    <n v="20.7"/>
    <n v="36"/>
    <x v="0"/>
    <x v="2"/>
    <x v="3"/>
    <n v="65503"/>
    <s v="RENT"/>
    <n v="0.36"/>
    <n v="0.56000000000000005"/>
    <n v="20018.099999999999"/>
    <n v="0"/>
    <n v="28"/>
    <n v="10299.285"/>
    <n v="26884.285"/>
    <n v="3433.0999999999985"/>
    <n v="0"/>
    <x v="0"/>
    <s v="VERY HIGH"/>
    <n v="28609.125"/>
    <n v="0.20700030147723839"/>
    <s v="NORMAL"/>
  </r>
  <r>
    <s v="L0224"/>
    <x v="194"/>
    <s v="B0224"/>
    <x v="9"/>
    <n v="26559"/>
    <n v="24.5"/>
    <n v="60"/>
    <x v="1"/>
    <x v="6"/>
    <x v="3"/>
    <n v="126282"/>
    <s v="OWN"/>
    <n v="0.11"/>
    <n v="0.83"/>
    <n v="10442.84"/>
    <n v="0"/>
    <n v="37"/>
    <n v="32534.774999999998"/>
    <n v="59093.774999999994"/>
    <n v="-16116.16"/>
    <n v="0"/>
    <x v="1"/>
    <s v="VERY HIGH"/>
    <n v="54224.625"/>
    <n v="-0.60680597914078094"/>
    <s v="HIGH RISK"/>
  </r>
  <r>
    <s v="L0225"/>
    <x v="195"/>
    <s v="B0225"/>
    <x v="4"/>
    <n v="34742"/>
    <n v="12.4"/>
    <n v="60"/>
    <x v="0"/>
    <x v="5"/>
    <x v="2"/>
    <n v="123459"/>
    <s v="RENT"/>
    <n v="0.27"/>
    <n v="0.87"/>
    <n v="39050.01"/>
    <n v="0"/>
    <n v="61"/>
    <n v="21540.039999999997"/>
    <n v="56282.039999999994"/>
    <n v="4308.010000000002"/>
    <n v="0"/>
    <x v="0"/>
    <s v="MEDIUM"/>
    <n v="35900.066700000003"/>
    <n v="0.12400005756720978"/>
    <s v="HIGH RISK"/>
  </r>
  <r>
    <s v="L0226"/>
    <x v="196"/>
    <s v="B0226"/>
    <x v="9"/>
    <n v="5133"/>
    <n v="13.6"/>
    <n v="60"/>
    <x v="1"/>
    <x v="4"/>
    <x v="3"/>
    <n v="105403"/>
    <s v="MORTGAGE"/>
    <n v="0.21"/>
    <n v="0.62"/>
    <n v="722"/>
    <n v="0"/>
    <n v="55"/>
    <n v="3490.4400000000005"/>
    <n v="8623.44"/>
    <n v="-4411"/>
    <n v="0"/>
    <x v="1"/>
    <s v="LOW"/>
    <n v="5817.4"/>
    <n v="-0.85934151568283657"/>
    <s v="NORMAL"/>
  </r>
  <r>
    <s v="L0227"/>
    <x v="27"/>
    <s v="B0227"/>
    <x v="4"/>
    <n v="15663"/>
    <n v="21.9"/>
    <n v="60"/>
    <x v="1"/>
    <x v="0"/>
    <x v="1"/>
    <n v="71258"/>
    <s v="OWN"/>
    <n v="0.15"/>
    <n v="0.85"/>
    <n v="2433.83"/>
    <n v="0"/>
    <n v="44"/>
    <n v="17150.984999999997"/>
    <n v="32813.985000000001"/>
    <n v="-13229.17"/>
    <n v="0"/>
    <x v="1"/>
    <s v="LOW"/>
    <n v="28584.974999999999"/>
    <n v="-0.84461278171486942"/>
    <s v="HIGH RISK"/>
  </r>
  <r>
    <s v="L0228"/>
    <x v="197"/>
    <s v="B0228"/>
    <x v="3"/>
    <n v="22754"/>
    <n v="10.4"/>
    <n v="36"/>
    <x v="1"/>
    <x v="1"/>
    <x v="2"/>
    <n v="63724"/>
    <s v="MORTGAGE"/>
    <n v="0.14000000000000001"/>
    <n v="0.67"/>
    <n v="6475.12"/>
    <n v="0"/>
    <n v="48"/>
    <n v="7099.2480000000005"/>
    <n v="29853.248"/>
    <n v="-16278.880000000001"/>
    <n v="0"/>
    <x v="1"/>
    <s v="HIGH"/>
    <n v="19720.133300000001"/>
    <n v="-0.71542937505493542"/>
    <s v="NORMAL"/>
  </r>
  <r>
    <s v="L0229"/>
    <x v="198"/>
    <s v="B0229"/>
    <x v="1"/>
    <n v="4972"/>
    <n v="8.1"/>
    <n v="60"/>
    <x v="1"/>
    <x v="0"/>
    <x v="3"/>
    <n v="94286"/>
    <s v="OWN"/>
    <n v="0.34"/>
    <n v="0.73"/>
    <n v="633.66"/>
    <n v="0"/>
    <n v="61"/>
    <n v="2013.6599999999999"/>
    <n v="6985.66"/>
    <n v="-4338.34"/>
    <n v="0"/>
    <x v="1"/>
    <s v="LOW"/>
    <n v="3356.1"/>
    <n v="-0.87255430410297674"/>
    <s v="NORMAL"/>
  </r>
  <r>
    <s v="L0230"/>
    <x v="199"/>
    <s v="B0230"/>
    <x v="4"/>
    <n v="6295"/>
    <n v="22.1"/>
    <n v="36"/>
    <x v="0"/>
    <x v="1"/>
    <x v="2"/>
    <n v="104842"/>
    <s v="OWN"/>
    <n v="0.31"/>
    <n v="0.89"/>
    <n v="7686.2"/>
    <n v="0"/>
    <n v="55"/>
    <n v="4173.585"/>
    <n v="10468.584999999999"/>
    <n v="1391.1999999999998"/>
    <n v="0"/>
    <x v="0"/>
    <s v="HIGH"/>
    <n v="11593.2917"/>
    <n v="0.2210007942811755"/>
    <s v="HIGH RISK"/>
  </r>
  <r>
    <s v="L0231"/>
    <x v="200"/>
    <s v="B0231"/>
    <x v="4"/>
    <n v="30125"/>
    <n v="5.9"/>
    <n v="36"/>
    <x v="0"/>
    <x v="6"/>
    <x v="1"/>
    <n v="134927"/>
    <s v="RENT"/>
    <n v="0.2"/>
    <n v="0.84"/>
    <n v="31902.38"/>
    <n v="0"/>
    <n v="36"/>
    <n v="5332.125"/>
    <n v="35457.125"/>
    <n v="1777.380000000001"/>
    <n v="0"/>
    <x v="0"/>
    <s v="VERY HIGH"/>
    <n v="14811.4666"/>
    <n v="5.9000165975103769E-2"/>
    <s v="HIGH RISK"/>
  </r>
  <r>
    <s v="L0232"/>
    <x v="201"/>
    <s v="B0232"/>
    <x v="2"/>
    <n v="10903"/>
    <n v="17.399999999999999"/>
    <n v="36"/>
    <x v="1"/>
    <x v="0"/>
    <x v="3"/>
    <n v="44908"/>
    <s v="RENT"/>
    <n v="0.28999999999999998"/>
    <n v="0.86"/>
    <n v="2043.7"/>
    <n v="0"/>
    <n v="53"/>
    <n v="5691.3659999999991"/>
    <n v="16594.365999999998"/>
    <n v="-8859.2999999999993"/>
    <n v="0"/>
    <x v="1"/>
    <s v="LOW"/>
    <n v="15809.35"/>
    <n v="-0.81255617719893602"/>
    <s v="HIGH RISK"/>
  </r>
  <r>
    <s v="L0233"/>
    <x v="62"/>
    <s v="B0233"/>
    <x v="7"/>
    <n v="4020"/>
    <n v="16.2"/>
    <n v="36"/>
    <x v="0"/>
    <x v="6"/>
    <x v="4"/>
    <n v="122617"/>
    <s v="RENT"/>
    <n v="0.3"/>
    <n v="0.56000000000000005"/>
    <n v="4671.24"/>
    <n v="0"/>
    <n v="33"/>
    <n v="1953.72"/>
    <n v="5973.72"/>
    <n v="651.23999999999978"/>
    <n v="0"/>
    <x v="0"/>
    <s v="VERY HIGH"/>
    <n v="5427"/>
    <n v="0.16199999999999995"/>
    <s v="NORMAL"/>
  </r>
  <r>
    <s v="L0234"/>
    <x v="202"/>
    <s v="B0234"/>
    <x v="7"/>
    <n v="21420"/>
    <n v="11.9"/>
    <n v="60"/>
    <x v="0"/>
    <x v="0"/>
    <x v="1"/>
    <n v="80626"/>
    <s v="MORTGAGE"/>
    <n v="0.18"/>
    <n v="0.53"/>
    <n v="23968.98"/>
    <n v="0"/>
    <n v="31"/>
    <n v="12744.9"/>
    <n v="34164.9"/>
    <n v="2548.9799999999996"/>
    <n v="0"/>
    <x v="0"/>
    <s v="LOW"/>
    <n v="21241.5"/>
    <n v="0.11899999999999998"/>
    <s v="NORMAL"/>
  </r>
  <r>
    <s v="L0235"/>
    <x v="172"/>
    <s v="B0235"/>
    <x v="2"/>
    <n v="22452"/>
    <n v="11.3"/>
    <n v="60"/>
    <x v="0"/>
    <x v="2"/>
    <x v="0"/>
    <n v="67228"/>
    <s v="RENT"/>
    <n v="0.36"/>
    <n v="0.9"/>
    <n v="24989.08"/>
    <n v="0"/>
    <n v="47"/>
    <n v="12685.38"/>
    <n v="35137.379999999997"/>
    <n v="2537.0800000000017"/>
    <n v="0"/>
    <x v="0"/>
    <s v="VERY HIGH"/>
    <n v="21142.3"/>
    <n v="0.11300017815784794"/>
    <s v="HIGH RISK"/>
  </r>
  <r>
    <s v="L0236"/>
    <x v="203"/>
    <s v="B0236"/>
    <x v="6"/>
    <n v="39001"/>
    <n v="20.399999999999999"/>
    <n v="36"/>
    <x v="3"/>
    <x v="0"/>
    <x v="0"/>
    <n v="53386"/>
    <s v="RENT"/>
    <n v="0.41"/>
    <n v="0.67"/>
    <n v="7661.31"/>
    <n v="15157.1"/>
    <n v="29"/>
    <n v="23868.611999999997"/>
    <n v="62869.611999999994"/>
    <n v="-16182.59"/>
    <n v="1"/>
    <x v="2"/>
    <s v="LOW"/>
    <n v="66301.7"/>
    <n v="-0.4149275659598472"/>
    <s v="HIGH RISK"/>
  </r>
  <r>
    <s v="L0237"/>
    <x v="56"/>
    <s v="B0237"/>
    <x v="2"/>
    <n v="10516"/>
    <n v="6.7"/>
    <n v="36"/>
    <x v="0"/>
    <x v="1"/>
    <x v="1"/>
    <n v="76754"/>
    <s v="OWN"/>
    <n v="0.42"/>
    <n v="0.63"/>
    <n v="11220.57"/>
    <n v="0"/>
    <n v="35"/>
    <n v="2113.7159999999999"/>
    <n v="12629.716"/>
    <n v="704.56999999999971"/>
    <n v="0"/>
    <x v="0"/>
    <s v="HIGH"/>
    <n v="5871.4340000000002"/>
    <n v="6.699980981361732E-2"/>
    <s v="HIGH RISK"/>
  </r>
  <r>
    <s v="L0238"/>
    <x v="204"/>
    <s v="B0238"/>
    <x v="4"/>
    <n v="3396"/>
    <n v="9.6999999999999993"/>
    <n v="36"/>
    <x v="0"/>
    <x v="4"/>
    <x v="0"/>
    <n v="140942"/>
    <s v="RENT"/>
    <n v="0.34"/>
    <n v="0.83"/>
    <n v="3725.41"/>
    <n v="0"/>
    <n v="40"/>
    <n v="988.23599999999988"/>
    <n v="4384.2359999999999"/>
    <n v="329.40999999999985"/>
    <n v="0"/>
    <x v="0"/>
    <s v="LOW"/>
    <n v="2745.1"/>
    <n v="9.6999411071849187E-2"/>
    <s v="HIGH RISK"/>
  </r>
  <r>
    <s v="L0239"/>
    <x v="205"/>
    <s v="B0239"/>
    <x v="4"/>
    <n v="19546"/>
    <n v="19.600000000000001"/>
    <n v="36"/>
    <x v="1"/>
    <x v="6"/>
    <x v="1"/>
    <n v="58302"/>
    <s v="RENT"/>
    <n v="0.3"/>
    <n v="0.88"/>
    <n v="2381.36"/>
    <n v="0"/>
    <n v="44"/>
    <n v="11493.048000000003"/>
    <n v="31039.048000000003"/>
    <n v="-17164.64"/>
    <n v="0"/>
    <x v="1"/>
    <s v="VERY HIGH"/>
    <n v="31925.133300000001"/>
    <n v="-0.8781663767522766"/>
    <s v="HIGH RISK"/>
  </r>
  <r>
    <s v="L0240"/>
    <x v="206"/>
    <s v="B0240"/>
    <x v="2"/>
    <n v="20129"/>
    <n v="16"/>
    <n v="60"/>
    <x v="1"/>
    <x v="5"/>
    <x v="4"/>
    <n v="90815"/>
    <s v="RENT"/>
    <n v="0.12"/>
    <n v="0.89"/>
    <n v="2865.01"/>
    <n v="0"/>
    <n v="27"/>
    <n v="16103.199999999999"/>
    <n v="36232.199999999997"/>
    <n v="-17263.989999999998"/>
    <n v="0"/>
    <x v="1"/>
    <s v="MEDIUM"/>
    <n v="26838.666700000002"/>
    <n v="-0.85766754433901327"/>
    <s v="HIGH RISK"/>
  </r>
  <r>
    <s v="L0241"/>
    <x v="207"/>
    <s v="B0241"/>
    <x v="2"/>
    <n v="2591"/>
    <n v="7.6"/>
    <n v="36"/>
    <x v="0"/>
    <x v="0"/>
    <x v="1"/>
    <n v="114748"/>
    <s v="RENT"/>
    <n v="0.22"/>
    <n v="0.64"/>
    <n v="2787.92"/>
    <n v="0"/>
    <n v="62"/>
    <n v="590.74799999999993"/>
    <n v="3181.748"/>
    <n v="196.92000000000007"/>
    <n v="0"/>
    <x v="0"/>
    <s v="LOW"/>
    <n v="1640.9666999999999"/>
    <n v="7.6001543805480534E-2"/>
    <s v="NORMAL"/>
  </r>
  <r>
    <s v="L0242"/>
    <x v="208"/>
    <s v="B0242"/>
    <x v="6"/>
    <n v="12303"/>
    <n v="22.6"/>
    <n v="60"/>
    <x v="0"/>
    <x v="5"/>
    <x v="3"/>
    <n v="93344"/>
    <s v="OWN"/>
    <n v="0.14000000000000001"/>
    <n v="0.88"/>
    <n v="15083.48"/>
    <n v="0"/>
    <n v="57"/>
    <n v="13902.390000000001"/>
    <n v="26205.39"/>
    <n v="2780.4799999999996"/>
    <n v="0"/>
    <x v="0"/>
    <s v="MEDIUM"/>
    <n v="23170.65"/>
    <n v="0.22600016256197672"/>
    <s v="HIGH RISK"/>
  </r>
  <r>
    <s v="L0243"/>
    <x v="209"/>
    <s v="B0243"/>
    <x v="9"/>
    <n v="31561"/>
    <n v="12.9"/>
    <n v="36"/>
    <x v="1"/>
    <x v="4"/>
    <x v="3"/>
    <n v="65618"/>
    <s v="RENT"/>
    <n v="0.49"/>
    <n v="0.52"/>
    <n v="12777.42"/>
    <n v="0"/>
    <n v="46"/>
    <n v="12214.107000000002"/>
    <n v="43775.107000000004"/>
    <n v="-18783.580000000002"/>
    <n v="0"/>
    <x v="1"/>
    <s v="LOW"/>
    <n v="33928.074999999997"/>
    <n v="-0.59515161116567916"/>
    <s v="HIGH RISK"/>
  </r>
  <r>
    <s v="L0244"/>
    <x v="210"/>
    <s v="B0244"/>
    <x v="1"/>
    <n v="7183"/>
    <n v="21.6"/>
    <n v="36"/>
    <x v="4"/>
    <x v="1"/>
    <x v="2"/>
    <n v="141603"/>
    <s v="OWN"/>
    <n v="0.15"/>
    <n v="0.52"/>
    <n v="0"/>
    <n v="0"/>
    <n v="27"/>
    <n v="4654.5840000000007"/>
    <n v="11837.584000000001"/>
    <n v="-7183"/>
    <n v="0"/>
    <x v="2"/>
    <s v="HIGH"/>
    <n v="12929.4"/>
    <n v="-1"/>
    <s v="NORMAL"/>
  </r>
  <r>
    <s v="L0245"/>
    <x v="211"/>
    <s v="B0245"/>
    <x v="0"/>
    <n v="27572"/>
    <n v="20.8"/>
    <n v="36"/>
    <x v="1"/>
    <x v="2"/>
    <x v="0"/>
    <n v="106234"/>
    <s v="MORTGAGE"/>
    <n v="0.16"/>
    <n v="0.78"/>
    <n v="3453.07"/>
    <n v="0"/>
    <n v="45"/>
    <n v="17204.928"/>
    <n v="44776.928"/>
    <n v="-24118.93"/>
    <n v="0"/>
    <x v="1"/>
    <s v="VERY HIGH"/>
    <n v="47791.466699999997"/>
    <n v="-0.87476171478311326"/>
    <s v="NORMAL"/>
  </r>
  <r>
    <s v="L0246"/>
    <x v="94"/>
    <s v="B0246"/>
    <x v="4"/>
    <n v="35080"/>
    <n v="17.5"/>
    <n v="36"/>
    <x v="0"/>
    <x v="4"/>
    <x v="0"/>
    <n v="91114"/>
    <s v="RENT"/>
    <n v="0.46"/>
    <n v="0.53"/>
    <n v="41219"/>
    <n v="0"/>
    <n v="59"/>
    <n v="18417"/>
    <n v="53497"/>
    <n v="6139"/>
    <n v="0"/>
    <x v="0"/>
    <s v="LOW"/>
    <n v="51158.333299999998"/>
    <n v="0.17499999999999999"/>
    <s v="HIGH RISK"/>
  </r>
  <r>
    <s v="L0247"/>
    <x v="173"/>
    <s v="B0247"/>
    <x v="1"/>
    <n v="21695"/>
    <n v="14.9"/>
    <n v="60"/>
    <x v="0"/>
    <x v="4"/>
    <x v="1"/>
    <n v="147652"/>
    <s v="RENT"/>
    <n v="0.48"/>
    <n v="0.65"/>
    <n v="24927.56"/>
    <n v="0"/>
    <n v="27"/>
    <n v="16162.775"/>
    <n v="37857.775000000001"/>
    <n v="3232.5600000000013"/>
    <n v="0"/>
    <x v="0"/>
    <s v="LOW"/>
    <n v="26937.958299999998"/>
    <n v="0.1490002304678498"/>
    <s v="HIGH RISK"/>
  </r>
  <r>
    <s v="L0248"/>
    <x v="147"/>
    <s v="B0248"/>
    <x v="2"/>
    <n v="8314"/>
    <n v="24.6"/>
    <n v="60"/>
    <x v="3"/>
    <x v="0"/>
    <x v="0"/>
    <n v="100130"/>
    <s v="RENT"/>
    <n v="0.41"/>
    <n v="0.8"/>
    <n v="902.38"/>
    <n v="4096.3"/>
    <n v="53"/>
    <n v="10226.220000000001"/>
    <n v="18540.22"/>
    <n v="-3315.3199999999997"/>
    <n v="1"/>
    <x v="2"/>
    <s v="LOW"/>
    <n v="17043.7"/>
    <n v="-0.39876353139283133"/>
    <s v="HIGH RISK"/>
  </r>
  <r>
    <s v="L0249"/>
    <x v="212"/>
    <s v="B0249"/>
    <x v="6"/>
    <n v="20623"/>
    <n v="7.9"/>
    <n v="60"/>
    <x v="1"/>
    <x v="5"/>
    <x v="3"/>
    <n v="55525"/>
    <s v="OWN"/>
    <n v="0.1"/>
    <n v="0.65"/>
    <n v="6871.78"/>
    <n v="0"/>
    <n v="46"/>
    <n v="8146.085"/>
    <n v="28769.084999999999"/>
    <n v="-13751.220000000001"/>
    <n v="0"/>
    <x v="1"/>
    <s v="MEDIUM"/>
    <n v="13576.808300000001"/>
    <n v="-0.66679047665228153"/>
    <s v="NORMAL"/>
  </r>
  <r>
    <s v="L0250"/>
    <x v="213"/>
    <s v="B0250"/>
    <x v="8"/>
    <n v="3139"/>
    <n v="19.5"/>
    <n v="36"/>
    <x v="0"/>
    <x v="4"/>
    <x v="4"/>
    <n v="109818"/>
    <s v="RENT"/>
    <n v="0.1"/>
    <n v="0.57999999999999996"/>
    <n v="3751.1"/>
    <n v="0"/>
    <n v="52"/>
    <n v="1836.3149999999998"/>
    <n v="4975.3149999999996"/>
    <n v="612.09999999999991"/>
    <n v="0"/>
    <x v="0"/>
    <s v="LOW"/>
    <n v="5100.875"/>
    <n v="0.19499840713603056"/>
    <s v="NORMAL"/>
  </r>
  <r>
    <s v="L0251"/>
    <x v="214"/>
    <s v="B0251"/>
    <x v="6"/>
    <n v="32290"/>
    <n v="8.8000000000000007"/>
    <n v="36"/>
    <x v="0"/>
    <x v="4"/>
    <x v="1"/>
    <n v="144589"/>
    <s v="RENT"/>
    <n v="0.25"/>
    <n v="0.63"/>
    <n v="35131.519999999997"/>
    <n v="0"/>
    <n v="56"/>
    <n v="8524.56"/>
    <n v="40814.559999999998"/>
    <n v="2841.5199999999968"/>
    <n v="0"/>
    <x v="0"/>
    <s v="LOW"/>
    <n v="23679.3334"/>
    <n v="8.7999999999999898E-2"/>
    <s v="NORMAL"/>
  </r>
  <r>
    <s v="L0252"/>
    <x v="215"/>
    <s v="B0252"/>
    <x v="5"/>
    <n v="19088"/>
    <n v="11.8"/>
    <n v="60"/>
    <x v="1"/>
    <x v="0"/>
    <x v="0"/>
    <n v="44334"/>
    <s v="MORTGAGE"/>
    <n v="0.16"/>
    <n v="0.71"/>
    <n v="9337.7000000000007"/>
    <n v="0"/>
    <n v="42"/>
    <n v="11261.92"/>
    <n v="30349.919999999998"/>
    <n v="-9750.2999999999993"/>
    <n v="0"/>
    <x v="1"/>
    <s v="LOW"/>
    <n v="18769.866699999999"/>
    <n v="-0.51080783738474433"/>
    <s v="NORMAL"/>
  </r>
  <r>
    <s v="L0253"/>
    <x v="22"/>
    <s v="B0253"/>
    <x v="5"/>
    <n v="34130"/>
    <n v="11.2"/>
    <n v="60"/>
    <x v="0"/>
    <x v="4"/>
    <x v="3"/>
    <n v="124715"/>
    <s v="OWN"/>
    <n v="0.11"/>
    <n v="0.71"/>
    <n v="37952.559999999998"/>
    <n v="0"/>
    <n v="39"/>
    <n v="19112.8"/>
    <n v="53242.8"/>
    <n v="3822.5599999999977"/>
    <n v="0"/>
    <x v="0"/>
    <s v="LOW"/>
    <n v="31854.666700000002"/>
    <n v="0.11199999999999993"/>
    <s v="NORMAL"/>
  </r>
  <r>
    <s v="L0254"/>
    <x v="216"/>
    <s v="B0254"/>
    <x v="1"/>
    <n v="33088"/>
    <n v="23.9"/>
    <n v="36"/>
    <x v="0"/>
    <x v="3"/>
    <x v="2"/>
    <n v="92767"/>
    <s v="OWN"/>
    <n v="0.28999999999999998"/>
    <n v="0.85"/>
    <n v="40996.03"/>
    <n v="0"/>
    <n v="29"/>
    <n v="23724.096000000001"/>
    <n v="56812.096000000005"/>
    <n v="7908.0299999999988"/>
    <n v="0"/>
    <x v="0"/>
    <s v="VERY HIGH"/>
    <n v="65900.266699999993"/>
    <n v="0.23899993955512569"/>
    <s v="HIGH RISK"/>
  </r>
  <r>
    <s v="L0255"/>
    <x v="217"/>
    <s v="B0255"/>
    <x v="7"/>
    <n v="27292"/>
    <n v="24.3"/>
    <n v="36"/>
    <x v="0"/>
    <x v="4"/>
    <x v="0"/>
    <n v="36644"/>
    <s v="MORTGAGE"/>
    <n v="0.48"/>
    <n v="0.84"/>
    <n v="33923.96"/>
    <n v="0"/>
    <n v="56"/>
    <n v="19895.867999999999"/>
    <n v="47187.868000000002"/>
    <n v="6631.9599999999991"/>
    <n v="0"/>
    <x v="0"/>
    <s v="LOW"/>
    <n v="55266.3"/>
    <n v="0.24300014656309538"/>
    <s v="HIGH RISK"/>
  </r>
  <r>
    <s v="L0256"/>
    <x v="16"/>
    <s v="B0256"/>
    <x v="5"/>
    <n v="21670"/>
    <n v="8.6999999999999993"/>
    <n v="60"/>
    <x v="0"/>
    <x v="5"/>
    <x v="4"/>
    <n v="131154"/>
    <s v="OWN"/>
    <n v="0.23"/>
    <n v="0.71"/>
    <n v="23555.29"/>
    <n v="0"/>
    <n v="54"/>
    <n v="9426.4499999999989"/>
    <n v="31096.449999999997"/>
    <n v="1885.2900000000009"/>
    <n v="0"/>
    <x v="0"/>
    <s v="MEDIUM"/>
    <n v="15710.75"/>
    <n v="8.7000000000000036E-2"/>
    <s v="NORMAL"/>
  </r>
  <r>
    <s v="L0257"/>
    <x v="218"/>
    <s v="B0257"/>
    <x v="5"/>
    <n v="4738"/>
    <n v="5.4"/>
    <n v="36"/>
    <x v="0"/>
    <x v="1"/>
    <x v="4"/>
    <n v="143237"/>
    <s v="RENT"/>
    <n v="0.36"/>
    <n v="0.88"/>
    <n v="4993.8500000000004"/>
    <n v="0"/>
    <n v="30"/>
    <n v="767.55600000000004"/>
    <n v="5505.5560000000005"/>
    <n v="255.85000000000036"/>
    <n v="0"/>
    <x v="0"/>
    <s v="HIGH"/>
    <n v="2132.1033000000002"/>
    <n v="5.3999577880962511E-2"/>
    <s v="HIGH RISK"/>
  </r>
  <r>
    <s v="L0258"/>
    <x v="219"/>
    <s v="B0258"/>
    <x v="9"/>
    <n v="3469"/>
    <n v="19.399999999999999"/>
    <n v="36"/>
    <x v="1"/>
    <x v="1"/>
    <x v="0"/>
    <n v="62933"/>
    <s v="RENT"/>
    <n v="0.36"/>
    <n v="0.55000000000000004"/>
    <n v="690.49"/>
    <n v="0"/>
    <n v="32"/>
    <n v="2018.9579999999996"/>
    <n v="5487.9579999999996"/>
    <n v="-2778.51"/>
    <n v="0"/>
    <x v="1"/>
    <s v="HIGH"/>
    <n v="5608.2166999999999"/>
    <n v="-0.80095416546555209"/>
    <s v="NORMAL"/>
  </r>
  <r>
    <s v="L0259"/>
    <x v="220"/>
    <s v="B0259"/>
    <x v="8"/>
    <n v="23534"/>
    <n v="13.4"/>
    <n v="60"/>
    <x v="0"/>
    <x v="4"/>
    <x v="0"/>
    <n v="73469"/>
    <s v="MORTGAGE"/>
    <n v="0.2"/>
    <n v="0.61"/>
    <n v="26687.56"/>
    <n v="0"/>
    <n v="58"/>
    <n v="15767.780000000004"/>
    <n v="39301.780000000006"/>
    <n v="3153.5600000000013"/>
    <n v="0"/>
    <x v="0"/>
    <s v="LOW"/>
    <n v="26279.633300000001"/>
    <n v="0.13400016996685651"/>
    <s v="NORMAL"/>
  </r>
  <r>
    <s v="L0260"/>
    <x v="221"/>
    <s v="B0260"/>
    <x v="9"/>
    <n v="10017"/>
    <n v="6.8"/>
    <n v="36"/>
    <x v="0"/>
    <x v="5"/>
    <x v="3"/>
    <n v="63687"/>
    <s v="OWN"/>
    <n v="0.36"/>
    <n v="0.87"/>
    <n v="10698.16"/>
    <n v="0"/>
    <n v="62"/>
    <n v="2043.4679999999998"/>
    <n v="12060.468000000001"/>
    <n v="681.15999999999985"/>
    <n v="0"/>
    <x v="0"/>
    <s v="MEDIUM"/>
    <n v="5676.3005000000003"/>
    <n v="6.8000399321154023E-2"/>
    <s v="HIGH RISK"/>
  </r>
  <r>
    <s v="L0261"/>
    <x v="48"/>
    <s v="B0261"/>
    <x v="8"/>
    <n v="3808"/>
    <n v="18.7"/>
    <n v="60"/>
    <x v="0"/>
    <x v="6"/>
    <x v="0"/>
    <n v="136609"/>
    <s v="OWN"/>
    <n v="0.18"/>
    <n v="0.67"/>
    <n v="4520.1000000000004"/>
    <n v="0"/>
    <n v="43"/>
    <n v="3560.4799999999996"/>
    <n v="7368.48"/>
    <n v="712.10000000000036"/>
    <n v="0"/>
    <x v="0"/>
    <s v="VERY HIGH"/>
    <n v="5934.1333000000004"/>
    <n v="0.18700105042016815"/>
    <s v="NORMAL"/>
  </r>
  <r>
    <s v="L0262"/>
    <x v="222"/>
    <s v="B0262"/>
    <x v="3"/>
    <n v="13713"/>
    <n v="15.9"/>
    <n v="36"/>
    <x v="0"/>
    <x v="0"/>
    <x v="2"/>
    <n v="82656"/>
    <s v="OWN"/>
    <n v="0.15"/>
    <n v="0.94"/>
    <n v="15893.37"/>
    <n v="0"/>
    <n v="43"/>
    <n v="6541.1009999999997"/>
    <n v="20254.100999999999"/>
    <n v="2180.3700000000008"/>
    <n v="0"/>
    <x v="0"/>
    <s v="LOW"/>
    <n v="18169.724999999999"/>
    <n v="0.15900021877050979"/>
    <s v="HIGH RISK"/>
  </r>
  <r>
    <s v="L0263"/>
    <x v="223"/>
    <s v="B0263"/>
    <x v="0"/>
    <n v="3719"/>
    <n v="24.6"/>
    <n v="60"/>
    <x v="0"/>
    <x v="4"/>
    <x v="3"/>
    <n v="47375"/>
    <s v="MORTGAGE"/>
    <n v="0.38"/>
    <n v="0.71"/>
    <n v="4633.87"/>
    <n v="0"/>
    <n v="40"/>
    <n v="4574.3700000000008"/>
    <n v="8293.3700000000008"/>
    <n v="914.86999999999989"/>
    <n v="0"/>
    <x v="0"/>
    <s v="LOW"/>
    <n v="7623.95"/>
    <n v="0.24599892444205429"/>
    <s v="NORMAL"/>
  </r>
  <r>
    <s v="L0264"/>
    <x v="224"/>
    <s v="B0264"/>
    <x v="4"/>
    <n v="23890"/>
    <n v="9.5"/>
    <n v="36"/>
    <x v="0"/>
    <x v="0"/>
    <x v="1"/>
    <n v="144019"/>
    <s v="RENT"/>
    <n v="0.15"/>
    <n v="0.86"/>
    <n v="26159.55"/>
    <n v="0"/>
    <n v="42"/>
    <n v="6808.6500000000005"/>
    <n v="30698.65"/>
    <n v="2269.5499999999993"/>
    <n v="0"/>
    <x v="0"/>
    <s v="LOW"/>
    <n v="18912.916700000002"/>
    <n v="9.4999999999999973E-2"/>
    <s v="HIGH RISK"/>
  </r>
  <r>
    <s v="L0265"/>
    <x v="225"/>
    <s v="B0265"/>
    <x v="5"/>
    <n v="12700"/>
    <n v="13.1"/>
    <n v="60"/>
    <x v="1"/>
    <x v="4"/>
    <x v="2"/>
    <n v="95206"/>
    <s v="MORTGAGE"/>
    <n v="0.5"/>
    <n v="0.68"/>
    <n v="1313.12"/>
    <n v="0"/>
    <n v="34"/>
    <n v="8318.5"/>
    <n v="21018.5"/>
    <n v="-11386.880000000001"/>
    <n v="0"/>
    <x v="1"/>
    <s v="LOW"/>
    <n v="13864.1667"/>
    <n v="-0.89660472440944894"/>
    <s v="HIGH RISK"/>
  </r>
  <r>
    <s v="L0266"/>
    <x v="226"/>
    <s v="B0266"/>
    <x v="4"/>
    <n v="37509"/>
    <n v="15.9"/>
    <n v="60"/>
    <x v="0"/>
    <x v="4"/>
    <x v="3"/>
    <n v="126462"/>
    <s v="RENT"/>
    <n v="0.17"/>
    <n v="0.69"/>
    <n v="43472.93"/>
    <n v="0"/>
    <n v="30"/>
    <n v="29819.654999999999"/>
    <n v="67328.654999999999"/>
    <n v="5963.93"/>
    <n v="0"/>
    <x v="0"/>
    <s v="LOW"/>
    <n v="49699.425000000003"/>
    <n v="0.15899997333973181"/>
    <s v="NORMAL"/>
  </r>
  <r>
    <s v="L0267"/>
    <x v="227"/>
    <s v="B0267"/>
    <x v="5"/>
    <n v="37766"/>
    <n v="20.8"/>
    <n v="60"/>
    <x v="0"/>
    <x v="1"/>
    <x v="3"/>
    <n v="66607"/>
    <s v="MORTGAGE"/>
    <n v="0.34"/>
    <n v="0.67"/>
    <n v="45621.33"/>
    <n v="0"/>
    <n v="57"/>
    <n v="39276.640000000007"/>
    <n v="77042.640000000014"/>
    <n v="7855.3300000000017"/>
    <n v="0"/>
    <x v="0"/>
    <s v="HIGH"/>
    <n v="65461.066700000003"/>
    <n v="0.20800005295768687"/>
    <s v="NORMAL"/>
  </r>
  <r>
    <s v="L0268"/>
    <x v="228"/>
    <s v="B0268"/>
    <x v="9"/>
    <n v="27705"/>
    <n v="16"/>
    <n v="60"/>
    <x v="0"/>
    <x v="0"/>
    <x v="4"/>
    <n v="113178"/>
    <s v="RENT"/>
    <n v="0.26"/>
    <n v="0.82"/>
    <n v="32137.8"/>
    <n v="0"/>
    <n v="46"/>
    <n v="22164"/>
    <n v="49869"/>
    <n v="4432.7999999999993"/>
    <n v="0"/>
    <x v="0"/>
    <s v="LOW"/>
    <n v="36940"/>
    <n v="0.15999999999999998"/>
    <s v="HIGH RISK"/>
  </r>
  <r>
    <s v="L0269"/>
    <x v="229"/>
    <s v="B0269"/>
    <x v="0"/>
    <n v="19787"/>
    <n v="17.3"/>
    <n v="36"/>
    <x v="0"/>
    <x v="5"/>
    <x v="3"/>
    <n v="53993"/>
    <s v="OWN"/>
    <n v="0.15"/>
    <n v="0.75"/>
    <n v="23210.15"/>
    <n v="0"/>
    <n v="36"/>
    <n v="10269.453000000001"/>
    <n v="30056.453000000001"/>
    <n v="3423.1500000000015"/>
    <n v="0"/>
    <x v="0"/>
    <s v="MEDIUM"/>
    <n v="28526.258300000001"/>
    <n v="0.17299994946176789"/>
    <s v="NORMAL"/>
  </r>
  <r>
    <s v="L0270"/>
    <x v="230"/>
    <s v="B0270"/>
    <x v="9"/>
    <n v="27588"/>
    <n v="9.5"/>
    <n v="36"/>
    <x v="3"/>
    <x v="5"/>
    <x v="2"/>
    <n v="74386"/>
    <s v="OWN"/>
    <n v="0.11"/>
    <n v="0.92"/>
    <n v="7479.55"/>
    <n v="6127.76"/>
    <n v="54"/>
    <n v="7862.5800000000008"/>
    <n v="35450.58"/>
    <n v="-13980.689999999999"/>
    <n v="1"/>
    <x v="2"/>
    <s v="MEDIUM"/>
    <n v="21840.5"/>
    <n v="-0.50676707264027832"/>
    <s v="HIGH RISK"/>
  </r>
  <r>
    <s v="L0271"/>
    <x v="231"/>
    <s v="B0271"/>
    <x v="9"/>
    <n v="27123"/>
    <n v="21.9"/>
    <n v="60"/>
    <x v="0"/>
    <x v="5"/>
    <x v="0"/>
    <n v="76287"/>
    <s v="OWN"/>
    <n v="0.35"/>
    <n v="0.61"/>
    <n v="33062.94"/>
    <n v="0"/>
    <n v="27"/>
    <n v="29699.684999999998"/>
    <n v="56822.684999999998"/>
    <n v="5939.9400000000023"/>
    <n v="0"/>
    <x v="0"/>
    <s v="MEDIUM"/>
    <n v="49499.474999999999"/>
    <n v="0.21900011060723379"/>
    <s v="NORMAL"/>
  </r>
  <r>
    <s v="L0272"/>
    <x v="232"/>
    <s v="B0272"/>
    <x v="8"/>
    <n v="34062"/>
    <n v="13.6"/>
    <n v="36"/>
    <x v="3"/>
    <x v="1"/>
    <x v="2"/>
    <n v="116724"/>
    <s v="MORTGAGE"/>
    <n v="0.42"/>
    <n v="0.55000000000000004"/>
    <n v="12667.87"/>
    <n v="12334.49"/>
    <n v="37"/>
    <n v="13897.296"/>
    <n v="47959.296000000002"/>
    <n v="-9059.64"/>
    <n v="1"/>
    <x v="2"/>
    <s v="HIGH"/>
    <n v="38603.599999999999"/>
    <n v="-0.26597498678879689"/>
    <s v="HIGH RISK"/>
  </r>
  <r>
    <s v="L0273"/>
    <x v="233"/>
    <s v="B0273"/>
    <x v="7"/>
    <n v="11177"/>
    <n v="7.8"/>
    <n v="36"/>
    <x v="0"/>
    <x v="4"/>
    <x v="1"/>
    <n v="128132"/>
    <s v="MORTGAGE"/>
    <n v="0.44"/>
    <n v="0.68"/>
    <n v="12048.81"/>
    <n v="0"/>
    <n v="44"/>
    <n v="2615.4179999999997"/>
    <n v="13792.418"/>
    <n v="871.80999999999949"/>
    <n v="0"/>
    <x v="0"/>
    <s v="LOW"/>
    <n v="7265.0501000000004"/>
    <n v="7.8000357877784685E-2"/>
    <s v="HIGH RISK"/>
  </r>
  <r>
    <s v="L0274"/>
    <x v="234"/>
    <s v="B0274"/>
    <x v="6"/>
    <n v="22727"/>
    <n v="18.3"/>
    <n v="36"/>
    <x v="1"/>
    <x v="2"/>
    <x v="3"/>
    <n v="123308"/>
    <s v="MORTGAGE"/>
    <n v="0.28999999999999998"/>
    <n v="0.78"/>
    <n v="9155.07"/>
    <n v="0"/>
    <n v="32"/>
    <n v="12477.123"/>
    <n v="35204.123"/>
    <n v="-13571.93"/>
    <n v="0"/>
    <x v="1"/>
    <s v="VERY HIGH"/>
    <n v="34658.675000000003"/>
    <n v="-0.5971720860650328"/>
    <s v="NORMAL"/>
  </r>
  <r>
    <s v="L0275"/>
    <x v="235"/>
    <s v="B0275"/>
    <x v="1"/>
    <n v="31220"/>
    <n v="9.3000000000000007"/>
    <n v="36"/>
    <x v="0"/>
    <x v="5"/>
    <x v="3"/>
    <n v="126393"/>
    <s v="OWN"/>
    <n v="0.41"/>
    <n v="0.89"/>
    <n v="34123.46"/>
    <n v="0"/>
    <n v="49"/>
    <n v="8710.3799999999992"/>
    <n v="39930.379999999997"/>
    <n v="2903.4599999999991"/>
    <n v="0"/>
    <x v="0"/>
    <s v="MEDIUM"/>
    <n v="24195.5"/>
    <n v="9.2999999999999972E-2"/>
    <s v="HIGH RISK"/>
  </r>
  <r>
    <s v="L0276"/>
    <x v="118"/>
    <s v="B0276"/>
    <x v="4"/>
    <n v="10882"/>
    <n v="7"/>
    <n v="36"/>
    <x v="1"/>
    <x v="5"/>
    <x v="3"/>
    <n v="106312"/>
    <s v="RENT"/>
    <n v="0.37"/>
    <n v="0.66"/>
    <n v="3592.5"/>
    <n v="0"/>
    <n v="45"/>
    <n v="2285.2199999999998"/>
    <n v="13167.22"/>
    <n v="-7289.5"/>
    <n v="0"/>
    <x v="1"/>
    <s v="MEDIUM"/>
    <n v="6347.8337000000001"/>
    <n v="-0.66986767138393677"/>
    <s v="NORMAL"/>
  </r>
  <r>
    <s v="L0277"/>
    <x v="236"/>
    <s v="B0277"/>
    <x v="3"/>
    <n v="2136"/>
    <n v="22.2"/>
    <n v="60"/>
    <x v="0"/>
    <x v="6"/>
    <x v="3"/>
    <n v="128371"/>
    <s v="OWN"/>
    <n v="0.39"/>
    <n v="0.79"/>
    <n v="2610.19"/>
    <n v="0"/>
    <n v="35"/>
    <n v="2370.9599999999996"/>
    <n v="4506.9599999999991"/>
    <n v="474.19000000000005"/>
    <n v="0"/>
    <x v="0"/>
    <s v="VERY HIGH"/>
    <n v="3951.6"/>
    <n v="0.221999063670412"/>
    <s v="NORMAL"/>
  </r>
  <r>
    <s v="L0278"/>
    <x v="237"/>
    <s v="B0278"/>
    <x v="5"/>
    <n v="35832"/>
    <n v="14.2"/>
    <n v="60"/>
    <x v="0"/>
    <x v="4"/>
    <x v="4"/>
    <n v="105324"/>
    <s v="OWN"/>
    <n v="0.3"/>
    <n v="0.66"/>
    <n v="40920.14"/>
    <n v="0"/>
    <n v="32"/>
    <n v="25440.719999999998"/>
    <n v="61272.72"/>
    <n v="5088.1399999999994"/>
    <n v="0"/>
    <x v="0"/>
    <s v="LOW"/>
    <n v="42401.2"/>
    <n v="0.14199988836793925"/>
    <s v="NORMAL"/>
  </r>
  <r>
    <s v="L0279"/>
    <x v="238"/>
    <s v="B0279"/>
    <x v="9"/>
    <n v="32966"/>
    <n v="20"/>
    <n v="60"/>
    <x v="1"/>
    <x v="0"/>
    <x v="4"/>
    <n v="101196"/>
    <s v="RENT"/>
    <n v="0.35"/>
    <n v="0.78"/>
    <n v="6322.07"/>
    <n v="0"/>
    <n v="61"/>
    <n v="32966"/>
    <n v="65932"/>
    <n v="-26643.93"/>
    <n v="0"/>
    <x v="1"/>
    <s v="LOW"/>
    <n v="54943.333299999998"/>
    <n v="-0.80822453436874353"/>
    <s v="NORMAL"/>
  </r>
  <r>
    <s v="L0280"/>
    <x v="239"/>
    <s v="B0280"/>
    <x v="7"/>
    <n v="8009"/>
    <n v="10.8"/>
    <n v="60"/>
    <x v="1"/>
    <x v="1"/>
    <x v="0"/>
    <n v="100014"/>
    <s v="RENT"/>
    <n v="0.42"/>
    <n v="0.9"/>
    <n v="2353.41"/>
    <n v="0"/>
    <n v="40"/>
    <n v="4324.8600000000006"/>
    <n v="12333.86"/>
    <n v="-5655.59"/>
    <n v="0"/>
    <x v="1"/>
    <s v="HIGH"/>
    <n v="7208.1"/>
    <n v="-0.70615432638281939"/>
    <s v="HIGH RISK"/>
  </r>
  <r>
    <s v="L0281"/>
    <x v="240"/>
    <s v="B0281"/>
    <x v="9"/>
    <n v="13987"/>
    <n v="20.7"/>
    <n v="36"/>
    <x v="0"/>
    <x v="5"/>
    <x v="3"/>
    <n v="38210"/>
    <s v="RENT"/>
    <n v="0.26"/>
    <n v="0.6"/>
    <n v="16882.310000000001"/>
    <n v="0"/>
    <n v="61"/>
    <n v="8685.9269999999997"/>
    <n v="22672.927"/>
    <n v="2895.3100000000013"/>
    <n v="0"/>
    <x v="0"/>
    <s v="MEDIUM"/>
    <n v="24127.575000000001"/>
    <n v="0.20700007149495969"/>
    <s v="NORMAL"/>
  </r>
  <r>
    <s v="L0282"/>
    <x v="241"/>
    <s v="B0282"/>
    <x v="0"/>
    <n v="38311"/>
    <n v="7.2"/>
    <n v="36"/>
    <x v="0"/>
    <x v="2"/>
    <x v="1"/>
    <n v="40922"/>
    <s v="RENT"/>
    <n v="0.42"/>
    <n v="0.68"/>
    <n v="41069.39"/>
    <n v="0"/>
    <n v="52"/>
    <n v="8275.1760000000013"/>
    <n v="46586.175999999999"/>
    <n v="2758.3899999999994"/>
    <n v="0"/>
    <x v="0"/>
    <s v="VERY HIGH"/>
    <n v="22986.600999999999"/>
    <n v="7.1999947795672245E-2"/>
    <s v="HIGH RISK"/>
  </r>
  <r>
    <s v="L0283"/>
    <x v="242"/>
    <s v="B0283"/>
    <x v="8"/>
    <n v="32575"/>
    <n v="12.1"/>
    <n v="60"/>
    <x v="0"/>
    <x v="3"/>
    <x v="0"/>
    <n v="66289"/>
    <s v="OWN"/>
    <n v="0.34"/>
    <n v="0.95"/>
    <n v="36516.57"/>
    <n v="0"/>
    <n v="45"/>
    <n v="19707.875"/>
    <n v="52282.875"/>
    <n v="3941.5699999999997"/>
    <n v="0"/>
    <x v="0"/>
    <s v="VERY HIGH"/>
    <n v="32846.458299999998"/>
    <n v="0.12099984650805831"/>
    <s v="HIGH RISK"/>
  </r>
  <r>
    <s v="L0284"/>
    <x v="243"/>
    <s v="B0284"/>
    <x v="3"/>
    <n v="2007"/>
    <n v="24.6"/>
    <n v="36"/>
    <x v="1"/>
    <x v="4"/>
    <x v="3"/>
    <n v="63340"/>
    <s v="MORTGAGE"/>
    <n v="0.17"/>
    <n v="0.89"/>
    <n v="182.76"/>
    <n v="0"/>
    <n v="49"/>
    <n v="1481.1660000000002"/>
    <n v="3488.1660000000002"/>
    <n v="-1824.24"/>
    <n v="0"/>
    <x v="1"/>
    <s v="LOW"/>
    <n v="4114.3500000000004"/>
    <n v="-0.90893871449925268"/>
    <s v="HIGH RISK"/>
  </r>
  <r>
    <s v="L0285"/>
    <x v="244"/>
    <s v="B0285"/>
    <x v="6"/>
    <n v="6445"/>
    <n v="20.9"/>
    <n v="36"/>
    <x v="0"/>
    <x v="4"/>
    <x v="4"/>
    <n v="69850"/>
    <s v="OWN"/>
    <n v="0.11"/>
    <n v="0.75"/>
    <n v="7792"/>
    <n v="0"/>
    <n v="41"/>
    <n v="4041.0150000000008"/>
    <n v="10486.015000000001"/>
    <n v="1347"/>
    <n v="0"/>
    <x v="0"/>
    <s v="LOW"/>
    <n v="11225.0417"/>
    <n v="0.20899922420480993"/>
    <s v="NORMAL"/>
  </r>
  <r>
    <s v="L0286"/>
    <x v="245"/>
    <s v="B0286"/>
    <x v="0"/>
    <n v="11706"/>
    <n v="14.9"/>
    <n v="60"/>
    <x v="0"/>
    <x v="4"/>
    <x v="1"/>
    <n v="86984"/>
    <s v="RENT"/>
    <n v="0.25"/>
    <n v="0.73"/>
    <n v="13450.19"/>
    <n v="0"/>
    <n v="30"/>
    <n v="8720.9699999999993"/>
    <n v="20426.97"/>
    <n v="1744.1900000000005"/>
    <n v="0"/>
    <x v="0"/>
    <s v="LOW"/>
    <n v="14534.95"/>
    <n v="0.14899965829489156"/>
    <s v="NORMAL"/>
  </r>
  <r>
    <s v="L0287"/>
    <x v="246"/>
    <s v="B0287"/>
    <x v="2"/>
    <n v="30257"/>
    <n v="11.8"/>
    <n v="36"/>
    <x v="1"/>
    <x v="4"/>
    <x v="0"/>
    <n v="133699"/>
    <s v="MORTGAGE"/>
    <n v="0.32"/>
    <n v="0.63"/>
    <n v="10757.13"/>
    <n v="0"/>
    <n v="47"/>
    <n v="10710.978000000001"/>
    <n v="40967.978000000003"/>
    <n v="-19499.870000000003"/>
    <n v="0"/>
    <x v="1"/>
    <s v="LOW"/>
    <n v="29752.716700000001"/>
    <n v="-0.64447466701920231"/>
    <s v="NORMAL"/>
  </r>
  <r>
    <s v="L0288"/>
    <x v="247"/>
    <s v="B0288"/>
    <x v="3"/>
    <n v="22736"/>
    <n v="22.4"/>
    <n v="60"/>
    <x v="3"/>
    <x v="6"/>
    <x v="1"/>
    <n v="143711"/>
    <s v="MORTGAGE"/>
    <n v="0.44"/>
    <n v="0.73"/>
    <n v="7219.33"/>
    <n v="8265.9599999999991"/>
    <n v="35"/>
    <n v="25464.319999999996"/>
    <n v="48200.319999999992"/>
    <n v="-7250.7100000000009"/>
    <n v="1"/>
    <x v="2"/>
    <s v="VERY HIGH"/>
    <n v="42440.533300000003"/>
    <n v="-0.31890877902885295"/>
    <s v="HIGH RISK"/>
  </r>
  <r>
    <s v="L0289"/>
    <x v="248"/>
    <s v="B0289"/>
    <x v="9"/>
    <n v="14281"/>
    <n v="15.9"/>
    <n v="60"/>
    <x v="1"/>
    <x v="1"/>
    <x v="3"/>
    <n v="114178"/>
    <s v="OWN"/>
    <n v="0.15"/>
    <n v="0.88"/>
    <n v="6915.78"/>
    <n v="0"/>
    <n v="38"/>
    <n v="11353.394999999999"/>
    <n v="25634.394999999997"/>
    <n v="-7365.22"/>
    <n v="0"/>
    <x v="1"/>
    <s v="HIGH"/>
    <n v="18922.325000000001"/>
    <n v="-0.5157355927456061"/>
    <s v="HIGH RISK"/>
  </r>
  <r>
    <s v="L0290"/>
    <x v="225"/>
    <s v="B0290"/>
    <x v="0"/>
    <n v="2435"/>
    <n v="20.2"/>
    <n v="36"/>
    <x v="1"/>
    <x v="5"/>
    <x v="2"/>
    <n v="41094"/>
    <s v="OWN"/>
    <n v="0.42"/>
    <n v="0.81"/>
    <n v="407.08"/>
    <n v="0"/>
    <n v="34"/>
    <n v="1475.61"/>
    <n v="3910.6099999999997"/>
    <n v="-2027.92"/>
    <n v="0"/>
    <x v="1"/>
    <s v="MEDIUM"/>
    <n v="4098.9166999999998"/>
    <n v="-0.83282135523613965"/>
    <s v="HIGH RISK"/>
  </r>
  <r>
    <s v="L0291"/>
    <x v="249"/>
    <s v="B0291"/>
    <x v="6"/>
    <n v="34339"/>
    <n v="20.100000000000001"/>
    <n v="36"/>
    <x v="1"/>
    <x v="0"/>
    <x v="1"/>
    <n v="117959"/>
    <s v="OWN"/>
    <n v="0.45"/>
    <n v="0.63"/>
    <n v="2002.15"/>
    <n v="0"/>
    <n v="60"/>
    <n v="20706.417000000001"/>
    <n v="55045.417000000001"/>
    <n v="-32336.85"/>
    <n v="0"/>
    <x v="1"/>
    <s v="LOW"/>
    <n v="57517.824999999997"/>
    <n v="-0.94169457468184858"/>
    <s v="HIGH RISK"/>
  </r>
  <r>
    <s v="L0292"/>
    <x v="250"/>
    <s v="B0292"/>
    <x v="7"/>
    <n v="36150"/>
    <n v="5.4"/>
    <n v="60"/>
    <x v="0"/>
    <x v="4"/>
    <x v="1"/>
    <n v="63418"/>
    <s v="MORTGAGE"/>
    <n v="0.16"/>
    <n v="0.59"/>
    <n v="38102.1"/>
    <n v="0"/>
    <n v="43"/>
    <n v="9760.5"/>
    <n v="45910.5"/>
    <n v="1952.0999999999985"/>
    <n v="0"/>
    <x v="0"/>
    <s v="LOW"/>
    <n v="16267.5"/>
    <n v="5.3999999999999958E-2"/>
    <s v="NORMAL"/>
  </r>
  <r>
    <s v="L0293"/>
    <x v="251"/>
    <s v="B0293"/>
    <x v="7"/>
    <n v="26821"/>
    <n v="7.5"/>
    <n v="60"/>
    <x v="0"/>
    <x v="4"/>
    <x v="4"/>
    <n v="35741"/>
    <s v="MORTGAGE"/>
    <n v="0.44"/>
    <n v="0.62"/>
    <n v="28832.57"/>
    <n v="0"/>
    <n v="57"/>
    <n v="10057.875"/>
    <n v="36878.875"/>
    <n v="2011.5699999999997"/>
    <n v="0"/>
    <x v="0"/>
    <s v="LOW"/>
    <n v="16763.125"/>
    <n v="7.4999813578912042E-2"/>
    <s v="HIGH RISK"/>
  </r>
  <r>
    <s v="L0294"/>
    <x v="252"/>
    <s v="B0294"/>
    <x v="4"/>
    <n v="27660"/>
    <n v="18.2"/>
    <n v="36"/>
    <x v="1"/>
    <x v="6"/>
    <x v="3"/>
    <n v="141585"/>
    <s v="MORTGAGE"/>
    <n v="0.5"/>
    <n v="0.57999999999999996"/>
    <n v="8174.19"/>
    <n v="0"/>
    <n v="52"/>
    <n v="15102.36"/>
    <n v="42762.36"/>
    <n v="-19485.810000000001"/>
    <n v="0"/>
    <x v="1"/>
    <s v="VERY HIGH"/>
    <n v="41951"/>
    <n v="-0.70447613882863347"/>
    <s v="HIGH RISK"/>
  </r>
  <r>
    <s v="L0295"/>
    <x v="222"/>
    <s v="B0295"/>
    <x v="6"/>
    <n v="6084"/>
    <n v="8.1999999999999993"/>
    <n v="60"/>
    <x v="0"/>
    <x v="0"/>
    <x v="1"/>
    <n v="102374"/>
    <s v="RENT"/>
    <n v="0.39"/>
    <n v="0.54"/>
    <n v="6582.89"/>
    <n v="0"/>
    <n v="43"/>
    <n v="2494.44"/>
    <n v="8578.44"/>
    <n v="498.89000000000033"/>
    <n v="0"/>
    <x v="0"/>
    <s v="LOW"/>
    <n v="4157.3999999999996"/>
    <n v="8.2000328731098013E-2"/>
    <s v="NORMAL"/>
  </r>
  <r>
    <s v="L0296"/>
    <x v="253"/>
    <s v="B0296"/>
    <x v="7"/>
    <n v="17661"/>
    <n v="10.1"/>
    <n v="60"/>
    <x v="3"/>
    <x v="6"/>
    <x v="3"/>
    <n v="147275"/>
    <s v="RENT"/>
    <n v="0.41"/>
    <n v="0.69"/>
    <n v="5510.89"/>
    <n v="3016.27"/>
    <n v="52"/>
    <n v="8918.8050000000003"/>
    <n v="26579.805"/>
    <n v="-9133.84"/>
    <n v="1"/>
    <x v="2"/>
    <s v="VERY HIGH"/>
    <n v="14864.674999999999"/>
    <n v="-0.517175697865353"/>
    <s v="HIGH RISK"/>
  </r>
  <r>
    <s v="L0297"/>
    <x v="120"/>
    <s v="B0297"/>
    <x v="0"/>
    <n v="14507"/>
    <n v="23.9"/>
    <n v="60"/>
    <x v="0"/>
    <x v="1"/>
    <x v="4"/>
    <n v="98798"/>
    <s v="OWN"/>
    <n v="0.5"/>
    <n v="0.55000000000000004"/>
    <n v="17974.169999999998"/>
    <n v="0"/>
    <n v="40"/>
    <n v="17335.864999999998"/>
    <n v="31842.864999999998"/>
    <n v="3467.1699999999983"/>
    <n v="0"/>
    <x v="0"/>
    <s v="HIGH"/>
    <n v="28893.1083"/>
    <n v="0.23899979320328105"/>
    <s v="HIGH RISK"/>
  </r>
  <r>
    <s v="L0298"/>
    <x v="254"/>
    <s v="B0298"/>
    <x v="4"/>
    <n v="8059"/>
    <n v="16.2"/>
    <n v="36"/>
    <x v="0"/>
    <x v="1"/>
    <x v="3"/>
    <n v="146026"/>
    <s v="MORTGAGE"/>
    <n v="0.34"/>
    <n v="0.57999999999999996"/>
    <n v="9364.56"/>
    <n v="0"/>
    <n v="35"/>
    <n v="3916.6740000000004"/>
    <n v="11975.674000000001"/>
    <n v="1305.5599999999995"/>
    <n v="0"/>
    <x v="0"/>
    <s v="HIGH"/>
    <n v="10879.65"/>
    <n v="0.16200024816974803"/>
    <s v="NORMAL"/>
  </r>
  <r>
    <s v="L0299"/>
    <x v="255"/>
    <s v="B0299"/>
    <x v="7"/>
    <n v="19271"/>
    <n v="20"/>
    <n v="60"/>
    <x v="3"/>
    <x v="4"/>
    <x v="4"/>
    <n v="100532"/>
    <s v="OWN"/>
    <n v="0.22"/>
    <n v="0.75"/>
    <n v="6496.68"/>
    <n v="2294.8000000000002"/>
    <n v="27"/>
    <n v="19271"/>
    <n v="38542"/>
    <n v="-10479.52"/>
    <n v="1"/>
    <x v="2"/>
    <s v="LOW"/>
    <n v="32118.333299999998"/>
    <n v="-0.54379741580613361"/>
    <s v="NORMAL"/>
  </r>
  <r>
    <s v="L0300"/>
    <x v="256"/>
    <s v="B0300"/>
    <x v="3"/>
    <n v="8491"/>
    <n v="16.2"/>
    <n v="36"/>
    <x v="1"/>
    <x v="1"/>
    <x v="4"/>
    <n v="140130"/>
    <s v="MORTGAGE"/>
    <n v="0.44"/>
    <n v="0.56999999999999995"/>
    <n v="1164.82"/>
    <n v="0"/>
    <n v="29"/>
    <n v="4126.6259999999993"/>
    <n v="12617.626"/>
    <n v="-7326.18"/>
    <n v="0"/>
    <x v="1"/>
    <s v="HIGH"/>
    <n v="11462.85"/>
    <n v="-0.86281710045930993"/>
    <s v="HIGH RISK"/>
  </r>
  <r>
    <s v="L0301"/>
    <x v="257"/>
    <s v="B0301"/>
    <x v="8"/>
    <n v="15859"/>
    <n v="16.100000000000001"/>
    <n v="60"/>
    <x v="0"/>
    <x v="5"/>
    <x v="0"/>
    <n v="52164"/>
    <s v="OWN"/>
    <n v="0.35"/>
    <n v="0.53"/>
    <n v="18412.3"/>
    <n v="0"/>
    <n v="47"/>
    <n v="12766.495000000003"/>
    <n v="28625.495000000003"/>
    <n v="2553.2999999999993"/>
    <n v="0"/>
    <x v="0"/>
    <s v="MEDIUM"/>
    <n v="21277.491699999999"/>
    <n v="0.16100006305567813"/>
    <s v="NORMAL"/>
  </r>
  <r>
    <s v="L0302"/>
    <x v="98"/>
    <s v="B0302"/>
    <x v="2"/>
    <n v="9073"/>
    <n v="6.9"/>
    <n v="36"/>
    <x v="1"/>
    <x v="1"/>
    <x v="3"/>
    <n v="65595"/>
    <s v="RENT"/>
    <n v="0.33"/>
    <n v="0.64"/>
    <n v="1522.35"/>
    <n v="0"/>
    <n v="42"/>
    <n v="1878.1110000000001"/>
    <n v="10951.111000000001"/>
    <n v="-7550.65"/>
    <n v="0"/>
    <x v="1"/>
    <s v="HIGH"/>
    <n v="5216.9754000000003"/>
    <n v="-0.83221095558249747"/>
    <s v="NORMAL"/>
  </r>
  <r>
    <s v="L0303"/>
    <x v="216"/>
    <s v="B0303"/>
    <x v="6"/>
    <n v="10077"/>
    <n v="11.9"/>
    <n v="60"/>
    <x v="1"/>
    <x v="4"/>
    <x v="2"/>
    <n v="60257"/>
    <s v="MORTGAGE"/>
    <n v="0.2"/>
    <n v="0.6"/>
    <n v="2828.27"/>
    <n v="0"/>
    <n v="29"/>
    <n v="5995.8149999999996"/>
    <n v="16072.814999999999"/>
    <n v="-7248.73"/>
    <n v="0"/>
    <x v="1"/>
    <s v="LOW"/>
    <n v="9993.0249999999996"/>
    <n v="-0.71933412722040291"/>
    <s v="NORMAL"/>
  </r>
  <r>
    <s v="L0304"/>
    <x v="258"/>
    <s v="B0304"/>
    <x v="0"/>
    <n v="21953"/>
    <n v="10.6"/>
    <n v="36"/>
    <x v="0"/>
    <x v="5"/>
    <x v="0"/>
    <n v="44211"/>
    <s v="RENT"/>
    <n v="0.4"/>
    <n v="0.73"/>
    <n v="24280.02"/>
    <n v="0"/>
    <n v="53"/>
    <n v="6981.0540000000001"/>
    <n v="28934.054"/>
    <n v="2327.0200000000004"/>
    <n v="0"/>
    <x v="0"/>
    <s v="MEDIUM"/>
    <n v="19391.816699999999"/>
    <n v="0.10600009110372161"/>
    <s v="NORMAL"/>
  </r>
  <r>
    <s v="L0305"/>
    <x v="63"/>
    <s v="B0305"/>
    <x v="5"/>
    <n v="12383"/>
    <n v="12.8"/>
    <n v="36"/>
    <x v="0"/>
    <x v="1"/>
    <x v="4"/>
    <n v="125989"/>
    <s v="MORTGAGE"/>
    <n v="0.13"/>
    <n v="0.55000000000000004"/>
    <n v="13968.02"/>
    <n v="0"/>
    <n v="27"/>
    <n v="4755.072000000001"/>
    <n v="17138.072"/>
    <n v="1585.0200000000004"/>
    <n v="0"/>
    <x v="0"/>
    <s v="HIGH"/>
    <n v="13208.533299999999"/>
    <n v="0.12799967697650008"/>
    <s v="NORMAL"/>
  </r>
  <r>
    <s v="L0306"/>
    <x v="259"/>
    <s v="B0306"/>
    <x v="9"/>
    <n v="3353"/>
    <n v="21"/>
    <n v="36"/>
    <x v="1"/>
    <x v="0"/>
    <x v="2"/>
    <n v="35232"/>
    <s v="OWN"/>
    <n v="0.47"/>
    <n v="0.84"/>
    <n v="666.48"/>
    <n v="0"/>
    <n v="29"/>
    <n v="2112.39"/>
    <n v="5465.3899999999994"/>
    <n v="-2686.52"/>
    <n v="0"/>
    <x v="1"/>
    <s v="LOW"/>
    <n v="5867.75"/>
    <n v="-0.8012287503728005"/>
    <s v="HIGH RISK"/>
  </r>
  <r>
    <s v="L0307"/>
    <x v="260"/>
    <s v="B0307"/>
    <x v="0"/>
    <n v="24821"/>
    <n v="12.4"/>
    <n v="60"/>
    <x v="3"/>
    <x v="4"/>
    <x v="1"/>
    <n v="97753"/>
    <s v="MORTGAGE"/>
    <n v="0.23"/>
    <n v="0.91"/>
    <n v="8889.73"/>
    <n v="5061.28"/>
    <n v="62"/>
    <n v="15389.019999999999"/>
    <n v="40210.019999999997"/>
    <n v="-10869.990000000002"/>
    <n v="1"/>
    <x v="2"/>
    <s v="LOW"/>
    <n v="25648.366699999999"/>
    <n v="-0.43793521614761699"/>
    <s v="HIGH RISK"/>
  </r>
  <r>
    <s v="L0308"/>
    <x v="261"/>
    <s v="B0308"/>
    <x v="7"/>
    <n v="38567"/>
    <n v="14"/>
    <n v="60"/>
    <x v="0"/>
    <x v="3"/>
    <x v="1"/>
    <n v="82691"/>
    <s v="RENT"/>
    <n v="0.15"/>
    <n v="0.83"/>
    <n v="43966.38"/>
    <n v="0"/>
    <n v="37"/>
    <n v="26996.899999999998"/>
    <n v="65563.899999999994"/>
    <n v="5399.3799999999974"/>
    <n v="0"/>
    <x v="0"/>
    <s v="VERY HIGH"/>
    <n v="44994.833299999998"/>
    <n v="0.13999999999999993"/>
    <s v="HIGH RISK"/>
  </r>
  <r>
    <s v="L0309"/>
    <x v="262"/>
    <s v="B0309"/>
    <x v="0"/>
    <n v="25860"/>
    <n v="12.9"/>
    <n v="60"/>
    <x v="3"/>
    <x v="0"/>
    <x v="0"/>
    <n v="119765"/>
    <s v="MORTGAGE"/>
    <n v="0.28000000000000003"/>
    <n v="0.74"/>
    <n v="6261.43"/>
    <n v="5898.18"/>
    <n v="33"/>
    <n v="16679.7"/>
    <n v="42539.7"/>
    <n v="-13700.39"/>
    <n v="1"/>
    <x v="2"/>
    <s v="LOW"/>
    <n v="27799.5"/>
    <n v="-0.52979079659706108"/>
    <s v="NORMAL"/>
  </r>
  <r>
    <s v="L0310"/>
    <x v="263"/>
    <s v="B0310"/>
    <x v="5"/>
    <n v="22195"/>
    <n v="6.9"/>
    <n v="36"/>
    <x v="3"/>
    <x v="4"/>
    <x v="2"/>
    <n v="109768"/>
    <s v="OWN"/>
    <n v="0.12"/>
    <n v="0.89"/>
    <n v="7543.49"/>
    <n v="5682.73"/>
    <n v="30"/>
    <n v="4594.3649999999998"/>
    <n v="26789.364999999998"/>
    <n v="-8968.7800000000007"/>
    <n v="1"/>
    <x v="2"/>
    <s v="LOW"/>
    <n v="12762.126"/>
    <n v="-0.40409011038522191"/>
    <s v="HIGH RISK"/>
  </r>
  <r>
    <s v="L0311"/>
    <x v="148"/>
    <s v="B0311"/>
    <x v="9"/>
    <n v="12939"/>
    <n v="13.8"/>
    <n v="60"/>
    <x v="0"/>
    <x v="4"/>
    <x v="3"/>
    <n v="55613"/>
    <s v="MORTGAGE"/>
    <n v="0.37"/>
    <n v="0.81"/>
    <n v="14724.58"/>
    <n v="0"/>
    <n v="33"/>
    <n v="8927.9100000000017"/>
    <n v="21866.910000000003"/>
    <n v="1785.58"/>
    <n v="0"/>
    <x v="0"/>
    <s v="LOW"/>
    <n v="14879.85"/>
    <n v="0.13799984542854934"/>
    <s v="HIGH RISK"/>
  </r>
  <r>
    <s v="L0312"/>
    <x v="264"/>
    <s v="B0312"/>
    <x v="4"/>
    <n v="26338"/>
    <n v="8.9"/>
    <n v="36"/>
    <x v="1"/>
    <x v="1"/>
    <x v="2"/>
    <n v="44026"/>
    <s v="RENT"/>
    <n v="0.46"/>
    <n v="0.5"/>
    <n v="8198.4599999999991"/>
    <n v="0"/>
    <n v="61"/>
    <n v="7032.2460000000019"/>
    <n v="33370.245999999999"/>
    <n v="-18139.54"/>
    <n v="0"/>
    <x v="1"/>
    <s v="HIGH"/>
    <n v="19534.0167"/>
    <n v="-0.68872123927405271"/>
    <s v="HIGH RISK"/>
  </r>
  <r>
    <s v="L0313"/>
    <x v="265"/>
    <s v="B0313"/>
    <x v="7"/>
    <n v="22730"/>
    <n v="8.6999999999999993"/>
    <n v="60"/>
    <x v="0"/>
    <x v="0"/>
    <x v="0"/>
    <n v="83535"/>
    <s v="OWN"/>
    <n v="0.43"/>
    <n v="0.68"/>
    <n v="24707.51"/>
    <n v="0"/>
    <n v="34"/>
    <n v="9887.5499999999993"/>
    <n v="32617.55"/>
    <n v="1977.5099999999984"/>
    <n v="0"/>
    <x v="0"/>
    <s v="LOW"/>
    <n v="16479.25"/>
    <n v="8.6999999999999925E-2"/>
    <s v="HIGH RISK"/>
  </r>
  <r>
    <s v="L0314"/>
    <x v="266"/>
    <s v="B0314"/>
    <x v="1"/>
    <n v="22427"/>
    <n v="6.9"/>
    <n v="36"/>
    <x v="0"/>
    <x v="5"/>
    <x v="3"/>
    <n v="124090"/>
    <s v="RENT"/>
    <n v="0.15"/>
    <n v="0.88"/>
    <n v="23974.46"/>
    <n v="0"/>
    <n v="35"/>
    <n v="4642.3890000000001"/>
    <n v="27069.388999999999"/>
    <n v="1547.4599999999991"/>
    <n v="0"/>
    <x v="0"/>
    <s v="MEDIUM"/>
    <n v="12895.526"/>
    <n v="6.8999866232665949E-2"/>
    <s v="HIGH RISK"/>
  </r>
  <r>
    <s v="L0315"/>
    <x v="267"/>
    <s v="B0315"/>
    <x v="7"/>
    <n v="36196"/>
    <n v="12.1"/>
    <n v="36"/>
    <x v="1"/>
    <x v="0"/>
    <x v="3"/>
    <n v="60908"/>
    <s v="MORTGAGE"/>
    <n v="0.15"/>
    <n v="0.66"/>
    <n v="14402.05"/>
    <n v="0"/>
    <n v="31"/>
    <n v="13139.147999999999"/>
    <n v="49335.148000000001"/>
    <n v="-21793.95"/>
    <n v="0"/>
    <x v="1"/>
    <s v="LOW"/>
    <n v="36497.633300000001"/>
    <n v="-0.60210934909934799"/>
    <s v="NORMAL"/>
  </r>
  <r>
    <s v="L0316"/>
    <x v="268"/>
    <s v="B0316"/>
    <x v="2"/>
    <n v="28083"/>
    <n v="20.100000000000001"/>
    <n v="36"/>
    <x v="3"/>
    <x v="0"/>
    <x v="1"/>
    <n v="82113"/>
    <s v="RENT"/>
    <n v="0.43"/>
    <n v="0.52"/>
    <n v="5611.04"/>
    <n v="8802.11"/>
    <n v="41"/>
    <n v="16934.049000000003"/>
    <n v="45017.048999999999"/>
    <n v="-13669.849999999999"/>
    <n v="1"/>
    <x v="2"/>
    <s v="LOW"/>
    <n v="47039.025000000001"/>
    <n v="-0.48676601502688455"/>
    <s v="HIGH RISK"/>
  </r>
  <r>
    <s v="L0317"/>
    <x v="269"/>
    <s v="B0317"/>
    <x v="1"/>
    <n v="22510"/>
    <n v="10.5"/>
    <n v="60"/>
    <x v="1"/>
    <x v="1"/>
    <x v="2"/>
    <n v="49610"/>
    <s v="MORTGAGE"/>
    <n v="0.47"/>
    <n v="0.84"/>
    <n v="9547.33"/>
    <n v="0"/>
    <n v="53"/>
    <n v="11817.75"/>
    <n v="34327.75"/>
    <n v="-12962.67"/>
    <n v="0"/>
    <x v="1"/>
    <s v="HIGH"/>
    <n v="19696.25"/>
    <n v="-0.57586272767658819"/>
    <s v="HIGH RISK"/>
  </r>
  <r>
    <s v="L0318"/>
    <x v="270"/>
    <s v="B0318"/>
    <x v="2"/>
    <n v="8813"/>
    <n v="11.2"/>
    <n v="60"/>
    <x v="0"/>
    <x v="4"/>
    <x v="3"/>
    <n v="76646"/>
    <s v="OWN"/>
    <n v="0.28000000000000003"/>
    <n v="0.86"/>
    <n v="9800.06"/>
    <n v="0"/>
    <n v="50"/>
    <n v="4935.28"/>
    <n v="13748.279999999999"/>
    <n v="987.05999999999949"/>
    <n v="0"/>
    <x v="0"/>
    <s v="LOW"/>
    <n v="8225.4667000000009"/>
    <n v="0.1120004538749574"/>
    <s v="HIGH RISK"/>
  </r>
  <r>
    <s v="L0319"/>
    <x v="271"/>
    <s v="B0319"/>
    <x v="5"/>
    <n v="32598"/>
    <n v="17.899999999999999"/>
    <n v="60"/>
    <x v="0"/>
    <x v="3"/>
    <x v="0"/>
    <n v="135141"/>
    <s v="RENT"/>
    <n v="0.3"/>
    <n v="0.56999999999999995"/>
    <n v="38433.040000000001"/>
    <n v="0"/>
    <n v="41"/>
    <n v="29175.209999999995"/>
    <n v="61773.209999999992"/>
    <n v="5835.0400000000009"/>
    <n v="0"/>
    <x v="0"/>
    <s v="VERY HIGH"/>
    <n v="48625.35"/>
    <n v="0.17899993864654276"/>
    <s v="NORMAL"/>
  </r>
  <r>
    <s v="L0320"/>
    <x v="272"/>
    <s v="B0320"/>
    <x v="6"/>
    <n v="28570"/>
    <n v="8.9"/>
    <n v="36"/>
    <x v="0"/>
    <x v="0"/>
    <x v="1"/>
    <n v="93185"/>
    <s v="RENT"/>
    <n v="0.23"/>
    <n v="0.74"/>
    <n v="31112.73"/>
    <n v="0"/>
    <n v="41"/>
    <n v="7628.19"/>
    <n v="36198.19"/>
    <n v="2542.7299999999996"/>
    <n v="0"/>
    <x v="0"/>
    <s v="LOW"/>
    <n v="21189.416700000002"/>
    <n v="8.8999999999999982E-2"/>
    <s v="NORMAL"/>
  </r>
  <r>
    <s v="L0321"/>
    <x v="273"/>
    <s v="B0321"/>
    <x v="9"/>
    <n v="28082"/>
    <n v="22.9"/>
    <n v="36"/>
    <x v="0"/>
    <x v="4"/>
    <x v="3"/>
    <n v="102567"/>
    <s v="MORTGAGE"/>
    <n v="0.46"/>
    <n v="0.59"/>
    <n v="34512.78"/>
    <n v="0"/>
    <n v="58"/>
    <n v="19292.333999999999"/>
    <n v="47374.334000000003"/>
    <n v="6430.7799999999988"/>
    <n v="0"/>
    <x v="0"/>
    <s v="LOW"/>
    <n v="53589.816700000003"/>
    <n v="0.22900007121999855"/>
    <s v="HIGH RISK"/>
  </r>
  <r>
    <s v="L0322"/>
    <x v="274"/>
    <s v="B0322"/>
    <x v="8"/>
    <n v="30241"/>
    <n v="15.4"/>
    <n v="60"/>
    <x v="0"/>
    <x v="0"/>
    <x v="2"/>
    <n v="77574"/>
    <s v="RENT"/>
    <n v="0.36"/>
    <n v="0.82"/>
    <n v="34898.11"/>
    <n v="0"/>
    <n v="35"/>
    <n v="23285.570000000003"/>
    <n v="53526.570000000007"/>
    <n v="4657.1100000000006"/>
    <n v="0"/>
    <x v="0"/>
    <s v="LOW"/>
    <n v="38809.283300000003"/>
    <n v="0.15399986772924179"/>
    <s v="HIGH RISK"/>
  </r>
  <r>
    <s v="L0323"/>
    <x v="275"/>
    <s v="B0323"/>
    <x v="4"/>
    <n v="31678"/>
    <n v="14"/>
    <n v="60"/>
    <x v="1"/>
    <x v="4"/>
    <x v="1"/>
    <n v="121051"/>
    <s v="RENT"/>
    <n v="0.22"/>
    <n v="0.62"/>
    <n v="5497.96"/>
    <n v="0"/>
    <n v="27"/>
    <n v="22174.600000000002"/>
    <n v="53852.600000000006"/>
    <n v="-26180.04"/>
    <n v="0"/>
    <x v="1"/>
    <s v="LOW"/>
    <n v="36957.666700000002"/>
    <n v="-0.82644232590441313"/>
    <s v="NORMAL"/>
  </r>
  <r>
    <s v="L0324"/>
    <x v="276"/>
    <s v="B0324"/>
    <x v="8"/>
    <n v="12745"/>
    <n v="16.2"/>
    <n v="60"/>
    <x v="0"/>
    <x v="3"/>
    <x v="2"/>
    <n v="132020"/>
    <s v="OWN"/>
    <n v="0.22"/>
    <n v="0.64"/>
    <n v="14809.69"/>
    <n v="0"/>
    <n v="38"/>
    <n v="10323.450000000001"/>
    <n v="23068.45"/>
    <n v="2064.6900000000005"/>
    <n v="0"/>
    <x v="0"/>
    <s v="VERY HIGH"/>
    <n v="17205.75"/>
    <n v="0.16200000000000003"/>
    <s v="NORMAL"/>
  </r>
  <r>
    <s v="L0325"/>
    <x v="277"/>
    <s v="B0325"/>
    <x v="3"/>
    <n v="27029"/>
    <n v="8.3000000000000007"/>
    <n v="36"/>
    <x v="1"/>
    <x v="2"/>
    <x v="2"/>
    <n v="66182"/>
    <s v="MORTGAGE"/>
    <n v="0.46"/>
    <n v="0.88"/>
    <n v="7993.68"/>
    <n v="0"/>
    <n v="58"/>
    <n v="6730.2210000000005"/>
    <n v="33759.220999999998"/>
    <n v="-19035.32"/>
    <n v="0"/>
    <x v="1"/>
    <s v="VERY HIGH"/>
    <n v="18695.058400000002"/>
    <n v="-0.70425542935365715"/>
    <s v="HIGH RISK"/>
  </r>
  <r>
    <s v="L0326"/>
    <x v="278"/>
    <s v="B0326"/>
    <x v="3"/>
    <n v="14025"/>
    <n v="17.3"/>
    <n v="36"/>
    <x v="0"/>
    <x v="0"/>
    <x v="2"/>
    <n v="146136"/>
    <s v="MORTGAGE"/>
    <n v="0.11"/>
    <n v="0.71"/>
    <n v="16451.32"/>
    <n v="0"/>
    <n v="36"/>
    <n v="7278.9749999999995"/>
    <n v="21303.974999999999"/>
    <n v="2426.3199999999997"/>
    <n v="0"/>
    <x v="0"/>
    <s v="LOW"/>
    <n v="20219.375"/>
    <n v="0.17299964349376112"/>
    <s v="NORMAL"/>
  </r>
  <r>
    <s v="L0327"/>
    <x v="122"/>
    <s v="B0327"/>
    <x v="5"/>
    <n v="37124"/>
    <n v="12.3"/>
    <n v="36"/>
    <x v="1"/>
    <x v="5"/>
    <x v="1"/>
    <n v="30570"/>
    <s v="OWN"/>
    <n v="0.23"/>
    <n v="0.8"/>
    <n v="5431.36"/>
    <n v="0"/>
    <n v="29"/>
    <n v="13698.756000000001"/>
    <n v="50822.756000000001"/>
    <n v="-31692.639999999999"/>
    <n v="0"/>
    <x v="1"/>
    <s v="MEDIUM"/>
    <n v="38052.1"/>
    <n v="-0.85369679991380243"/>
    <s v="NORMAL"/>
  </r>
  <r>
    <s v="L0328"/>
    <x v="275"/>
    <s v="B0328"/>
    <x v="6"/>
    <n v="15288"/>
    <n v="22.9"/>
    <n v="36"/>
    <x v="0"/>
    <x v="1"/>
    <x v="3"/>
    <n v="127790"/>
    <s v="OWN"/>
    <n v="0.32"/>
    <n v="0.68"/>
    <n v="18788.95"/>
    <n v="0"/>
    <n v="27"/>
    <n v="10502.855999999998"/>
    <n v="25790.856"/>
    <n v="3500.9500000000007"/>
    <n v="0"/>
    <x v="0"/>
    <s v="HIGH"/>
    <n v="29174.6"/>
    <n v="0.22899986917844065"/>
    <s v="NORMAL"/>
  </r>
  <r>
    <s v="L0329"/>
    <x v="279"/>
    <s v="B0329"/>
    <x v="3"/>
    <n v="24650"/>
    <n v="8.4"/>
    <n v="36"/>
    <x v="0"/>
    <x v="0"/>
    <x v="4"/>
    <n v="49288"/>
    <s v="MORTGAGE"/>
    <n v="0.16"/>
    <n v="0.63"/>
    <n v="26720.6"/>
    <n v="0"/>
    <n v="41"/>
    <n v="6211.7999999999993"/>
    <n v="30861.8"/>
    <n v="2070.5999999999985"/>
    <n v="0"/>
    <x v="0"/>
    <s v="LOW"/>
    <n v="17255.000100000001"/>
    <n v="8.3999999999999936E-2"/>
    <s v="NORMAL"/>
  </r>
  <r>
    <s v="L0330"/>
    <x v="280"/>
    <s v="B0330"/>
    <x v="7"/>
    <n v="7540"/>
    <n v="15.1"/>
    <n v="60"/>
    <x v="0"/>
    <x v="0"/>
    <x v="3"/>
    <n v="108824"/>
    <s v="OWN"/>
    <n v="0.14000000000000001"/>
    <n v="0.78"/>
    <n v="8678.5400000000009"/>
    <n v="0"/>
    <n v="45"/>
    <n v="5692.7"/>
    <n v="13232.7"/>
    <n v="1138.5400000000009"/>
    <n v="0"/>
    <x v="0"/>
    <s v="LOW"/>
    <n v="9487.8333000000002"/>
    <n v="0.15100000000000011"/>
    <s v="NORMAL"/>
  </r>
  <r>
    <s v="L0331"/>
    <x v="281"/>
    <s v="B0331"/>
    <x v="0"/>
    <n v="33232"/>
    <n v="17"/>
    <n v="36"/>
    <x v="0"/>
    <x v="2"/>
    <x v="1"/>
    <n v="59877"/>
    <s v="OWN"/>
    <n v="0.43"/>
    <n v="0.56999999999999995"/>
    <n v="38881.440000000002"/>
    <n v="0"/>
    <n v="36"/>
    <n v="16948.32"/>
    <n v="50180.32"/>
    <n v="5649.4400000000023"/>
    <n v="0"/>
    <x v="0"/>
    <s v="VERY HIGH"/>
    <n v="47078.666700000002"/>
    <n v="0.17000000000000007"/>
    <s v="HIGH RISK"/>
  </r>
  <r>
    <s v="L0332"/>
    <x v="282"/>
    <s v="B0332"/>
    <x v="2"/>
    <n v="17422"/>
    <n v="5.7"/>
    <n v="36"/>
    <x v="3"/>
    <x v="3"/>
    <x v="4"/>
    <n v="114425"/>
    <s v="OWN"/>
    <n v="0.46"/>
    <n v="0.67"/>
    <n v="4227.59"/>
    <n v="6267.26"/>
    <n v="44"/>
    <n v="2979.1620000000003"/>
    <n v="20401.162"/>
    <n v="-6927.15"/>
    <n v="1"/>
    <x v="2"/>
    <s v="VERY HIGH"/>
    <n v="8275.4568999999992"/>
    <n v="-0.39760934450694524"/>
    <s v="HIGH RISK"/>
  </r>
  <r>
    <s v="L0333"/>
    <x v="283"/>
    <s v="B0333"/>
    <x v="3"/>
    <n v="4342"/>
    <n v="12.3"/>
    <n v="36"/>
    <x v="0"/>
    <x v="3"/>
    <x v="4"/>
    <n v="30917"/>
    <s v="MORTGAGE"/>
    <n v="0.43"/>
    <n v="0.59"/>
    <n v="4876.07"/>
    <n v="0"/>
    <n v="46"/>
    <n v="1602.1980000000001"/>
    <n v="5944.1980000000003"/>
    <n v="534.06999999999971"/>
    <n v="0"/>
    <x v="0"/>
    <s v="VERY HIGH"/>
    <n v="4450.55"/>
    <n v="0.12300092123445411"/>
    <s v="HIGH RISK"/>
  </r>
  <r>
    <s v="L0334"/>
    <x v="170"/>
    <s v="B0334"/>
    <x v="5"/>
    <n v="36612"/>
    <n v="19.7"/>
    <n v="36"/>
    <x v="1"/>
    <x v="6"/>
    <x v="4"/>
    <n v="105602"/>
    <s v="OWN"/>
    <n v="0.46"/>
    <n v="0.81"/>
    <n v="7072.66"/>
    <n v="0"/>
    <n v="33"/>
    <n v="21637.691999999999"/>
    <n v="58249.691999999995"/>
    <n v="-29539.34"/>
    <n v="0"/>
    <x v="1"/>
    <s v="VERY HIGH"/>
    <n v="60104.7"/>
    <n v="-0.80682126078881244"/>
    <s v="HIGH RISK"/>
  </r>
  <r>
    <s v="L0335"/>
    <x v="284"/>
    <s v="B0335"/>
    <x v="2"/>
    <n v="11396"/>
    <n v="21.4"/>
    <n v="36"/>
    <x v="2"/>
    <x v="1"/>
    <x v="0"/>
    <n v="125040"/>
    <s v="RENT"/>
    <n v="0.32"/>
    <n v="0.92"/>
    <n v="0"/>
    <n v="0"/>
    <n v="39"/>
    <n v="7316.232"/>
    <n v="18712.232"/>
    <n v="-11396"/>
    <n v="0"/>
    <x v="2"/>
    <s v="HIGH"/>
    <n v="20322.866699999999"/>
    <n v="-1"/>
    <s v="HIGH RISK"/>
  </r>
  <r>
    <s v="L0336"/>
    <x v="285"/>
    <s v="B0336"/>
    <x v="7"/>
    <n v="18482"/>
    <n v="11.3"/>
    <n v="60"/>
    <x v="1"/>
    <x v="4"/>
    <x v="1"/>
    <n v="94575"/>
    <s v="RENT"/>
    <n v="0.42"/>
    <n v="0.95"/>
    <n v="3142.25"/>
    <n v="0"/>
    <n v="43"/>
    <n v="10442.33"/>
    <n v="28924.33"/>
    <n v="-15339.75"/>
    <n v="0"/>
    <x v="1"/>
    <s v="LOW"/>
    <n v="17403.883300000001"/>
    <n v="-0.82998322692349313"/>
    <s v="HIGH RISK"/>
  </r>
  <r>
    <s v="L0337"/>
    <x v="286"/>
    <s v="B0337"/>
    <x v="6"/>
    <n v="24411"/>
    <n v="21"/>
    <n v="36"/>
    <x v="0"/>
    <x v="0"/>
    <x v="0"/>
    <n v="102518"/>
    <s v="MORTGAGE"/>
    <n v="0.25"/>
    <n v="0.7"/>
    <n v="29537.31"/>
    <n v="0"/>
    <n v="36"/>
    <n v="15378.93"/>
    <n v="39789.93"/>
    <n v="5126.3100000000013"/>
    <n v="0"/>
    <x v="0"/>
    <s v="LOW"/>
    <n v="42719.25"/>
    <n v="0.21000000000000005"/>
    <s v="NORMAL"/>
  </r>
  <r>
    <s v="L0338"/>
    <x v="0"/>
    <s v="B0338"/>
    <x v="9"/>
    <n v="14261"/>
    <n v="24.4"/>
    <n v="36"/>
    <x v="3"/>
    <x v="0"/>
    <x v="4"/>
    <n v="69104"/>
    <s v="OWN"/>
    <n v="0.37"/>
    <n v="0.61"/>
    <n v="5563.15"/>
    <n v="3087.26"/>
    <n v="34"/>
    <n v="10439.052"/>
    <n v="24700.052"/>
    <n v="-5610.59"/>
    <n v="1"/>
    <x v="2"/>
    <s v="LOW"/>
    <n v="28997.366699999999"/>
    <n v="-0.39342191992146414"/>
    <s v="NORMAL"/>
  </r>
  <r>
    <s v="L0339"/>
    <x v="141"/>
    <s v="B0339"/>
    <x v="8"/>
    <n v="4093"/>
    <n v="22.1"/>
    <n v="36"/>
    <x v="0"/>
    <x v="1"/>
    <x v="0"/>
    <n v="48062"/>
    <s v="RENT"/>
    <n v="0.5"/>
    <n v="0.7"/>
    <n v="4997.55"/>
    <n v="0"/>
    <n v="54"/>
    <n v="2713.6590000000001"/>
    <n v="6806.6589999999997"/>
    <n v="904.55000000000018"/>
    <n v="0"/>
    <x v="0"/>
    <s v="HIGH"/>
    <n v="7537.9417000000003"/>
    <n v="0.22099926704129005"/>
    <s v="HIGH RISK"/>
  </r>
  <r>
    <s v="L0340"/>
    <x v="287"/>
    <s v="B0340"/>
    <x v="7"/>
    <n v="12722"/>
    <n v="7.4"/>
    <n v="60"/>
    <x v="0"/>
    <x v="6"/>
    <x v="0"/>
    <n v="46999"/>
    <s v="MORTGAGE"/>
    <n v="0.19"/>
    <n v="0.88"/>
    <n v="13663.43"/>
    <n v="0"/>
    <n v="57"/>
    <n v="4707.1400000000003"/>
    <n v="17429.14"/>
    <n v="941.43000000000029"/>
    <n v="0"/>
    <x v="0"/>
    <s v="VERY HIGH"/>
    <n v="7845.2332999999999"/>
    <n v="7.4000157207986195E-2"/>
    <s v="HIGH RISK"/>
  </r>
  <r>
    <s v="L0341"/>
    <x v="288"/>
    <s v="B0341"/>
    <x v="4"/>
    <n v="23042"/>
    <n v="19.8"/>
    <n v="60"/>
    <x v="3"/>
    <x v="6"/>
    <x v="1"/>
    <n v="91845"/>
    <s v="RENT"/>
    <n v="0.26"/>
    <n v="0.59"/>
    <n v="3410.73"/>
    <n v="2992.03"/>
    <n v="29"/>
    <n v="22811.58"/>
    <n v="45853.58"/>
    <n v="-16639.239999999998"/>
    <n v="1"/>
    <x v="2"/>
    <s v="VERY HIGH"/>
    <n v="38019.300000000003"/>
    <n v="-0.72212655151462535"/>
    <s v="NORMAL"/>
  </r>
  <r>
    <s v="L0342"/>
    <x v="289"/>
    <s v="B0342"/>
    <x v="1"/>
    <n v="29087"/>
    <n v="11.4"/>
    <n v="60"/>
    <x v="1"/>
    <x v="2"/>
    <x v="2"/>
    <n v="39941"/>
    <s v="OWN"/>
    <n v="0.28999999999999998"/>
    <n v="0.93"/>
    <n v="11759.78"/>
    <n v="0"/>
    <n v="39"/>
    <n v="16579.59"/>
    <n v="45666.59"/>
    <n v="-17327.22"/>
    <n v="0"/>
    <x v="1"/>
    <s v="VERY HIGH"/>
    <n v="27632.65"/>
    <n v="-0.59570323512221957"/>
    <s v="HIGH RISK"/>
  </r>
  <r>
    <s v="L0343"/>
    <x v="290"/>
    <s v="B0343"/>
    <x v="5"/>
    <n v="33347"/>
    <n v="24.8"/>
    <n v="36"/>
    <x v="0"/>
    <x v="6"/>
    <x v="0"/>
    <n v="91169"/>
    <s v="MORTGAGE"/>
    <n v="0.16"/>
    <n v="0.65"/>
    <n v="41617.06"/>
    <n v="0"/>
    <n v="26"/>
    <n v="24810.168000000001"/>
    <n v="58157.168000000005"/>
    <n v="8270.0599999999977"/>
    <n v="0"/>
    <x v="0"/>
    <s v="VERY HIGH"/>
    <n v="68917.133300000001"/>
    <n v="0.24800011995082008"/>
    <s v="NORMAL"/>
  </r>
  <r>
    <s v="L0344"/>
    <x v="291"/>
    <s v="B0344"/>
    <x v="8"/>
    <n v="34756"/>
    <n v="14.7"/>
    <n v="60"/>
    <x v="0"/>
    <x v="3"/>
    <x v="0"/>
    <n v="53470"/>
    <s v="RENT"/>
    <n v="0.13"/>
    <n v="0.94"/>
    <n v="39865.129999999997"/>
    <n v="0"/>
    <n v="27"/>
    <n v="25545.66"/>
    <n v="60301.66"/>
    <n v="5109.1299999999974"/>
    <n v="0"/>
    <x v="0"/>
    <s v="VERY HIGH"/>
    <n v="42576.1"/>
    <n v="0.14699994245597875"/>
    <s v="HIGH RISK"/>
  </r>
  <r>
    <s v="L0345"/>
    <x v="292"/>
    <s v="B0345"/>
    <x v="4"/>
    <n v="17335"/>
    <n v="7.4"/>
    <n v="36"/>
    <x v="0"/>
    <x v="0"/>
    <x v="4"/>
    <n v="140684"/>
    <s v="MORTGAGE"/>
    <n v="0.43"/>
    <n v="0.88"/>
    <n v="18617.79"/>
    <n v="0"/>
    <n v="29"/>
    <n v="3848.3700000000003"/>
    <n v="21183.37"/>
    <n v="1282.7900000000009"/>
    <n v="0"/>
    <x v="0"/>
    <s v="LOW"/>
    <n v="10689.916999999999"/>
    <n v="7.4000000000000052E-2"/>
    <s v="HIGH RISK"/>
  </r>
  <r>
    <s v="L0346"/>
    <x v="293"/>
    <s v="B0346"/>
    <x v="9"/>
    <n v="29602"/>
    <n v="19.5"/>
    <n v="36"/>
    <x v="0"/>
    <x v="1"/>
    <x v="4"/>
    <n v="89821"/>
    <s v="RENT"/>
    <n v="0.49"/>
    <n v="0.86"/>
    <n v="35374.39"/>
    <n v="0"/>
    <n v="59"/>
    <n v="17317.170000000002"/>
    <n v="46919.17"/>
    <n v="5772.3899999999994"/>
    <n v="0"/>
    <x v="0"/>
    <s v="HIGH"/>
    <n v="48103.25"/>
    <n v="0.19499999999999998"/>
    <s v="HIGH RISK"/>
  </r>
  <r>
    <s v="L0347"/>
    <x v="25"/>
    <s v="B0347"/>
    <x v="4"/>
    <n v="35450"/>
    <n v="11.5"/>
    <n v="60"/>
    <x v="0"/>
    <x v="5"/>
    <x v="4"/>
    <n v="116669"/>
    <s v="RENT"/>
    <n v="0.26"/>
    <n v="0.64"/>
    <n v="39526.75"/>
    <n v="0"/>
    <n v="31"/>
    <n v="20383.75"/>
    <n v="55833.75"/>
    <n v="4076.75"/>
    <n v="0"/>
    <x v="0"/>
    <s v="MEDIUM"/>
    <n v="33972.916700000002"/>
    <n v="0.115"/>
    <s v="NORMAL"/>
  </r>
  <r>
    <s v="L0348"/>
    <x v="294"/>
    <s v="B0348"/>
    <x v="6"/>
    <n v="33196"/>
    <n v="24.9"/>
    <n v="36"/>
    <x v="2"/>
    <x v="4"/>
    <x v="3"/>
    <n v="148193"/>
    <s v="OWN"/>
    <n v="0.14000000000000001"/>
    <n v="0.5"/>
    <n v="0"/>
    <n v="0"/>
    <n v="29"/>
    <n v="24797.411999999997"/>
    <n v="57993.411999999997"/>
    <n v="-33196"/>
    <n v="0"/>
    <x v="2"/>
    <s v="LOW"/>
    <n v="68881.7"/>
    <n v="-1"/>
    <s v="NORMAL"/>
  </r>
  <r>
    <s v="L0349"/>
    <x v="172"/>
    <s v="B0349"/>
    <x v="1"/>
    <n v="6626"/>
    <n v="24.6"/>
    <n v="36"/>
    <x v="3"/>
    <x v="3"/>
    <x v="0"/>
    <n v="74435"/>
    <s v="OWN"/>
    <n v="0.13"/>
    <n v="0.67"/>
    <n v="2618.92"/>
    <n v="2120.33"/>
    <n v="47"/>
    <n v="4889.9880000000003"/>
    <n v="11515.988000000001"/>
    <n v="-1886.75"/>
    <n v="1"/>
    <x v="2"/>
    <s v="VERY HIGH"/>
    <n v="13583.3"/>
    <n v="-0.28474947177784488"/>
    <s v="NORMAL"/>
  </r>
  <r>
    <s v="L0350"/>
    <x v="295"/>
    <s v="B0350"/>
    <x v="2"/>
    <n v="8424"/>
    <n v="18.100000000000001"/>
    <n v="36"/>
    <x v="3"/>
    <x v="2"/>
    <x v="4"/>
    <n v="34529"/>
    <s v="RENT"/>
    <n v="0.46"/>
    <n v="0.64"/>
    <n v="892.7"/>
    <n v="1919.6"/>
    <n v="32"/>
    <n v="4574.2320000000009"/>
    <n v="12998.232"/>
    <n v="-5611.7"/>
    <n v="1"/>
    <x v="2"/>
    <s v="VERY HIGH"/>
    <n v="12706.2"/>
    <n v="-0.66615622032288702"/>
    <s v="HIGH RISK"/>
  </r>
  <r>
    <s v="L0351"/>
    <x v="296"/>
    <s v="B0351"/>
    <x v="8"/>
    <n v="13857"/>
    <n v="7.6"/>
    <n v="60"/>
    <x v="0"/>
    <x v="0"/>
    <x v="1"/>
    <n v="113055"/>
    <s v="MORTGAGE"/>
    <n v="0.28999999999999998"/>
    <n v="0.52"/>
    <n v="14910.13"/>
    <n v="0"/>
    <n v="55"/>
    <n v="5265.6600000000008"/>
    <n v="19122.66"/>
    <n v="1053.1299999999992"/>
    <n v="0"/>
    <x v="0"/>
    <s v="LOW"/>
    <n v="8776.1"/>
    <n v="7.5999855668615085E-2"/>
    <s v="NORMAL"/>
  </r>
  <r>
    <s v="L0352"/>
    <x v="297"/>
    <s v="B0352"/>
    <x v="1"/>
    <n v="20982"/>
    <n v="18.7"/>
    <n v="36"/>
    <x v="1"/>
    <x v="0"/>
    <x v="3"/>
    <n v="42192"/>
    <s v="MORTGAGE"/>
    <n v="0.23"/>
    <n v="0.73"/>
    <n v="7649.25"/>
    <n v="0"/>
    <n v="47"/>
    <n v="11770.902"/>
    <n v="32752.902000000002"/>
    <n v="-13332.75"/>
    <n v="0"/>
    <x v="1"/>
    <s v="LOW"/>
    <n v="32696.95"/>
    <n v="-0.63543751787246217"/>
    <s v="NORMAL"/>
  </r>
  <r>
    <s v="L0353"/>
    <x v="298"/>
    <s v="B0353"/>
    <x v="0"/>
    <n v="12425"/>
    <n v="6.9"/>
    <n v="36"/>
    <x v="3"/>
    <x v="1"/>
    <x v="2"/>
    <n v="104102"/>
    <s v="OWN"/>
    <n v="0.28999999999999998"/>
    <n v="0.68"/>
    <n v="2185.23"/>
    <n v="5996.91"/>
    <n v="48"/>
    <n v="2571.9749999999999"/>
    <n v="14996.975"/>
    <n v="-4242.8600000000006"/>
    <n v="1"/>
    <x v="2"/>
    <s v="HIGH"/>
    <n v="7144.3756000000003"/>
    <n v="-0.3414776659959759"/>
    <s v="NORMAL"/>
  </r>
  <r>
    <s v="L0354"/>
    <x v="299"/>
    <s v="B0354"/>
    <x v="7"/>
    <n v="2980"/>
    <n v="5.6"/>
    <n v="60"/>
    <x v="3"/>
    <x v="5"/>
    <x v="0"/>
    <n v="102762"/>
    <s v="RENT"/>
    <n v="0.23"/>
    <n v="0.79"/>
    <n v="334.2"/>
    <n v="420.5"/>
    <n v="51"/>
    <n v="834.4"/>
    <n v="3814.4"/>
    <n v="-2225.3000000000002"/>
    <n v="1"/>
    <x v="2"/>
    <s v="MEDIUM"/>
    <n v="1390.6667"/>
    <n v="-0.74674496644295307"/>
    <s v="NORMAL"/>
  </r>
  <r>
    <s v="L0355"/>
    <x v="162"/>
    <s v="B0355"/>
    <x v="0"/>
    <n v="27431"/>
    <n v="21.5"/>
    <n v="36"/>
    <x v="0"/>
    <x v="2"/>
    <x v="0"/>
    <n v="133466"/>
    <s v="OWN"/>
    <n v="0.3"/>
    <n v="0.78"/>
    <n v="33328.660000000003"/>
    <n v="0"/>
    <n v="44"/>
    <n v="17692.994999999999"/>
    <n v="45123.994999999995"/>
    <n v="5897.6600000000035"/>
    <n v="0"/>
    <x v="0"/>
    <s v="VERY HIGH"/>
    <n v="49147.208299999998"/>
    <n v="0.21499981772447244"/>
    <s v="NORMAL"/>
  </r>
  <r>
    <s v="L0356"/>
    <x v="300"/>
    <s v="B0356"/>
    <x v="7"/>
    <n v="20440"/>
    <n v="9.1999999999999993"/>
    <n v="36"/>
    <x v="0"/>
    <x v="0"/>
    <x v="1"/>
    <n v="144894"/>
    <s v="RENT"/>
    <n v="0.44"/>
    <n v="0.55000000000000004"/>
    <n v="22320.48"/>
    <n v="0"/>
    <n v="50"/>
    <n v="5641.44"/>
    <n v="26081.439999999999"/>
    <n v="1880.4799999999996"/>
    <n v="0"/>
    <x v="0"/>
    <s v="LOW"/>
    <n v="15670.6667"/>
    <n v="9.1999999999999985E-2"/>
    <s v="HIGH RISK"/>
  </r>
  <r>
    <s v="L0357"/>
    <x v="301"/>
    <s v="B0357"/>
    <x v="6"/>
    <n v="18175"/>
    <n v="12.6"/>
    <n v="60"/>
    <x v="0"/>
    <x v="0"/>
    <x v="2"/>
    <n v="116795"/>
    <s v="RENT"/>
    <n v="0.34"/>
    <n v="0.94"/>
    <n v="20465.05"/>
    <n v="0"/>
    <n v="61"/>
    <n v="11450.25"/>
    <n v="29625.25"/>
    <n v="2290.0499999999993"/>
    <n v="0"/>
    <x v="0"/>
    <s v="LOW"/>
    <n v="19083.75"/>
    <n v="0.12599999999999997"/>
    <s v="HIGH RISK"/>
  </r>
  <r>
    <s v="L0358"/>
    <x v="302"/>
    <s v="B0358"/>
    <x v="1"/>
    <n v="27385"/>
    <n v="24.5"/>
    <n v="36"/>
    <x v="1"/>
    <x v="4"/>
    <x v="2"/>
    <n v="64087"/>
    <s v="OWN"/>
    <n v="0.38"/>
    <n v="0.57999999999999996"/>
    <n v="6334.16"/>
    <n v="0"/>
    <n v="45"/>
    <n v="20127.974999999999"/>
    <n v="47512.974999999999"/>
    <n v="-21050.84"/>
    <n v="0"/>
    <x v="1"/>
    <s v="LOW"/>
    <n v="55911.041700000002"/>
    <n v="-0.76869965309475996"/>
    <s v="NORMAL"/>
  </r>
  <r>
    <s v="L0359"/>
    <x v="281"/>
    <s v="B0359"/>
    <x v="9"/>
    <n v="39158"/>
    <n v="11.7"/>
    <n v="36"/>
    <x v="1"/>
    <x v="0"/>
    <x v="3"/>
    <n v="96677"/>
    <s v="MORTGAGE"/>
    <n v="0.25"/>
    <n v="0.7"/>
    <n v="18437.47"/>
    <n v="0"/>
    <n v="36"/>
    <n v="13744.457999999999"/>
    <n v="52902.457999999999"/>
    <n v="-20720.53"/>
    <n v="0"/>
    <x v="1"/>
    <s v="LOW"/>
    <n v="38179.050000000003"/>
    <n v="-0.52915189744113589"/>
    <s v="NORMAL"/>
  </r>
  <r>
    <s v="L0360"/>
    <x v="303"/>
    <s v="B0360"/>
    <x v="3"/>
    <n v="24019"/>
    <n v="10.9"/>
    <n v="36"/>
    <x v="1"/>
    <x v="0"/>
    <x v="0"/>
    <n v="34627"/>
    <s v="OWN"/>
    <n v="0.4"/>
    <n v="0.72"/>
    <n v="1328.11"/>
    <n v="0"/>
    <n v="37"/>
    <n v="7854.2129999999997"/>
    <n v="31873.213"/>
    <n v="-22690.89"/>
    <n v="0"/>
    <x v="1"/>
    <s v="LOW"/>
    <n v="21817.258300000001"/>
    <n v="-0.94470585786252548"/>
    <s v="NORMAL"/>
  </r>
  <r>
    <s v="L0361"/>
    <x v="132"/>
    <s v="B0361"/>
    <x v="4"/>
    <n v="19639"/>
    <n v="23.4"/>
    <n v="36"/>
    <x v="0"/>
    <x v="2"/>
    <x v="4"/>
    <n v="86541"/>
    <s v="RENT"/>
    <n v="0.37"/>
    <n v="0.87"/>
    <n v="24234.53"/>
    <n v="0"/>
    <n v="48"/>
    <n v="13786.578"/>
    <n v="33425.578000000001"/>
    <n v="4595.5299999999988"/>
    <n v="0"/>
    <x v="0"/>
    <s v="VERY HIGH"/>
    <n v="38296.050000000003"/>
    <n v="0.23400020367635821"/>
    <s v="HIGH RISK"/>
  </r>
  <r>
    <s v="L0362"/>
    <x v="304"/>
    <s v="B0362"/>
    <x v="3"/>
    <n v="20994"/>
    <n v="7.2"/>
    <n v="36"/>
    <x v="0"/>
    <x v="4"/>
    <x v="1"/>
    <n v="142805"/>
    <s v="OWN"/>
    <n v="0.15"/>
    <n v="0.54"/>
    <n v="22505.57"/>
    <n v="0"/>
    <n v="37"/>
    <n v="4534.7040000000006"/>
    <n v="25528.704000000002"/>
    <n v="1511.5699999999997"/>
    <n v="0"/>
    <x v="0"/>
    <s v="LOW"/>
    <n v="12596.400600000001"/>
    <n v="7.2000095265313882E-2"/>
    <s v="NORMAL"/>
  </r>
  <r>
    <s v="L0363"/>
    <x v="305"/>
    <s v="B0363"/>
    <x v="1"/>
    <n v="35375"/>
    <n v="20.2"/>
    <n v="60"/>
    <x v="0"/>
    <x v="4"/>
    <x v="1"/>
    <n v="98226"/>
    <s v="MORTGAGE"/>
    <n v="0.33"/>
    <n v="0.69"/>
    <n v="42520.75"/>
    <n v="0"/>
    <n v="29"/>
    <n v="35728.75"/>
    <n v="71103.75"/>
    <n v="7145.75"/>
    <n v="0"/>
    <x v="0"/>
    <s v="LOW"/>
    <n v="59547.916700000002"/>
    <n v="0.20200000000000001"/>
    <s v="NORMAL"/>
  </r>
  <r>
    <s v="L0364"/>
    <x v="306"/>
    <s v="B0364"/>
    <x v="0"/>
    <n v="22563"/>
    <n v="24.8"/>
    <n v="60"/>
    <x v="0"/>
    <x v="0"/>
    <x v="1"/>
    <n v="135627"/>
    <s v="MORTGAGE"/>
    <n v="0.2"/>
    <n v="0.78"/>
    <n v="28158.62"/>
    <n v="0"/>
    <n v="45"/>
    <n v="27978.12"/>
    <n v="50541.119999999995"/>
    <n v="5595.619999999999"/>
    <n v="0"/>
    <x v="0"/>
    <s v="LOW"/>
    <n v="46630.2"/>
    <n v="0.24799982271861007"/>
    <s v="NORMAL"/>
  </r>
  <r>
    <s v="L0365"/>
    <x v="307"/>
    <s v="B0365"/>
    <x v="3"/>
    <n v="6776"/>
    <n v="23"/>
    <n v="60"/>
    <x v="0"/>
    <x v="4"/>
    <x v="1"/>
    <n v="33255"/>
    <s v="RENT"/>
    <n v="0.42"/>
    <n v="0.6"/>
    <n v="8334.48"/>
    <n v="0"/>
    <n v="28"/>
    <n v="7792.4000000000005"/>
    <n v="14568.400000000001"/>
    <n v="1558.4799999999996"/>
    <n v="0"/>
    <x v="0"/>
    <s v="LOW"/>
    <n v="12987.3333"/>
    <n v="0.22999999999999993"/>
    <s v="HIGH RISK"/>
  </r>
  <r>
    <s v="L0366"/>
    <x v="64"/>
    <s v="B0366"/>
    <x v="5"/>
    <n v="37444"/>
    <n v="18"/>
    <n v="60"/>
    <x v="1"/>
    <x v="6"/>
    <x v="4"/>
    <n v="87433"/>
    <s v="OWN"/>
    <n v="0.27"/>
    <n v="0.78"/>
    <n v="11777.96"/>
    <n v="0"/>
    <n v="36"/>
    <n v="33699.599999999999"/>
    <n v="71143.600000000006"/>
    <n v="-25666.04"/>
    <n v="0"/>
    <x v="1"/>
    <s v="VERY HIGH"/>
    <n v="56166"/>
    <n v="-0.68545134066873203"/>
    <s v="NORMAL"/>
  </r>
  <r>
    <s v="L0367"/>
    <x v="308"/>
    <s v="B0367"/>
    <x v="3"/>
    <n v="4380"/>
    <n v="11.3"/>
    <n v="36"/>
    <x v="0"/>
    <x v="5"/>
    <x v="4"/>
    <n v="35213"/>
    <s v="MORTGAGE"/>
    <n v="0.5"/>
    <n v="0.92"/>
    <n v="4874.9399999999996"/>
    <n v="0"/>
    <n v="51"/>
    <n v="1484.82"/>
    <n v="5864.82"/>
    <n v="494.9399999999996"/>
    <n v="0"/>
    <x v="0"/>
    <s v="MEDIUM"/>
    <n v="4124.5"/>
    <n v="0.11299999999999991"/>
    <s v="HIGH RISK"/>
  </r>
  <r>
    <s v="L0368"/>
    <x v="309"/>
    <s v="B0368"/>
    <x v="7"/>
    <n v="9711"/>
    <n v="10.1"/>
    <n v="36"/>
    <x v="1"/>
    <x v="1"/>
    <x v="3"/>
    <n v="132412"/>
    <s v="OWN"/>
    <n v="0.14000000000000001"/>
    <n v="0.95"/>
    <n v="2676.63"/>
    <n v="0"/>
    <n v="54"/>
    <n v="2942.4329999999995"/>
    <n v="12653.432999999999"/>
    <n v="-7034.37"/>
    <n v="0"/>
    <x v="1"/>
    <s v="HIGH"/>
    <n v="8173.4250000000002"/>
    <n v="-0.72437133147976518"/>
    <s v="HIGH RISK"/>
  </r>
  <r>
    <s v="L0369"/>
    <x v="212"/>
    <s v="B0369"/>
    <x v="5"/>
    <n v="9782"/>
    <n v="21.4"/>
    <n v="36"/>
    <x v="0"/>
    <x v="4"/>
    <x v="0"/>
    <n v="49404"/>
    <s v="MORTGAGE"/>
    <n v="0.41"/>
    <n v="0.51"/>
    <n v="11875.35"/>
    <n v="0"/>
    <n v="46"/>
    <n v="6280.043999999999"/>
    <n v="16062.043999999998"/>
    <n v="2093.3500000000004"/>
    <n v="0"/>
    <x v="0"/>
    <s v="LOW"/>
    <n v="17444.566699999999"/>
    <n v="0.21400020445716625"/>
    <s v="HIGH RISK"/>
  </r>
  <r>
    <s v="L0370"/>
    <x v="310"/>
    <s v="B0370"/>
    <x v="8"/>
    <n v="18434"/>
    <n v="22.6"/>
    <n v="36"/>
    <x v="0"/>
    <x v="4"/>
    <x v="4"/>
    <n v="146545"/>
    <s v="RENT"/>
    <n v="0.37"/>
    <n v="0.61"/>
    <n v="22600.080000000002"/>
    <n v="0"/>
    <n v="33"/>
    <n v="12498.252"/>
    <n v="30932.252"/>
    <n v="4166.0800000000017"/>
    <n v="0"/>
    <x v="0"/>
    <s v="LOW"/>
    <n v="34717.366699999999"/>
    <n v="0.22599978300965617"/>
    <s v="NORMAL"/>
  </r>
  <r>
    <s v="L0371"/>
    <x v="311"/>
    <s v="B0371"/>
    <x v="3"/>
    <n v="21017"/>
    <n v="15.5"/>
    <n v="36"/>
    <x v="0"/>
    <x v="5"/>
    <x v="3"/>
    <n v="55380"/>
    <s v="RENT"/>
    <n v="0.41"/>
    <n v="0.64"/>
    <n v="24274.639999999999"/>
    <n v="0"/>
    <n v="57"/>
    <n v="9772.9050000000007"/>
    <n v="30789.904999999999"/>
    <n v="3257.6399999999994"/>
    <n v="0"/>
    <x v="0"/>
    <s v="MEDIUM"/>
    <n v="27146.958299999998"/>
    <n v="0.15500023790265022"/>
    <s v="HIGH RISK"/>
  </r>
  <r>
    <s v="L0372"/>
    <x v="312"/>
    <s v="B0372"/>
    <x v="5"/>
    <n v="31707"/>
    <n v="9.9"/>
    <n v="60"/>
    <x v="3"/>
    <x v="4"/>
    <x v="2"/>
    <n v="121056"/>
    <s v="OWN"/>
    <n v="0.22"/>
    <n v="0.68"/>
    <n v="11478.42"/>
    <n v="11714.89"/>
    <n v="34"/>
    <n v="15694.964999999998"/>
    <n v="47401.964999999997"/>
    <n v="-8513.6900000000023"/>
    <n v="1"/>
    <x v="2"/>
    <s v="LOW"/>
    <n v="26158.275000000001"/>
    <n v="-0.26851136972908196"/>
    <s v="NORMAL"/>
  </r>
  <r>
    <s v="L0373"/>
    <x v="313"/>
    <s v="B0373"/>
    <x v="1"/>
    <n v="18343"/>
    <n v="7.3"/>
    <n v="60"/>
    <x v="0"/>
    <x v="6"/>
    <x v="0"/>
    <n v="49173"/>
    <s v="RENT"/>
    <n v="0.3"/>
    <n v="0.61"/>
    <n v="19682.04"/>
    <n v="0"/>
    <n v="39"/>
    <n v="6695.1949999999997"/>
    <n v="25038.195"/>
    <n v="1339.0400000000009"/>
    <n v="0"/>
    <x v="0"/>
    <s v="VERY HIGH"/>
    <n v="11158.658299999999"/>
    <n v="7.300005451670942E-2"/>
    <s v="NORMAL"/>
  </r>
  <r>
    <s v="L0374"/>
    <x v="68"/>
    <s v="B0374"/>
    <x v="4"/>
    <n v="39827"/>
    <n v="6.7"/>
    <n v="36"/>
    <x v="1"/>
    <x v="4"/>
    <x v="4"/>
    <n v="83027"/>
    <s v="MORTGAGE"/>
    <n v="0.42"/>
    <n v="0.59"/>
    <n v="3496.84"/>
    <n v="0"/>
    <n v="50"/>
    <n v="8005.2269999999999"/>
    <n v="47832.226999999999"/>
    <n v="-36330.160000000003"/>
    <n v="0"/>
    <x v="1"/>
    <s v="LOW"/>
    <n v="22236.744200000001"/>
    <n v="-0.9121992618073167"/>
    <s v="HIGH RISK"/>
  </r>
  <r>
    <s v="L0375"/>
    <x v="187"/>
    <s v="B0375"/>
    <x v="8"/>
    <n v="6655"/>
    <n v="19.399999999999999"/>
    <n v="36"/>
    <x v="0"/>
    <x v="1"/>
    <x v="2"/>
    <n v="53989"/>
    <s v="RENT"/>
    <n v="0.19"/>
    <n v="0.93"/>
    <n v="7946.07"/>
    <n v="0"/>
    <n v="31"/>
    <n v="3873.2099999999996"/>
    <n v="10528.21"/>
    <n v="1291.0699999999997"/>
    <n v="0"/>
    <x v="0"/>
    <s v="HIGH"/>
    <n v="10758.9167"/>
    <n v="0.19399999999999995"/>
    <s v="HIGH RISK"/>
  </r>
  <r>
    <s v="L0376"/>
    <x v="314"/>
    <s v="B0376"/>
    <x v="9"/>
    <n v="16251"/>
    <n v="13.4"/>
    <n v="36"/>
    <x v="3"/>
    <x v="0"/>
    <x v="3"/>
    <n v="138106"/>
    <s v="MORTGAGE"/>
    <n v="0.19"/>
    <n v="0.91"/>
    <n v="4947.74"/>
    <n v="1644.69"/>
    <n v="39"/>
    <n v="6532.9019999999991"/>
    <n v="22783.901999999998"/>
    <n v="-9658.57"/>
    <n v="1"/>
    <x v="2"/>
    <s v="LOW"/>
    <n v="18146.95"/>
    <n v="-0.59433696387914592"/>
    <s v="HIGH RISK"/>
  </r>
  <r>
    <s v="L0377"/>
    <x v="315"/>
    <s v="B0377"/>
    <x v="9"/>
    <n v="1526"/>
    <n v="23.1"/>
    <n v="60"/>
    <x v="1"/>
    <x v="1"/>
    <x v="4"/>
    <n v="54519"/>
    <s v="MORTGAGE"/>
    <n v="0.32"/>
    <n v="0.52"/>
    <n v="543.33000000000004"/>
    <n v="0"/>
    <n v="27"/>
    <n v="1762.5299999999997"/>
    <n v="3288.5299999999997"/>
    <n v="-982.67"/>
    <n v="0"/>
    <x v="1"/>
    <s v="HIGH"/>
    <n v="2937.55"/>
    <n v="-0.6439515072083879"/>
    <s v="NORMAL"/>
  </r>
  <r>
    <s v="L0378"/>
    <x v="316"/>
    <s v="B0378"/>
    <x v="6"/>
    <n v="4224"/>
    <n v="19.8"/>
    <n v="36"/>
    <x v="0"/>
    <x v="2"/>
    <x v="4"/>
    <n v="52439"/>
    <s v="RENT"/>
    <n v="0.31"/>
    <n v="0.65"/>
    <n v="5060.3500000000004"/>
    <n v="0"/>
    <n v="53"/>
    <n v="2509.056"/>
    <n v="6733.0560000000005"/>
    <n v="836.35000000000036"/>
    <n v="0"/>
    <x v="0"/>
    <s v="VERY HIGH"/>
    <n v="6969.6"/>
    <n v="0.1979995265151516"/>
    <s v="NORMAL"/>
  </r>
  <r>
    <s v="L0379"/>
    <x v="317"/>
    <s v="B0379"/>
    <x v="3"/>
    <n v="12536"/>
    <n v="8.8000000000000007"/>
    <n v="36"/>
    <x v="1"/>
    <x v="5"/>
    <x v="2"/>
    <n v="148570"/>
    <s v="MORTGAGE"/>
    <n v="0.21"/>
    <n v="0.68"/>
    <n v="4401.21"/>
    <n v="0"/>
    <n v="49"/>
    <n v="3309.5040000000004"/>
    <n v="15845.504000000001"/>
    <n v="-8134.79"/>
    <n v="0"/>
    <x v="1"/>
    <s v="MEDIUM"/>
    <n v="9193.0666999999994"/>
    <n v="-0.64891432673899174"/>
    <s v="NORMAL"/>
  </r>
  <r>
    <s v="L0380"/>
    <x v="318"/>
    <s v="B0380"/>
    <x v="4"/>
    <n v="29541"/>
    <n v="17.3"/>
    <n v="36"/>
    <x v="0"/>
    <x v="5"/>
    <x v="4"/>
    <n v="106949"/>
    <s v="MORTGAGE"/>
    <n v="0.22"/>
    <n v="0.61"/>
    <n v="34651.589999999997"/>
    <n v="0"/>
    <n v="62"/>
    <n v="15331.779000000002"/>
    <n v="44872.779000000002"/>
    <n v="5110.5899999999965"/>
    <n v="0"/>
    <x v="0"/>
    <s v="MEDIUM"/>
    <n v="42588.275000000001"/>
    <n v="0.17299989844622715"/>
    <s v="NORMAL"/>
  </r>
  <r>
    <s v="L0381"/>
    <x v="319"/>
    <s v="B0381"/>
    <x v="2"/>
    <n v="14547"/>
    <n v="13.7"/>
    <n v="60"/>
    <x v="3"/>
    <x v="3"/>
    <x v="1"/>
    <n v="44995"/>
    <s v="OWN"/>
    <n v="0.21"/>
    <n v="0.78"/>
    <n v="5567.14"/>
    <n v="1935.32"/>
    <n v="46"/>
    <n v="9964.6949999999997"/>
    <n v="24511.695"/>
    <n v="-7044.54"/>
    <n v="1"/>
    <x v="2"/>
    <s v="VERY HIGH"/>
    <n v="16607.825000000001"/>
    <n v="-0.48426067230356773"/>
    <s v="NORMAL"/>
  </r>
  <r>
    <s v="L0382"/>
    <x v="320"/>
    <s v="B0382"/>
    <x v="5"/>
    <n v="35531"/>
    <n v="16.5"/>
    <n v="36"/>
    <x v="0"/>
    <x v="5"/>
    <x v="4"/>
    <n v="53559"/>
    <s v="OWN"/>
    <n v="0.41"/>
    <n v="0.79"/>
    <n v="41393.620000000003"/>
    <n v="0"/>
    <n v="37"/>
    <n v="17587.844999999998"/>
    <n v="53118.845000000001"/>
    <n v="5862.6200000000026"/>
    <n v="0"/>
    <x v="0"/>
    <s v="MEDIUM"/>
    <n v="48855.125"/>
    <n v="0.16500014072218633"/>
    <s v="HIGH RISK"/>
  </r>
  <r>
    <s v="L0383"/>
    <x v="44"/>
    <s v="B0383"/>
    <x v="8"/>
    <n v="9712"/>
    <n v="19.8"/>
    <n v="60"/>
    <x v="0"/>
    <x v="4"/>
    <x v="0"/>
    <n v="140887"/>
    <s v="OWN"/>
    <n v="0.36"/>
    <n v="0.88"/>
    <n v="11634.98"/>
    <n v="0"/>
    <n v="61"/>
    <n v="9614.880000000001"/>
    <n v="19326.88"/>
    <n v="1922.9799999999996"/>
    <n v="0"/>
    <x v="0"/>
    <s v="LOW"/>
    <n v="16024.8"/>
    <n v="0.19800041186161446"/>
    <s v="HIGH RISK"/>
  </r>
  <r>
    <s v="L0384"/>
    <x v="248"/>
    <s v="B0384"/>
    <x v="1"/>
    <n v="39565"/>
    <n v="21.1"/>
    <n v="60"/>
    <x v="1"/>
    <x v="4"/>
    <x v="2"/>
    <n v="119049"/>
    <s v="RENT"/>
    <n v="0.43"/>
    <n v="0.83"/>
    <n v="16632.71"/>
    <n v="0"/>
    <n v="38"/>
    <n v="41741.075000000004"/>
    <n v="81306.075000000012"/>
    <n v="-22932.29"/>
    <n v="0"/>
    <x v="1"/>
    <s v="LOW"/>
    <n v="69568.458299999998"/>
    <n v="-0.57961051434348543"/>
    <s v="HIGH RISK"/>
  </r>
  <r>
    <s v="L0385"/>
    <x v="321"/>
    <s v="B0385"/>
    <x v="3"/>
    <n v="10208"/>
    <n v="21.9"/>
    <n v="60"/>
    <x v="1"/>
    <x v="1"/>
    <x v="0"/>
    <n v="35021"/>
    <s v="OWN"/>
    <n v="0.49"/>
    <n v="0.74"/>
    <n v="703.21"/>
    <n v="0"/>
    <n v="34"/>
    <n v="11177.76"/>
    <n v="21385.760000000002"/>
    <n v="-9504.7900000000009"/>
    <n v="0"/>
    <x v="1"/>
    <s v="HIGH"/>
    <n v="18629.599999999999"/>
    <n v="-0.93111187304075249"/>
    <s v="HIGH RISK"/>
  </r>
  <r>
    <s v="L0386"/>
    <x v="322"/>
    <s v="B0386"/>
    <x v="1"/>
    <n v="6109"/>
    <n v="10.1"/>
    <n v="60"/>
    <x v="0"/>
    <x v="1"/>
    <x v="3"/>
    <n v="128000"/>
    <s v="MORTGAGE"/>
    <n v="0.28999999999999998"/>
    <n v="0.79"/>
    <n v="6726.01"/>
    <n v="0"/>
    <n v="59"/>
    <n v="3085.0450000000001"/>
    <n v="9194.0450000000001"/>
    <n v="617.01000000000022"/>
    <n v="0"/>
    <x v="0"/>
    <s v="HIGH"/>
    <n v="5141.7416999999996"/>
    <n v="0.10100016369291213"/>
    <s v="NORMAL"/>
  </r>
  <r>
    <s v="L0387"/>
    <x v="43"/>
    <s v="B0387"/>
    <x v="2"/>
    <n v="36201"/>
    <n v="5.6"/>
    <n v="60"/>
    <x v="1"/>
    <x v="4"/>
    <x v="0"/>
    <n v="51119"/>
    <s v="RENT"/>
    <n v="0.13"/>
    <n v="0.62"/>
    <n v="9484.2000000000007"/>
    <n v="0"/>
    <n v="37"/>
    <n v="10136.279999999999"/>
    <n v="46337.279999999999"/>
    <n v="-26716.799999999999"/>
    <n v="0"/>
    <x v="1"/>
    <s v="LOW"/>
    <n v="16893.8"/>
    <n v="-0.73801276207839561"/>
    <s v="NORMAL"/>
  </r>
  <r>
    <s v="L0388"/>
    <x v="323"/>
    <s v="B0388"/>
    <x v="6"/>
    <n v="17967"/>
    <n v="19.8"/>
    <n v="60"/>
    <x v="0"/>
    <x v="4"/>
    <x v="1"/>
    <n v="81539"/>
    <s v="RENT"/>
    <n v="0.12"/>
    <n v="0.77"/>
    <n v="21524.47"/>
    <n v="0"/>
    <n v="42"/>
    <n v="17787.330000000002"/>
    <n v="35754.33"/>
    <n v="3557.4700000000012"/>
    <n v="0"/>
    <x v="0"/>
    <s v="LOW"/>
    <n v="29645.55"/>
    <n v="0.19800022263037798"/>
    <s v="NORMAL"/>
  </r>
  <r>
    <s v="L0389"/>
    <x v="324"/>
    <s v="B0389"/>
    <x v="2"/>
    <n v="30759"/>
    <n v="7.1"/>
    <n v="36"/>
    <x v="0"/>
    <x v="3"/>
    <x v="1"/>
    <n v="124835"/>
    <s v="RENT"/>
    <n v="0.22"/>
    <n v="0.72"/>
    <n v="32942.89"/>
    <n v="0"/>
    <n v="30"/>
    <n v="6551.6670000000004"/>
    <n v="37310.667000000001"/>
    <n v="2183.8899999999994"/>
    <n v="0"/>
    <x v="0"/>
    <s v="VERY HIGH"/>
    <n v="18199.076000000001"/>
    <n v="7.100003251080983E-2"/>
    <s v="NORMAL"/>
  </r>
  <r>
    <s v="L0390"/>
    <x v="47"/>
    <s v="B0390"/>
    <x v="7"/>
    <n v="21172"/>
    <n v="11.3"/>
    <n v="36"/>
    <x v="1"/>
    <x v="0"/>
    <x v="0"/>
    <n v="69350"/>
    <s v="RENT"/>
    <n v="0.47"/>
    <n v="0.56000000000000005"/>
    <n v="4850.0600000000004"/>
    <n v="0"/>
    <n v="29"/>
    <n v="7177.3080000000009"/>
    <n v="28349.308000000001"/>
    <n v="-16321.939999999999"/>
    <n v="0"/>
    <x v="1"/>
    <s v="LOW"/>
    <n v="19936.966700000001"/>
    <n v="-0.77092102777252969"/>
    <s v="HIGH RISK"/>
  </r>
  <r>
    <s v="L0391"/>
    <x v="325"/>
    <s v="B0391"/>
    <x v="0"/>
    <n v="37935"/>
    <n v="5.0999999999999996"/>
    <n v="36"/>
    <x v="0"/>
    <x v="4"/>
    <x v="3"/>
    <n v="76223"/>
    <s v="MORTGAGE"/>
    <n v="0.31"/>
    <n v="0.61"/>
    <n v="39869.68"/>
    <n v="0"/>
    <n v="48"/>
    <n v="5804.0550000000003"/>
    <n v="43739.055"/>
    <n v="1934.6800000000003"/>
    <n v="0"/>
    <x v="0"/>
    <s v="LOW"/>
    <n v="16122.4218"/>
    <n v="5.0999868195597743E-2"/>
    <s v="NORMAL"/>
  </r>
  <r>
    <s v="L0392"/>
    <x v="326"/>
    <s v="B0392"/>
    <x v="8"/>
    <n v="27589"/>
    <n v="18.600000000000001"/>
    <n v="60"/>
    <x v="0"/>
    <x v="0"/>
    <x v="4"/>
    <n v="55517"/>
    <s v="MORTGAGE"/>
    <n v="0.21"/>
    <n v="0.63"/>
    <n v="32720.55"/>
    <n v="0"/>
    <n v="58"/>
    <n v="25657.77"/>
    <n v="53246.770000000004"/>
    <n v="5131.5499999999993"/>
    <n v="0"/>
    <x v="0"/>
    <s v="LOW"/>
    <n v="42762.95"/>
    <n v="0.18599985501467975"/>
    <s v="NORMAL"/>
  </r>
  <r>
    <s v="L0393"/>
    <x v="327"/>
    <s v="B0393"/>
    <x v="0"/>
    <n v="31015"/>
    <n v="8.3000000000000007"/>
    <n v="36"/>
    <x v="1"/>
    <x v="6"/>
    <x v="1"/>
    <n v="108653"/>
    <s v="OWN"/>
    <n v="0.26"/>
    <n v="0.92"/>
    <n v="5879.4"/>
    <n v="0"/>
    <n v="42"/>
    <n v="7722.7350000000006"/>
    <n v="38737.735000000001"/>
    <n v="-25135.599999999999"/>
    <n v="0"/>
    <x v="1"/>
    <s v="VERY HIGH"/>
    <n v="21452.041799999999"/>
    <n v="-0.81043366113171045"/>
    <s v="HIGH RISK"/>
  </r>
  <r>
    <s v="L0394"/>
    <x v="328"/>
    <s v="B0394"/>
    <x v="2"/>
    <n v="30009"/>
    <n v="18.100000000000001"/>
    <n v="60"/>
    <x v="0"/>
    <x v="0"/>
    <x v="0"/>
    <n v="52250"/>
    <s v="RENT"/>
    <n v="0.34"/>
    <n v="0.6"/>
    <n v="35440.629999999997"/>
    <n v="0"/>
    <n v="35"/>
    <n v="27158.145"/>
    <n v="57167.145000000004"/>
    <n v="5431.6299999999974"/>
    <n v="0"/>
    <x v="0"/>
    <s v="LOW"/>
    <n v="45263.574999999997"/>
    <n v="0.18100003332333625"/>
    <s v="NORMAL"/>
  </r>
  <r>
    <s v="L0395"/>
    <x v="329"/>
    <s v="B0395"/>
    <x v="6"/>
    <n v="18773"/>
    <n v="24.8"/>
    <n v="60"/>
    <x v="1"/>
    <x v="1"/>
    <x v="0"/>
    <n v="114486"/>
    <s v="OWN"/>
    <n v="0.36"/>
    <n v="0.63"/>
    <n v="4751.47"/>
    <n v="0"/>
    <n v="49"/>
    <n v="23278.520000000004"/>
    <n v="42051.520000000004"/>
    <n v="-14021.529999999999"/>
    <n v="0"/>
    <x v="1"/>
    <s v="HIGH"/>
    <n v="38797.533300000003"/>
    <n v="-0.74689873754860703"/>
    <s v="NORMAL"/>
  </r>
  <r>
    <s v="L0396"/>
    <x v="330"/>
    <s v="B0396"/>
    <x v="6"/>
    <n v="27143"/>
    <n v="6.5"/>
    <n v="60"/>
    <x v="0"/>
    <x v="0"/>
    <x v="0"/>
    <n v="112895"/>
    <s v="MORTGAGE"/>
    <n v="0.16"/>
    <n v="0.67"/>
    <n v="28907.3"/>
    <n v="0"/>
    <n v="38"/>
    <n v="8821.4750000000004"/>
    <n v="35964.474999999999"/>
    <n v="1764.2999999999993"/>
    <n v="0"/>
    <x v="0"/>
    <s v="LOW"/>
    <n v="14702.4583"/>
    <n v="6.5000184209556763E-2"/>
    <s v="NORMAL"/>
  </r>
  <r>
    <s v="L0397"/>
    <x v="112"/>
    <s v="B0397"/>
    <x v="9"/>
    <n v="7154"/>
    <n v="6.5"/>
    <n v="36"/>
    <x v="0"/>
    <x v="1"/>
    <x v="4"/>
    <n v="119132"/>
    <s v="RENT"/>
    <n v="0.49"/>
    <n v="0.8"/>
    <n v="7619.01"/>
    <n v="0"/>
    <n v="29"/>
    <n v="1395.03"/>
    <n v="8549.0300000000007"/>
    <n v="465.01000000000022"/>
    <n v="0"/>
    <x v="0"/>
    <s v="HIGH"/>
    <n v="3875.0839999999998"/>
    <n v="6.500000000000003E-2"/>
    <s v="HIGH RISK"/>
  </r>
  <r>
    <s v="L0398"/>
    <x v="331"/>
    <s v="B0398"/>
    <x v="3"/>
    <n v="22804"/>
    <n v="11.8"/>
    <n v="60"/>
    <x v="0"/>
    <x v="6"/>
    <x v="2"/>
    <n v="121066"/>
    <s v="MORTGAGE"/>
    <n v="0.32"/>
    <n v="0.55000000000000004"/>
    <n v="25494.87"/>
    <n v="0"/>
    <n v="37"/>
    <n v="13454.36"/>
    <n v="36258.36"/>
    <n v="2690.869999999999"/>
    <n v="0"/>
    <x v="0"/>
    <s v="VERY HIGH"/>
    <n v="22423.933300000001"/>
    <n v="0.11799991229608836"/>
    <s v="NORMAL"/>
  </r>
  <r>
    <s v="L0399"/>
    <x v="332"/>
    <s v="B0399"/>
    <x v="9"/>
    <n v="21581"/>
    <n v="22.3"/>
    <n v="60"/>
    <x v="1"/>
    <x v="4"/>
    <x v="3"/>
    <n v="96798"/>
    <s v="OWN"/>
    <n v="0.15"/>
    <n v="0.93"/>
    <n v="4810.13"/>
    <n v="0"/>
    <n v="40"/>
    <n v="24062.815000000002"/>
    <n v="45643.815000000002"/>
    <n v="-16770.87"/>
    <n v="0"/>
    <x v="1"/>
    <s v="LOW"/>
    <n v="40104.691700000003"/>
    <n v="-0.77711273805662384"/>
    <s v="HIGH RISK"/>
  </r>
  <r>
    <s v="L0400"/>
    <x v="333"/>
    <s v="B0400"/>
    <x v="8"/>
    <n v="31087"/>
    <n v="9.3000000000000007"/>
    <n v="36"/>
    <x v="1"/>
    <x v="5"/>
    <x v="2"/>
    <n v="84199"/>
    <s v="MORTGAGE"/>
    <n v="0.46"/>
    <n v="0.89"/>
    <n v="7602.33"/>
    <n v="0"/>
    <n v="47"/>
    <n v="8673.273000000001"/>
    <n v="39760.273000000001"/>
    <n v="-23484.67"/>
    <n v="0"/>
    <x v="1"/>
    <s v="MEDIUM"/>
    <n v="24092.424999999999"/>
    <n v="-0.75544986650368318"/>
    <s v="HIGH RISK"/>
  </r>
  <r>
    <s v="L0401"/>
    <x v="334"/>
    <s v="B0401"/>
    <x v="8"/>
    <n v="33981"/>
    <n v="12.2"/>
    <n v="36"/>
    <x v="0"/>
    <x v="4"/>
    <x v="3"/>
    <n v="89546"/>
    <s v="RENT"/>
    <n v="0.13"/>
    <n v="0.76"/>
    <n v="38126.68"/>
    <n v="0"/>
    <n v="32"/>
    <n v="12437.046"/>
    <n v="46418.046000000002"/>
    <n v="4145.68"/>
    <n v="0"/>
    <x v="0"/>
    <s v="LOW"/>
    <n v="34547.35"/>
    <n v="0.12199994114358025"/>
    <s v="NORMAL"/>
  </r>
  <r>
    <s v="L0402"/>
    <x v="335"/>
    <s v="B0402"/>
    <x v="8"/>
    <n v="4762"/>
    <n v="6.4"/>
    <n v="60"/>
    <x v="0"/>
    <x v="4"/>
    <x v="3"/>
    <n v="135686"/>
    <s v="RENT"/>
    <n v="0.46"/>
    <n v="0.8"/>
    <n v="5066.7700000000004"/>
    <n v="0"/>
    <n v="56"/>
    <n v="1523.8400000000001"/>
    <n v="6285.84"/>
    <n v="304.77000000000044"/>
    <n v="0"/>
    <x v="0"/>
    <s v="LOW"/>
    <n v="2539.7332999999999"/>
    <n v="6.4000419991600263E-2"/>
    <s v="HIGH RISK"/>
  </r>
  <r>
    <s v="L0403"/>
    <x v="336"/>
    <s v="B0403"/>
    <x v="1"/>
    <n v="10768"/>
    <n v="20.3"/>
    <n v="60"/>
    <x v="3"/>
    <x v="6"/>
    <x v="0"/>
    <n v="118151"/>
    <s v="OWN"/>
    <n v="0.5"/>
    <n v="0.51"/>
    <n v="4240.21"/>
    <n v="804.81"/>
    <n v="38"/>
    <n v="10929.519999999999"/>
    <n v="21697.519999999997"/>
    <n v="-5722.98"/>
    <n v="1"/>
    <x v="2"/>
    <s v="VERY HIGH"/>
    <n v="18215.866699999999"/>
    <n v="-0.53148031203566115"/>
    <s v="HIGH RISK"/>
  </r>
  <r>
    <s v="L0404"/>
    <x v="337"/>
    <s v="B0404"/>
    <x v="9"/>
    <n v="39559"/>
    <n v="13.2"/>
    <n v="36"/>
    <x v="0"/>
    <x v="4"/>
    <x v="1"/>
    <n v="33327"/>
    <s v="RENT"/>
    <n v="0.38"/>
    <n v="0.65"/>
    <n v="44780.79"/>
    <n v="0"/>
    <n v="30"/>
    <n v="15665.364"/>
    <n v="55224.364000000001"/>
    <n v="5221.7900000000009"/>
    <n v="0"/>
    <x v="0"/>
    <s v="LOW"/>
    <n v="43514.9"/>
    <n v="0.1320000505573953"/>
    <s v="NORMAL"/>
  </r>
  <r>
    <s v="L0405"/>
    <x v="292"/>
    <s v="B0405"/>
    <x v="1"/>
    <n v="9783"/>
    <n v="20.2"/>
    <n v="36"/>
    <x v="3"/>
    <x v="1"/>
    <x v="0"/>
    <n v="59768"/>
    <s v="MORTGAGE"/>
    <n v="0.41"/>
    <n v="0.86"/>
    <n v="1238.43"/>
    <n v="3866.9"/>
    <n v="29"/>
    <n v="5928.4980000000005"/>
    <n v="15711.498"/>
    <n v="-4677.67"/>
    <n v="1"/>
    <x v="2"/>
    <s v="HIGH"/>
    <n v="16468.05"/>
    <n v="-0.47814269651436164"/>
    <s v="HIGH RISK"/>
  </r>
  <r>
    <s v="L0406"/>
    <x v="113"/>
    <s v="B0406"/>
    <x v="0"/>
    <n v="30781"/>
    <n v="23.1"/>
    <n v="36"/>
    <x v="0"/>
    <x v="0"/>
    <x v="4"/>
    <n v="94418"/>
    <s v="MORTGAGE"/>
    <n v="0.23"/>
    <n v="0.53"/>
    <n v="37891.410000000003"/>
    <n v="0"/>
    <n v="59"/>
    <n v="21331.233000000004"/>
    <n v="52112.233000000007"/>
    <n v="7110.4100000000035"/>
    <n v="0"/>
    <x v="0"/>
    <s v="LOW"/>
    <n v="59253.425000000003"/>
    <n v="0.2309999675124266"/>
    <s v="NORMAL"/>
  </r>
  <r>
    <s v="L0407"/>
    <x v="338"/>
    <s v="B0407"/>
    <x v="3"/>
    <n v="31811"/>
    <n v="9.6999999999999993"/>
    <n v="60"/>
    <x v="1"/>
    <x v="0"/>
    <x v="3"/>
    <n v="124386"/>
    <s v="MORTGAGE"/>
    <n v="0.48"/>
    <n v="0.63"/>
    <n v="14792.24"/>
    <n v="0"/>
    <n v="40"/>
    <n v="15428.334999999997"/>
    <n v="47239.334999999999"/>
    <n v="-17018.760000000002"/>
    <n v="0"/>
    <x v="1"/>
    <s v="LOW"/>
    <n v="25713.8917"/>
    <n v="-0.53499607054163656"/>
    <s v="HIGH RISK"/>
  </r>
  <r>
    <s v="L0408"/>
    <x v="339"/>
    <s v="B0408"/>
    <x v="2"/>
    <n v="36488"/>
    <n v="21.1"/>
    <n v="36"/>
    <x v="0"/>
    <x v="4"/>
    <x v="1"/>
    <n v="146947"/>
    <s v="MORTGAGE"/>
    <n v="0.31"/>
    <n v="0.76"/>
    <n v="44186.97"/>
    <n v="0"/>
    <n v="61"/>
    <n v="23096.903999999999"/>
    <n v="59584.903999999995"/>
    <n v="7698.9700000000012"/>
    <n v="0"/>
    <x v="0"/>
    <s v="LOW"/>
    <n v="64158.066700000003"/>
    <n v="0.21100005481254114"/>
    <s v="NORMAL"/>
  </r>
  <r>
    <s v="L0409"/>
    <x v="340"/>
    <s v="B0409"/>
    <x v="5"/>
    <n v="9905"/>
    <n v="6.2"/>
    <n v="36"/>
    <x v="3"/>
    <x v="5"/>
    <x v="3"/>
    <n v="72788"/>
    <s v="OWN"/>
    <n v="0.39"/>
    <n v="0.62"/>
    <n v="2417.52"/>
    <n v="3932.05"/>
    <n v="53"/>
    <n v="1842.33"/>
    <n v="11747.33"/>
    <n v="-3555.4300000000003"/>
    <n v="1"/>
    <x v="2"/>
    <s v="MEDIUM"/>
    <n v="5117.5848999999998"/>
    <n v="-0.35895305401312472"/>
    <s v="NORMAL"/>
  </r>
  <r>
    <s v="L0410"/>
    <x v="65"/>
    <s v="B0410"/>
    <x v="9"/>
    <n v="10127"/>
    <n v="23"/>
    <n v="36"/>
    <x v="1"/>
    <x v="5"/>
    <x v="3"/>
    <n v="145945"/>
    <s v="MORTGAGE"/>
    <n v="0.47"/>
    <n v="0.92"/>
    <n v="3348.84"/>
    <n v="0"/>
    <n v="55"/>
    <n v="6987.63"/>
    <n v="17114.63"/>
    <n v="-6778.16"/>
    <n v="0"/>
    <x v="1"/>
    <s v="MEDIUM"/>
    <n v="19410.083299999998"/>
    <n v="-0.66931569072775743"/>
    <s v="HIGH RISK"/>
  </r>
  <r>
    <s v="L0411"/>
    <x v="265"/>
    <s v="B0411"/>
    <x v="5"/>
    <n v="23431"/>
    <n v="18"/>
    <n v="60"/>
    <x v="0"/>
    <x v="1"/>
    <x v="0"/>
    <n v="112384"/>
    <s v="OWN"/>
    <n v="0.49"/>
    <n v="0.56000000000000005"/>
    <n v="27648.58"/>
    <n v="0"/>
    <n v="34"/>
    <n v="21087.899999999998"/>
    <n v="44518.899999999994"/>
    <n v="4217.5800000000017"/>
    <n v="0"/>
    <x v="0"/>
    <s v="HIGH"/>
    <n v="35146.5"/>
    <n v="0.18000000000000008"/>
    <s v="HIGH RISK"/>
  </r>
  <r>
    <s v="L0412"/>
    <x v="341"/>
    <s v="B0412"/>
    <x v="6"/>
    <n v="7368"/>
    <n v="22.5"/>
    <n v="36"/>
    <x v="0"/>
    <x v="0"/>
    <x v="1"/>
    <n v="76830"/>
    <s v="MORTGAGE"/>
    <n v="0.43"/>
    <n v="0.86"/>
    <n v="9025.7999999999993"/>
    <n v="0"/>
    <n v="33"/>
    <n v="4973.3999999999996"/>
    <n v="12341.4"/>
    <n v="1657.7999999999993"/>
    <n v="0"/>
    <x v="0"/>
    <s v="LOW"/>
    <n v="13815"/>
    <n v="0.22499999999999989"/>
    <s v="HIGH RISK"/>
  </r>
  <r>
    <s v="L0413"/>
    <x v="342"/>
    <s v="B0413"/>
    <x v="9"/>
    <n v="28424"/>
    <n v="5"/>
    <n v="36"/>
    <x v="1"/>
    <x v="0"/>
    <x v="1"/>
    <n v="82446"/>
    <s v="OWN"/>
    <n v="0.22"/>
    <n v="0.73"/>
    <n v="12039.9"/>
    <n v="0"/>
    <n v="60"/>
    <n v="4263.6000000000004"/>
    <n v="32687.599999999999"/>
    <n v="-16384.099999999999"/>
    <n v="0"/>
    <x v="1"/>
    <s v="LOW"/>
    <n v="11843.3758"/>
    <n v="-0.57641781593019981"/>
    <s v="NORMAL"/>
  </r>
  <r>
    <s v="L0414"/>
    <x v="343"/>
    <s v="B0414"/>
    <x v="0"/>
    <n v="19333"/>
    <n v="8.4"/>
    <n v="36"/>
    <x v="1"/>
    <x v="1"/>
    <x v="3"/>
    <n v="135078"/>
    <s v="MORTGAGE"/>
    <n v="0.49"/>
    <n v="0.84"/>
    <n v="4102.62"/>
    <n v="0"/>
    <n v="43"/>
    <n v="4871.9160000000002"/>
    <n v="24204.916000000001"/>
    <n v="-15230.380000000001"/>
    <n v="0"/>
    <x v="1"/>
    <s v="HIGH"/>
    <n v="13533.1001"/>
    <n v="-0.78779185848031863"/>
    <s v="HIGH RISK"/>
  </r>
  <r>
    <s v="L0415"/>
    <x v="330"/>
    <s v="B0415"/>
    <x v="9"/>
    <n v="24116"/>
    <n v="12.8"/>
    <n v="36"/>
    <x v="0"/>
    <x v="6"/>
    <x v="1"/>
    <n v="45160"/>
    <s v="MORTGAGE"/>
    <n v="0.35"/>
    <n v="0.64"/>
    <n v="27202.85"/>
    <n v="0"/>
    <n v="38"/>
    <n v="9260.5439999999999"/>
    <n v="33376.544000000002"/>
    <n v="3086.8499999999985"/>
    <n v="0"/>
    <x v="0"/>
    <s v="VERY HIGH"/>
    <n v="25723.7333"/>
    <n v="0.1280000829324929"/>
    <s v="NORMAL"/>
  </r>
  <r>
    <s v="L0416"/>
    <x v="317"/>
    <s v="B0416"/>
    <x v="1"/>
    <n v="16525"/>
    <n v="12.6"/>
    <n v="36"/>
    <x v="0"/>
    <x v="0"/>
    <x v="1"/>
    <n v="86583"/>
    <s v="OWN"/>
    <n v="0.47"/>
    <n v="0.73"/>
    <n v="18607.150000000001"/>
    <n v="0"/>
    <n v="49"/>
    <n v="6246.4500000000007"/>
    <n v="22771.45"/>
    <n v="2082.1500000000015"/>
    <n v="0"/>
    <x v="0"/>
    <s v="LOW"/>
    <n v="17351.25"/>
    <n v="0.12600000000000008"/>
    <s v="HIGH RISK"/>
  </r>
  <r>
    <s v="L0417"/>
    <x v="134"/>
    <s v="B0417"/>
    <x v="3"/>
    <n v="24398"/>
    <n v="9.5"/>
    <n v="60"/>
    <x v="1"/>
    <x v="5"/>
    <x v="0"/>
    <n v="63998"/>
    <s v="RENT"/>
    <n v="0.37"/>
    <n v="0.89"/>
    <n v="5945.55"/>
    <n v="0"/>
    <n v="39"/>
    <n v="11589.050000000001"/>
    <n v="35987.050000000003"/>
    <n v="-18452.45"/>
    <n v="0"/>
    <x v="1"/>
    <s v="MEDIUM"/>
    <n v="19315.083299999998"/>
    <n v="-0.75630994343798674"/>
    <s v="HIGH RISK"/>
  </r>
  <r>
    <s v="L0418"/>
    <x v="344"/>
    <s v="B0418"/>
    <x v="2"/>
    <n v="33857"/>
    <n v="12.6"/>
    <n v="60"/>
    <x v="0"/>
    <x v="4"/>
    <x v="2"/>
    <n v="57230"/>
    <s v="RENT"/>
    <n v="0.22"/>
    <n v="0.71"/>
    <n v="38122.980000000003"/>
    <n v="0"/>
    <n v="28"/>
    <n v="21329.91"/>
    <n v="55186.91"/>
    <n v="4265.9800000000032"/>
    <n v="0"/>
    <x v="0"/>
    <s v="LOW"/>
    <n v="35549.85"/>
    <n v="0.12599994092802089"/>
    <s v="NORMAL"/>
  </r>
  <r>
    <s v="L0419"/>
    <x v="345"/>
    <s v="B0419"/>
    <x v="4"/>
    <n v="11361"/>
    <n v="7.6"/>
    <n v="60"/>
    <x v="1"/>
    <x v="6"/>
    <x v="4"/>
    <n v="39076"/>
    <s v="RENT"/>
    <n v="0.25"/>
    <n v="0.66"/>
    <n v="2661.69"/>
    <n v="0"/>
    <n v="56"/>
    <n v="4317.1799999999994"/>
    <n v="15678.18"/>
    <n v="-8699.31"/>
    <n v="0"/>
    <x v="1"/>
    <s v="VERY HIGH"/>
    <n v="7195.3"/>
    <n v="-0.7657169263269078"/>
    <s v="NORMAL"/>
  </r>
  <r>
    <s v="L0420"/>
    <x v="346"/>
    <s v="B0420"/>
    <x v="2"/>
    <n v="17369"/>
    <n v="13.3"/>
    <n v="36"/>
    <x v="0"/>
    <x v="6"/>
    <x v="2"/>
    <n v="99341"/>
    <s v="OWN"/>
    <n v="0.32"/>
    <n v="0.74"/>
    <n v="19679.080000000002"/>
    <n v="0"/>
    <n v="49"/>
    <n v="6930.2310000000007"/>
    <n v="24299.231"/>
    <n v="2310.0800000000017"/>
    <n v="0"/>
    <x v="0"/>
    <s v="VERY HIGH"/>
    <n v="19250.6417"/>
    <n v="0.13300017272151543"/>
    <s v="NORMAL"/>
  </r>
  <r>
    <s v="L0421"/>
    <x v="347"/>
    <s v="B0421"/>
    <x v="2"/>
    <n v="4041"/>
    <n v="21"/>
    <n v="60"/>
    <x v="3"/>
    <x v="6"/>
    <x v="1"/>
    <n v="61085"/>
    <s v="RENT"/>
    <n v="0.42"/>
    <n v="0.82"/>
    <n v="858.39"/>
    <n v="1009"/>
    <n v="47"/>
    <n v="4243.05"/>
    <n v="8284.0499999999993"/>
    <n v="-2173.61"/>
    <n v="1"/>
    <x v="2"/>
    <s v="VERY HIGH"/>
    <n v="7071.75"/>
    <n v="-0.53788913635238811"/>
    <s v="HIGH RISK"/>
  </r>
  <r>
    <s v="L0422"/>
    <x v="348"/>
    <s v="B0422"/>
    <x v="6"/>
    <n v="1105"/>
    <n v="14.6"/>
    <n v="60"/>
    <x v="3"/>
    <x v="1"/>
    <x v="3"/>
    <n v="85571"/>
    <s v="RENT"/>
    <n v="0.23"/>
    <n v="0.7"/>
    <n v="417.31"/>
    <n v="388.04"/>
    <n v="60"/>
    <n v="806.65000000000009"/>
    <n v="1911.65"/>
    <n v="-299.64999999999998"/>
    <n v="1"/>
    <x v="2"/>
    <s v="HIGH"/>
    <n v="1344.4167"/>
    <n v="-0.2711764705882353"/>
    <s v="NORMAL"/>
  </r>
  <r>
    <s v="L0423"/>
    <x v="349"/>
    <s v="B0423"/>
    <x v="0"/>
    <n v="10078"/>
    <n v="5.4"/>
    <n v="60"/>
    <x v="4"/>
    <x v="4"/>
    <x v="4"/>
    <n v="44715"/>
    <s v="OWN"/>
    <n v="0.33"/>
    <n v="0.92"/>
    <n v="0"/>
    <n v="0"/>
    <n v="53"/>
    <n v="2721.06"/>
    <n v="12799.06"/>
    <n v="-10078"/>
    <n v="0"/>
    <x v="2"/>
    <s v="LOW"/>
    <n v="4535.1000000000004"/>
    <n v="-1"/>
    <s v="HIGH RISK"/>
  </r>
  <r>
    <s v="L0424"/>
    <x v="350"/>
    <s v="B0424"/>
    <x v="5"/>
    <n v="26003"/>
    <n v="13.4"/>
    <n v="36"/>
    <x v="0"/>
    <x v="6"/>
    <x v="4"/>
    <n v="35750"/>
    <s v="RENT"/>
    <n v="0.24"/>
    <n v="0.63"/>
    <n v="29487.4"/>
    <n v="0"/>
    <n v="47"/>
    <n v="10453.206"/>
    <n v="36456.205999999998"/>
    <n v="3484.4000000000015"/>
    <n v="0"/>
    <x v="0"/>
    <s v="VERY HIGH"/>
    <n v="29036.683300000001"/>
    <n v="0.13399992308579786"/>
    <s v="NORMAL"/>
  </r>
  <r>
    <s v="L0425"/>
    <x v="351"/>
    <s v="B0425"/>
    <x v="0"/>
    <n v="7090"/>
    <n v="5.5"/>
    <n v="36"/>
    <x v="3"/>
    <x v="5"/>
    <x v="3"/>
    <n v="143931"/>
    <s v="RENT"/>
    <n v="0.43"/>
    <n v="0.71"/>
    <n v="2472.13"/>
    <n v="1824.75"/>
    <n v="39"/>
    <n v="1169.8499999999999"/>
    <n v="8259.85"/>
    <n v="-2793.12"/>
    <n v="1"/>
    <x v="2"/>
    <s v="MEDIUM"/>
    <n v="3249.5873999999999"/>
    <n v="-0.39395204513399151"/>
    <s v="HIGH RISK"/>
  </r>
  <r>
    <s v="L0426"/>
    <x v="352"/>
    <s v="B0426"/>
    <x v="4"/>
    <n v="39850"/>
    <n v="24.3"/>
    <n v="60"/>
    <x v="0"/>
    <x v="0"/>
    <x v="4"/>
    <n v="108768"/>
    <s v="RENT"/>
    <n v="0.28999999999999998"/>
    <n v="0.84"/>
    <n v="49533.55"/>
    <n v="0"/>
    <n v="38"/>
    <n v="48417.75"/>
    <n v="88267.75"/>
    <n v="9683.5500000000029"/>
    <n v="0"/>
    <x v="0"/>
    <s v="LOW"/>
    <n v="80696.25"/>
    <n v="0.24300000000000008"/>
    <s v="HIGH RISK"/>
  </r>
  <r>
    <s v="L0427"/>
    <x v="353"/>
    <s v="B0427"/>
    <x v="6"/>
    <n v="2925"/>
    <n v="7.5"/>
    <n v="60"/>
    <x v="1"/>
    <x v="5"/>
    <x v="3"/>
    <n v="148544"/>
    <s v="OWN"/>
    <n v="0.13"/>
    <n v="0.81"/>
    <n v="289.72000000000003"/>
    <n v="0"/>
    <n v="34"/>
    <n v="1096.875"/>
    <n v="4021.875"/>
    <n v="-2635.2799999999997"/>
    <n v="0"/>
    <x v="1"/>
    <s v="MEDIUM"/>
    <n v="1828.125"/>
    <n v="-0.9009504273504273"/>
    <s v="HIGH RISK"/>
  </r>
  <r>
    <s v="L0428"/>
    <x v="152"/>
    <s v="B0428"/>
    <x v="3"/>
    <n v="19440"/>
    <n v="19.2"/>
    <n v="36"/>
    <x v="0"/>
    <x v="2"/>
    <x v="4"/>
    <n v="65903"/>
    <s v="OWN"/>
    <n v="0.17"/>
    <n v="0.89"/>
    <n v="23172.48"/>
    <n v="0"/>
    <n v="57"/>
    <n v="11197.44"/>
    <n v="30637.440000000002"/>
    <n v="3732.4799999999996"/>
    <n v="0"/>
    <x v="0"/>
    <s v="VERY HIGH"/>
    <n v="31104"/>
    <n v="0.19199999999999998"/>
    <s v="HIGH RISK"/>
  </r>
  <r>
    <s v="L0429"/>
    <x v="354"/>
    <s v="B0429"/>
    <x v="2"/>
    <n v="27015"/>
    <n v="24.5"/>
    <n v="36"/>
    <x v="0"/>
    <x v="2"/>
    <x v="2"/>
    <n v="102489"/>
    <s v="RENT"/>
    <n v="0.12"/>
    <n v="0.95"/>
    <n v="33633.68"/>
    <n v="0"/>
    <n v="33"/>
    <n v="19856.025000000001"/>
    <n v="46871.025000000001"/>
    <n v="6618.68"/>
    <n v="0"/>
    <x v="0"/>
    <s v="VERY HIGH"/>
    <n v="55155.625"/>
    <n v="0.24500018508236165"/>
    <s v="HIGH RISK"/>
  </r>
  <r>
    <s v="L0430"/>
    <x v="290"/>
    <s v="B0430"/>
    <x v="1"/>
    <n v="34320"/>
    <n v="21.5"/>
    <n v="60"/>
    <x v="3"/>
    <x v="0"/>
    <x v="4"/>
    <n v="62093"/>
    <s v="RENT"/>
    <n v="0.3"/>
    <n v="0.69"/>
    <n v="4545.24"/>
    <n v="12356.63"/>
    <n v="26"/>
    <n v="36894"/>
    <n v="71214"/>
    <n v="-17418.13"/>
    <n v="1"/>
    <x v="2"/>
    <s v="LOW"/>
    <n v="61490"/>
    <n v="-0.50752127039627037"/>
    <s v="NORMAL"/>
  </r>
  <r>
    <s v="L0431"/>
    <x v="346"/>
    <s v="B0431"/>
    <x v="6"/>
    <n v="26291"/>
    <n v="19"/>
    <n v="36"/>
    <x v="0"/>
    <x v="1"/>
    <x v="0"/>
    <n v="121036"/>
    <s v="OWN"/>
    <n v="0.14000000000000001"/>
    <n v="0.55000000000000004"/>
    <n v="31286.29"/>
    <n v="0"/>
    <n v="49"/>
    <n v="14985.87"/>
    <n v="41276.870000000003"/>
    <n v="4995.2900000000009"/>
    <n v="0"/>
    <x v="0"/>
    <s v="HIGH"/>
    <n v="41627.416700000002"/>
    <n v="0.19000000000000003"/>
    <s v="NORMAL"/>
  </r>
  <r>
    <s v="L0432"/>
    <x v="355"/>
    <s v="B0432"/>
    <x v="8"/>
    <n v="37679"/>
    <n v="21.8"/>
    <n v="60"/>
    <x v="1"/>
    <x v="6"/>
    <x v="3"/>
    <n v="117954"/>
    <s v="RENT"/>
    <n v="0.15"/>
    <n v="0.51"/>
    <n v="9138.7099999999991"/>
    <n v="0"/>
    <n v="28"/>
    <n v="41070.110000000008"/>
    <n v="78749.110000000015"/>
    <n v="-28540.29"/>
    <n v="0"/>
    <x v="1"/>
    <s v="VERY HIGH"/>
    <n v="68450.183300000004"/>
    <n v="-0.75745879667719418"/>
    <s v="NORMAL"/>
  </r>
  <r>
    <s v="L0433"/>
    <x v="356"/>
    <s v="B0433"/>
    <x v="9"/>
    <n v="27289"/>
    <n v="24.6"/>
    <n v="36"/>
    <x v="1"/>
    <x v="4"/>
    <x v="4"/>
    <n v="149277"/>
    <s v="OWN"/>
    <n v="0.48"/>
    <n v="0.83"/>
    <n v="2575.9699999999998"/>
    <n v="0"/>
    <n v="31"/>
    <n v="20139.281999999999"/>
    <n v="47428.281999999999"/>
    <n v="-24713.03"/>
    <n v="0"/>
    <x v="1"/>
    <s v="LOW"/>
    <n v="55942.45"/>
    <n v="-0.90560408955989591"/>
    <s v="HIGH RISK"/>
  </r>
  <r>
    <s v="L0434"/>
    <x v="357"/>
    <s v="B0434"/>
    <x v="0"/>
    <n v="4389"/>
    <n v="17.399999999999999"/>
    <n v="60"/>
    <x v="1"/>
    <x v="5"/>
    <x v="3"/>
    <n v="64314"/>
    <s v="RENT"/>
    <n v="0.45"/>
    <n v="0.89"/>
    <n v="1442.19"/>
    <n v="0"/>
    <n v="33"/>
    <n v="3818.43"/>
    <n v="8207.43"/>
    <n v="-2946.81"/>
    <n v="0"/>
    <x v="1"/>
    <s v="MEDIUM"/>
    <n v="6364.05"/>
    <n v="-0.6714080656185919"/>
    <s v="HIGH RISK"/>
  </r>
  <r>
    <s v="L0435"/>
    <x v="358"/>
    <s v="B0435"/>
    <x v="6"/>
    <n v="26683"/>
    <n v="16.2"/>
    <n v="60"/>
    <x v="0"/>
    <x v="1"/>
    <x v="0"/>
    <n v="78225"/>
    <s v="OWN"/>
    <n v="0.28000000000000003"/>
    <n v="0.6"/>
    <n v="31005.65"/>
    <n v="0"/>
    <n v="43"/>
    <n v="21613.23"/>
    <n v="48296.229999999996"/>
    <n v="4322.6500000000015"/>
    <n v="0"/>
    <x v="0"/>
    <s v="HIGH"/>
    <n v="36022.050000000003"/>
    <n v="0.16200014990818129"/>
    <s v="NORMAL"/>
  </r>
  <r>
    <s v="L0436"/>
    <x v="231"/>
    <s v="B0436"/>
    <x v="8"/>
    <n v="14629"/>
    <n v="17.600000000000001"/>
    <n v="36"/>
    <x v="0"/>
    <x v="4"/>
    <x v="4"/>
    <n v="117985"/>
    <s v="MORTGAGE"/>
    <n v="0.49"/>
    <n v="0.56999999999999995"/>
    <n v="17203.7"/>
    <n v="0"/>
    <n v="27"/>
    <n v="7724.112000000001"/>
    <n v="22353.112000000001"/>
    <n v="2574.7000000000007"/>
    <n v="0"/>
    <x v="0"/>
    <s v="LOW"/>
    <n v="21455.866699999999"/>
    <n v="0.17599972657051069"/>
    <s v="HIGH RISK"/>
  </r>
  <r>
    <s v="L0437"/>
    <x v="359"/>
    <s v="B0437"/>
    <x v="5"/>
    <n v="25826"/>
    <n v="15.7"/>
    <n v="60"/>
    <x v="1"/>
    <x v="0"/>
    <x v="4"/>
    <n v="113014"/>
    <s v="MORTGAGE"/>
    <n v="0.1"/>
    <n v="0.53"/>
    <n v="2961.24"/>
    <n v="0"/>
    <n v="59"/>
    <n v="20273.409999999996"/>
    <n v="46099.409999999996"/>
    <n v="-22864.760000000002"/>
    <n v="0"/>
    <x v="1"/>
    <s v="LOW"/>
    <n v="33789.0167"/>
    <n v="-0.88533880585456526"/>
    <s v="NORMAL"/>
  </r>
  <r>
    <s v="L0438"/>
    <x v="360"/>
    <s v="B0438"/>
    <x v="4"/>
    <n v="36198"/>
    <n v="17.7"/>
    <n v="60"/>
    <x v="0"/>
    <x v="1"/>
    <x v="0"/>
    <n v="65179"/>
    <s v="OWN"/>
    <n v="0.35"/>
    <n v="0.87"/>
    <n v="42605.05"/>
    <n v="0"/>
    <n v="27"/>
    <n v="32035.229999999996"/>
    <n v="68233.23"/>
    <n v="6407.0500000000029"/>
    <n v="0"/>
    <x v="0"/>
    <s v="HIGH"/>
    <n v="53392.05"/>
    <n v="0.1770001105033428"/>
    <s v="HIGH RISK"/>
  </r>
  <r>
    <s v="L0439"/>
    <x v="361"/>
    <s v="B0439"/>
    <x v="4"/>
    <n v="27630"/>
    <n v="14"/>
    <n v="60"/>
    <x v="0"/>
    <x v="2"/>
    <x v="0"/>
    <n v="147305"/>
    <s v="MORTGAGE"/>
    <n v="0.35"/>
    <n v="0.64"/>
    <n v="31498.2"/>
    <n v="0"/>
    <n v="31"/>
    <n v="19341"/>
    <n v="46971"/>
    <n v="3868.2000000000007"/>
    <n v="0"/>
    <x v="0"/>
    <s v="VERY HIGH"/>
    <n v="32235"/>
    <n v="0.14000000000000001"/>
    <s v="NORMAL"/>
  </r>
  <r>
    <s v="L0440"/>
    <x v="102"/>
    <s v="B0440"/>
    <x v="2"/>
    <n v="34226"/>
    <n v="9.4"/>
    <n v="36"/>
    <x v="0"/>
    <x v="1"/>
    <x v="0"/>
    <n v="142417"/>
    <s v="RENT"/>
    <n v="0.28000000000000003"/>
    <n v="0.68"/>
    <n v="37443.24"/>
    <n v="0"/>
    <n v="49"/>
    <n v="9651.732"/>
    <n v="43877.732000000004"/>
    <n v="3217.239999999998"/>
    <n v="0"/>
    <x v="0"/>
    <s v="HIGH"/>
    <n v="26810.366699999999"/>
    <n v="9.3999883129784315E-2"/>
    <s v="NORMAL"/>
  </r>
  <r>
    <s v="L0441"/>
    <x v="279"/>
    <s v="B0441"/>
    <x v="2"/>
    <n v="33975"/>
    <n v="7.4"/>
    <n v="36"/>
    <x v="0"/>
    <x v="1"/>
    <x v="3"/>
    <n v="55338"/>
    <s v="OWN"/>
    <n v="0.26"/>
    <n v="0.73"/>
    <n v="36489.15"/>
    <n v="0"/>
    <n v="41"/>
    <n v="7542.4500000000007"/>
    <n v="41517.449999999997"/>
    <n v="2514.1500000000015"/>
    <n v="0"/>
    <x v="0"/>
    <s v="HIGH"/>
    <n v="20951.250599999999"/>
    <n v="7.4000000000000038E-2"/>
    <s v="NORMAL"/>
  </r>
  <r>
    <s v="L0442"/>
    <x v="362"/>
    <s v="B0442"/>
    <x v="6"/>
    <n v="1899"/>
    <n v="6.4"/>
    <n v="36"/>
    <x v="3"/>
    <x v="4"/>
    <x v="0"/>
    <n v="122435"/>
    <s v="OWN"/>
    <n v="0.28000000000000003"/>
    <n v="0.88"/>
    <n v="487.5"/>
    <n v="737.8"/>
    <n v="38"/>
    <n v="364.608"/>
    <n v="2263.6080000000002"/>
    <n v="-673.7"/>
    <n v="1"/>
    <x v="2"/>
    <s v="LOW"/>
    <n v="1012.8002"/>
    <n v="-0.35476566614007377"/>
    <s v="HIGH RISK"/>
  </r>
  <r>
    <s v="L0443"/>
    <x v="363"/>
    <s v="B0443"/>
    <x v="6"/>
    <n v="12653"/>
    <n v="10.3"/>
    <n v="60"/>
    <x v="0"/>
    <x v="0"/>
    <x v="3"/>
    <n v="99681"/>
    <s v="RENT"/>
    <n v="0.27"/>
    <n v="0.79"/>
    <n v="13956.26"/>
    <n v="0"/>
    <n v="54"/>
    <n v="6516.295000000001"/>
    <n v="19169.295000000002"/>
    <n v="1303.2600000000002"/>
    <n v="0"/>
    <x v="0"/>
    <s v="LOW"/>
    <n v="10860.4917"/>
    <n v="0.1030000790326405"/>
    <s v="NORMAL"/>
  </r>
  <r>
    <s v="L0444"/>
    <x v="364"/>
    <s v="B0444"/>
    <x v="3"/>
    <n v="28961"/>
    <n v="5.9"/>
    <n v="36"/>
    <x v="1"/>
    <x v="1"/>
    <x v="2"/>
    <n v="62101"/>
    <s v="RENT"/>
    <n v="0.39"/>
    <n v="0.78"/>
    <n v="1542.14"/>
    <n v="0"/>
    <n v="40"/>
    <n v="5126.0970000000007"/>
    <n v="34087.097000000002"/>
    <n v="-27418.86"/>
    <n v="0"/>
    <x v="1"/>
    <s v="HIGH"/>
    <n v="14239.166300000001"/>
    <n v="-0.94675114809571492"/>
    <s v="NORMAL"/>
  </r>
  <r>
    <s v="L0445"/>
    <x v="365"/>
    <s v="B0445"/>
    <x v="9"/>
    <n v="17405"/>
    <n v="16.3"/>
    <n v="60"/>
    <x v="0"/>
    <x v="4"/>
    <x v="4"/>
    <n v="32775"/>
    <s v="OWN"/>
    <n v="0.15"/>
    <n v="0.57999999999999996"/>
    <n v="20242.02"/>
    <n v="0"/>
    <n v="37"/>
    <n v="14185.074999999999"/>
    <n v="31590.074999999997"/>
    <n v="2837.0200000000004"/>
    <n v="0"/>
    <x v="0"/>
    <s v="LOW"/>
    <n v="23641.791700000002"/>
    <n v="0.16300028727377194"/>
    <s v="NORMAL"/>
  </r>
  <r>
    <s v="L0446"/>
    <x v="366"/>
    <s v="B0446"/>
    <x v="7"/>
    <n v="9601"/>
    <n v="10.7"/>
    <n v="60"/>
    <x v="0"/>
    <x v="6"/>
    <x v="4"/>
    <n v="141497"/>
    <s v="RENT"/>
    <n v="0.18"/>
    <n v="0.73"/>
    <n v="10628.31"/>
    <n v="0"/>
    <n v="43"/>
    <n v="5136.5349999999999"/>
    <n v="14737.535"/>
    <n v="1027.3099999999995"/>
    <n v="0"/>
    <x v="0"/>
    <s v="VERY HIGH"/>
    <n v="8560.8917000000001"/>
    <n v="0.10700031246745126"/>
    <s v="NORMAL"/>
  </r>
  <r>
    <s v="L0447"/>
    <x v="367"/>
    <s v="B0447"/>
    <x v="5"/>
    <n v="34662"/>
    <n v="21.5"/>
    <n v="36"/>
    <x v="0"/>
    <x v="0"/>
    <x v="1"/>
    <n v="127183"/>
    <s v="OWN"/>
    <n v="0.17"/>
    <n v="0.82"/>
    <n v="42114.33"/>
    <n v="0"/>
    <n v="28"/>
    <n v="22356.99"/>
    <n v="57018.990000000005"/>
    <n v="7452.3300000000017"/>
    <n v="0"/>
    <x v="0"/>
    <s v="LOW"/>
    <n v="62102.75"/>
    <n v="0.21500000000000005"/>
    <s v="HIGH RISK"/>
  </r>
  <r>
    <s v="L0448"/>
    <x v="368"/>
    <s v="B0448"/>
    <x v="2"/>
    <n v="34282"/>
    <n v="6.5"/>
    <n v="36"/>
    <x v="0"/>
    <x v="4"/>
    <x v="2"/>
    <n v="75619"/>
    <s v="RENT"/>
    <n v="0.2"/>
    <n v="0.94"/>
    <n v="36510.33"/>
    <n v="0"/>
    <n v="31"/>
    <n v="6684.9900000000007"/>
    <n v="40966.99"/>
    <n v="2228.3300000000017"/>
    <n v="0"/>
    <x v="0"/>
    <s v="LOW"/>
    <n v="18569.4198"/>
    <n v="6.5000000000000058E-2"/>
    <s v="HIGH RISK"/>
  </r>
  <r>
    <s v="L0449"/>
    <x v="369"/>
    <s v="B0449"/>
    <x v="7"/>
    <n v="22288"/>
    <n v="9.5"/>
    <n v="60"/>
    <x v="0"/>
    <x v="4"/>
    <x v="0"/>
    <n v="75838"/>
    <s v="OWN"/>
    <n v="0.31"/>
    <n v="0.59"/>
    <n v="24405.360000000001"/>
    <n v="0"/>
    <n v="46"/>
    <n v="10586.800000000001"/>
    <n v="32874.800000000003"/>
    <n v="2117.3600000000006"/>
    <n v="0"/>
    <x v="0"/>
    <s v="LOW"/>
    <n v="17644.666700000002"/>
    <n v="9.5000000000000029E-2"/>
    <s v="NORMAL"/>
  </r>
  <r>
    <s v="L0450"/>
    <x v="370"/>
    <s v="B0450"/>
    <x v="7"/>
    <n v="30545"/>
    <n v="19.600000000000001"/>
    <n v="60"/>
    <x v="1"/>
    <x v="2"/>
    <x v="0"/>
    <n v="49539"/>
    <s v="RENT"/>
    <n v="0.14000000000000001"/>
    <n v="0.5"/>
    <n v="5878.95"/>
    <n v="0"/>
    <n v="32"/>
    <n v="29934.099999999995"/>
    <n v="60479.099999999991"/>
    <n v="-24666.05"/>
    <n v="0"/>
    <x v="1"/>
    <s v="VERY HIGH"/>
    <n v="49890.166700000002"/>
    <n v="-0.80753151088557862"/>
    <s v="NORMAL"/>
  </r>
  <r>
    <s v="L0451"/>
    <x v="371"/>
    <s v="B0451"/>
    <x v="9"/>
    <n v="37877"/>
    <n v="17"/>
    <n v="36"/>
    <x v="0"/>
    <x v="0"/>
    <x v="2"/>
    <n v="132274"/>
    <s v="RENT"/>
    <n v="0.45"/>
    <n v="0.53"/>
    <n v="44316.09"/>
    <n v="0"/>
    <n v="57"/>
    <n v="19317.27"/>
    <n v="57194.270000000004"/>
    <n v="6439.0899999999965"/>
    <n v="0"/>
    <x v="0"/>
    <s v="LOW"/>
    <n v="53659.083299999998"/>
    <n v="0.1699999999999999"/>
    <s v="HIGH RISK"/>
  </r>
  <r>
    <s v="L0452"/>
    <x v="372"/>
    <s v="B0452"/>
    <x v="1"/>
    <n v="16313"/>
    <n v="6.3"/>
    <n v="36"/>
    <x v="0"/>
    <x v="0"/>
    <x v="0"/>
    <n v="87124"/>
    <s v="MORTGAGE"/>
    <n v="0.22"/>
    <n v="0.67"/>
    <n v="17340.72"/>
    <n v="0"/>
    <n v="31"/>
    <n v="3083.1570000000006"/>
    <n v="19396.156999999999"/>
    <n v="1027.7200000000012"/>
    <n v="0"/>
    <x v="0"/>
    <s v="LOW"/>
    <n v="8564.3271999999997"/>
    <n v="6.3000061300803115E-2"/>
    <s v="NORMAL"/>
  </r>
  <r>
    <s v="L0453"/>
    <x v="104"/>
    <s v="B0453"/>
    <x v="1"/>
    <n v="16349"/>
    <n v="22.5"/>
    <n v="36"/>
    <x v="0"/>
    <x v="0"/>
    <x v="1"/>
    <n v="95149"/>
    <s v="MORTGAGE"/>
    <n v="0.17"/>
    <n v="0.87"/>
    <n v="20027.53"/>
    <n v="0"/>
    <n v="36"/>
    <n v="11035.574999999999"/>
    <n v="27384.574999999997"/>
    <n v="3678.5299999999988"/>
    <n v="0"/>
    <x v="0"/>
    <s v="LOW"/>
    <n v="30654.375"/>
    <n v="0.22500030582910263"/>
    <s v="HIGH RISK"/>
  </r>
  <r>
    <s v="L0454"/>
    <x v="279"/>
    <s v="B0454"/>
    <x v="2"/>
    <n v="8179"/>
    <n v="22.5"/>
    <n v="60"/>
    <x v="0"/>
    <x v="6"/>
    <x v="3"/>
    <n v="56616"/>
    <s v="MORTGAGE"/>
    <n v="0.37"/>
    <n v="0.5"/>
    <n v="10019.280000000001"/>
    <n v="0"/>
    <n v="41"/>
    <n v="9201.375"/>
    <n v="17380.375"/>
    <n v="1840.2800000000007"/>
    <n v="0"/>
    <x v="0"/>
    <s v="VERY HIGH"/>
    <n v="15335.625"/>
    <n v="0.22500061132167753"/>
    <s v="NORMAL"/>
  </r>
  <r>
    <s v="L0455"/>
    <x v="373"/>
    <s v="B0455"/>
    <x v="8"/>
    <n v="11326"/>
    <n v="11.6"/>
    <n v="60"/>
    <x v="3"/>
    <x v="0"/>
    <x v="4"/>
    <n v="109655"/>
    <s v="RENT"/>
    <n v="0.12"/>
    <n v="0.71"/>
    <n v="3433.56"/>
    <n v="1960.48"/>
    <n v="61"/>
    <n v="6569.0800000000008"/>
    <n v="17895.080000000002"/>
    <n v="-5931.96"/>
    <n v="1"/>
    <x v="2"/>
    <s v="LOW"/>
    <n v="10948.466700000001"/>
    <n v="-0.52374713049620347"/>
    <s v="NORMAL"/>
  </r>
  <r>
    <s v="L0456"/>
    <x v="374"/>
    <s v="B0456"/>
    <x v="9"/>
    <n v="2560"/>
    <n v="11.8"/>
    <n v="60"/>
    <x v="0"/>
    <x v="0"/>
    <x v="2"/>
    <n v="120695"/>
    <s v="OWN"/>
    <n v="0.35"/>
    <n v="0.65"/>
    <n v="2862.08"/>
    <n v="0"/>
    <n v="51"/>
    <n v="1510.3999999999999"/>
    <n v="4070.3999999999996"/>
    <n v="302.07999999999993"/>
    <n v="0"/>
    <x v="0"/>
    <s v="LOW"/>
    <n v="2517.3332999999998"/>
    <n v="0.11799999999999997"/>
    <s v="NORMAL"/>
  </r>
  <r>
    <s v="L0457"/>
    <x v="375"/>
    <s v="B0457"/>
    <x v="9"/>
    <n v="14612"/>
    <n v="24.8"/>
    <n v="60"/>
    <x v="0"/>
    <x v="0"/>
    <x v="4"/>
    <n v="84567"/>
    <s v="RENT"/>
    <n v="0.38"/>
    <n v="0.52"/>
    <n v="18235.78"/>
    <n v="0"/>
    <n v="46"/>
    <n v="18118.88"/>
    <n v="32730.880000000001"/>
    <n v="3623.7799999999988"/>
    <n v="0"/>
    <x v="0"/>
    <s v="LOW"/>
    <n v="30198.133300000001"/>
    <n v="0.24800027374760464"/>
    <s v="NORMAL"/>
  </r>
  <r>
    <s v="L0458"/>
    <x v="21"/>
    <s v="B0458"/>
    <x v="0"/>
    <n v="18650"/>
    <n v="17.5"/>
    <n v="60"/>
    <x v="0"/>
    <x v="1"/>
    <x v="3"/>
    <n v="67099"/>
    <s v="MORTGAGE"/>
    <n v="0.19"/>
    <n v="0.7"/>
    <n v="21913.75"/>
    <n v="0"/>
    <n v="45"/>
    <n v="16318.75"/>
    <n v="34968.75"/>
    <n v="3263.75"/>
    <n v="0"/>
    <x v="0"/>
    <s v="HIGH"/>
    <n v="27197.916700000002"/>
    <n v="0.17499999999999999"/>
    <s v="NORMAL"/>
  </r>
  <r>
    <s v="L0459"/>
    <x v="65"/>
    <s v="B0459"/>
    <x v="7"/>
    <n v="27745"/>
    <n v="15.6"/>
    <n v="36"/>
    <x v="2"/>
    <x v="0"/>
    <x v="2"/>
    <n v="105831"/>
    <s v="RENT"/>
    <n v="0.12"/>
    <n v="0.61"/>
    <n v="0"/>
    <n v="0"/>
    <n v="55"/>
    <n v="12984.660000000002"/>
    <n v="40729.660000000003"/>
    <n v="-27745"/>
    <n v="0"/>
    <x v="2"/>
    <s v="LOW"/>
    <n v="36068.5"/>
    <n v="-1"/>
    <s v="NORMAL"/>
  </r>
  <r>
    <s v="L0460"/>
    <x v="376"/>
    <s v="B0460"/>
    <x v="0"/>
    <n v="32890"/>
    <n v="21.8"/>
    <n v="36"/>
    <x v="0"/>
    <x v="4"/>
    <x v="3"/>
    <n v="130246"/>
    <s v="MORTGAGE"/>
    <n v="0.25"/>
    <n v="0.66"/>
    <n v="40060.019999999997"/>
    <n v="0"/>
    <n v="26"/>
    <n v="21510.06"/>
    <n v="54400.06"/>
    <n v="7170.0199999999968"/>
    <n v="0"/>
    <x v="0"/>
    <s v="LOW"/>
    <n v="59750.166700000002"/>
    <n v="0.21799999999999992"/>
    <s v="NORMAL"/>
  </r>
  <r>
    <s v="L0461"/>
    <x v="347"/>
    <s v="B0461"/>
    <x v="7"/>
    <n v="21022"/>
    <n v="10.7"/>
    <n v="60"/>
    <x v="1"/>
    <x v="4"/>
    <x v="0"/>
    <n v="91799"/>
    <s v="MORTGAGE"/>
    <n v="0.14000000000000001"/>
    <n v="0.82"/>
    <n v="5630.06"/>
    <n v="0"/>
    <n v="47"/>
    <n v="11246.769999999999"/>
    <n v="32268.769999999997"/>
    <n v="-15391.939999999999"/>
    <n v="0"/>
    <x v="1"/>
    <s v="LOW"/>
    <n v="18744.616699999999"/>
    <n v="-0.73218247550185511"/>
    <s v="HIGH RISK"/>
  </r>
  <r>
    <s v="L0462"/>
    <x v="377"/>
    <s v="B0462"/>
    <x v="1"/>
    <n v="5780"/>
    <n v="13.6"/>
    <n v="60"/>
    <x v="0"/>
    <x v="5"/>
    <x v="0"/>
    <n v="120221"/>
    <s v="OWN"/>
    <n v="0.15"/>
    <n v="0.73"/>
    <n v="6566.08"/>
    <n v="0"/>
    <n v="33"/>
    <n v="3930.4"/>
    <n v="9710.4"/>
    <n v="786.07999999999993"/>
    <n v="0"/>
    <x v="0"/>
    <s v="MEDIUM"/>
    <n v="6550.6666999999998"/>
    <n v="0.13599999999999998"/>
    <s v="NORMAL"/>
  </r>
  <r>
    <s v="L0463"/>
    <x v="32"/>
    <s v="B0463"/>
    <x v="2"/>
    <n v="19311"/>
    <n v="10.4"/>
    <n v="36"/>
    <x v="3"/>
    <x v="1"/>
    <x v="0"/>
    <n v="144879"/>
    <s v="OWN"/>
    <n v="0.2"/>
    <n v="0.56000000000000005"/>
    <n v="7598.51"/>
    <n v="3245.92"/>
    <n v="57"/>
    <n v="6025.0320000000002"/>
    <n v="25336.031999999999"/>
    <n v="-8466.57"/>
    <n v="1"/>
    <x v="2"/>
    <s v="HIGH"/>
    <n v="16736.2"/>
    <n v="-0.43843249961162029"/>
    <s v="NORMAL"/>
  </r>
  <r>
    <s v="L0464"/>
    <x v="378"/>
    <s v="B0464"/>
    <x v="5"/>
    <n v="29380"/>
    <n v="20.8"/>
    <n v="36"/>
    <x v="3"/>
    <x v="5"/>
    <x v="3"/>
    <n v="55479"/>
    <s v="MORTGAGE"/>
    <n v="0.22"/>
    <n v="0.93"/>
    <n v="10642.35"/>
    <n v="10361.469999999999"/>
    <n v="59"/>
    <n v="18333.12"/>
    <n v="47713.119999999995"/>
    <n v="-8376.18"/>
    <n v="1"/>
    <x v="2"/>
    <s v="MEDIUM"/>
    <n v="50925.333299999998"/>
    <n v="-0.28509802586793737"/>
    <s v="HIGH RISK"/>
  </r>
  <r>
    <s v="L0465"/>
    <x v="379"/>
    <s v="B0465"/>
    <x v="1"/>
    <n v="3356"/>
    <n v="16.5"/>
    <n v="36"/>
    <x v="1"/>
    <x v="2"/>
    <x v="3"/>
    <n v="76172"/>
    <s v="MORTGAGE"/>
    <n v="0.31"/>
    <n v="0.79"/>
    <n v="710.07"/>
    <n v="0"/>
    <n v="39"/>
    <n v="1661.22"/>
    <n v="5017.22"/>
    <n v="-2645.93"/>
    <n v="0"/>
    <x v="1"/>
    <s v="VERY HIGH"/>
    <n v="4614.5"/>
    <n v="-0.78841775923718704"/>
    <s v="NORMAL"/>
  </r>
  <r>
    <s v="L0466"/>
    <x v="380"/>
    <s v="B0466"/>
    <x v="9"/>
    <n v="5790"/>
    <n v="18.2"/>
    <n v="36"/>
    <x v="0"/>
    <x v="2"/>
    <x v="3"/>
    <n v="129165"/>
    <s v="RENT"/>
    <n v="0.37"/>
    <n v="0.84"/>
    <n v="6843.78"/>
    <n v="0"/>
    <n v="61"/>
    <n v="3161.34"/>
    <n v="8951.34"/>
    <n v="1053.7799999999997"/>
    <n v="0"/>
    <x v="0"/>
    <s v="VERY HIGH"/>
    <n v="8781.5"/>
    <n v="0.18199999999999997"/>
    <s v="HIGH RISK"/>
  </r>
  <r>
    <s v="L0467"/>
    <x v="381"/>
    <s v="B0467"/>
    <x v="5"/>
    <n v="27911"/>
    <n v="10"/>
    <n v="60"/>
    <x v="0"/>
    <x v="4"/>
    <x v="4"/>
    <n v="85863"/>
    <s v="MORTGAGE"/>
    <n v="0.34"/>
    <n v="0.54"/>
    <n v="30702.1"/>
    <n v="0"/>
    <n v="56"/>
    <n v="13955.5"/>
    <n v="41866.5"/>
    <n v="2791.0999999999985"/>
    <n v="0"/>
    <x v="0"/>
    <s v="LOW"/>
    <n v="23259.166700000002"/>
    <n v="9.999999999999995E-2"/>
    <s v="NORMAL"/>
  </r>
  <r>
    <s v="L0468"/>
    <x v="382"/>
    <s v="B0468"/>
    <x v="6"/>
    <n v="25363"/>
    <n v="9.4"/>
    <n v="36"/>
    <x v="0"/>
    <x v="1"/>
    <x v="3"/>
    <n v="72043"/>
    <s v="RENT"/>
    <n v="0.16"/>
    <n v="0.52"/>
    <n v="27747.119999999999"/>
    <n v="0"/>
    <n v="41"/>
    <n v="7152.3660000000009"/>
    <n v="32515.366000000002"/>
    <n v="2384.119999999999"/>
    <n v="0"/>
    <x v="0"/>
    <s v="HIGH"/>
    <n v="19867.683400000002"/>
    <n v="9.3999921144974921E-2"/>
    <s v="NORMAL"/>
  </r>
  <r>
    <s v="L0469"/>
    <x v="320"/>
    <s v="B0469"/>
    <x v="5"/>
    <n v="21049"/>
    <n v="14.8"/>
    <n v="60"/>
    <x v="0"/>
    <x v="1"/>
    <x v="0"/>
    <n v="112569"/>
    <s v="MORTGAGE"/>
    <n v="0.17"/>
    <n v="0.51"/>
    <n v="24164.25"/>
    <n v="0"/>
    <n v="37"/>
    <n v="15576.26"/>
    <n v="36625.26"/>
    <n v="3115.25"/>
    <n v="0"/>
    <x v="0"/>
    <s v="HIGH"/>
    <n v="25960.433300000001"/>
    <n v="0.14799990498360968"/>
    <s v="NORMAL"/>
  </r>
  <r>
    <s v="L0470"/>
    <x v="275"/>
    <s v="B0470"/>
    <x v="5"/>
    <n v="11181"/>
    <n v="19.8"/>
    <n v="36"/>
    <x v="0"/>
    <x v="2"/>
    <x v="1"/>
    <n v="132438"/>
    <s v="OWN"/>
    <n v="0.45"/>
    <n v="0.57999999999999996"/>
    <n v="13394.84"/>
    <n v="0"/>
    <n v="27"/>
    <n v="6641.5140000000001"/>
    <n v="17822.513999999999"/>
    <n v="2213.84"/>
    <n v="0"/>
    <x v="0"/>
    <s v="VERY HIGH"/>
    <n v="18448.650000000001"/>
    <n v="0.19800017887487703"/>
    <s v="HIGH RISK"/>
  </r>
  <r>
    <s v="L0471"/>
    <x v="383"/>
    <s v="B0471"/>
    <x v="1"/>
    <n v="17082"/>
    <n v="15.5"/>
    <n v="36"/>
    <x v="0"/>
    <x v="4"/>
    <x v="3"/>
    <n v="140107"/>
    <s v="OWN"/>
    <n v="0.32"/>
    <n v="0.69"/>
    <n v="19729.71"/>
    <n v="0"/>
    <n v="46"/>
    <n v="7943.13"/>
    <n v="25025.13"/>
    <n v="2647.7099999999991"/>
    <n v="0"/>
    <x v="0"/>
    <s v="LOW"/>
    <n v="22064.25"/>
    <n v="0.15499999999999994"/>
    <s v="NORMAL"/>
  </r>
  <r>
    <s v="L0472"/>
    <x v="57"/>
    <s v="B0472"/>
    <x v="9"/>
    <n v="1661"/>
    <n v="5.7"/>
    <n v="36"/>
    <x v="1"/>
    <x v="5"/>
    <x v="1"/>
    <n v="45408"/>
    <s v="MORTGAGE"/>
    <n v="0.45"/>
    <n v="0.92"/>
    <n v="117.05"/>
    <n v="0"/>
    <n v="47"/>
    <n v="284.03100000000001"/>
    <n v="1945.0309999999999"/>
    <n v="-1543.95"/>
    <n v="0"/>
    <x v="1"/>
    <s v="MEDIUM"/>
    <n v="788.97569999999996"/>
    <n v="-0.92953040337146298"/>
    <s v="HIGH RISK"/>
  </r>
  <r>
    <s v="L0473"/>
    <x v="384"/>
    <s v="B0473"/>
    <x v="5"/>
    <n v="38412"/>
    <n v="22.4"/>
    <n v="60"/>
    <x v="0"/>
    <x v="4"/>
    <x v="0"/>
    <n v="87980"/>
    <s v="RENT"/>
    <n v="0.25"/>
    <n v="0.71"/>
    <n v="47016.29"/>
    <n v="0"/>
    <n v="35"/>
    <n v="43021.439999999995"/>
    <n v="81433.440000000002"/>
    <n v="8604.2900000000009"/>
    <n v="0"/>
    <x v="0"/>
    <s v="LOW"/>
    <n v="71702.399999999994"/>
    <n v="0.22400005206706239"/>
    <s v="NORMAL"/>
  </r>
  <r>
    <s v="L0474"/>
    <x v="385"/>
    <s v="B0474"/>
    <x v="1"/>
    <n v="3920"/>
    <n v="6.3"/>
    <n v="60"/>
    <x v="0"/>
    <x v="6"/>
    <x v="3"/>
    <n v="112956"/>
    <s v="RENT"/>
    <n v="0.35"/>
    <n v="0.63"/>
    <n v="4166.96"/>
    <n v="0"/>
    <n v="33"/>
    <n v="1234.8"/>
    <n v="5154.8"/>
    <n v="246.96000000000004"/>
    <n v="0"/>
    <x v="0"/>
    <s v="VERY HIGH"/>
    <n v="2058"/>
    <n v="6.3000000000000014E-2"/>
    <s v="NORMAL"/>
  </r>
  <r>
    <s v="L0475"/>
    <x v="386"/>
    <s v="B0475"/>
    <x v="1"/>
    <n v="26658"/>
    <n v="24.1"/>
    <n v="36"/>
    <x v="0"/>
    <x v="0"/>
    <x v="4"/>
    <n v="46351"/>
    <s v="RENT"/>
    <n v="0.31"/>
    <n v="0.75"/>
    <n v="33082.58"/>
    <n v="0"/>
    <n v="28"/>
    <n v="19273.734"/>
    <n v="45931.733999999997"/>
    <n v="6424.5800000000017"/>
    <n v="0"/>
    <x v="0"/>
    <s v="LOW"/>
    <n v="53538.15"/>
    <n v="0.241000075024383"/>
    <s v="NORMAL"/>
  </r>
  <r>
    <s v="L0476"/>
    <x v="387"/>
    <s v="B0476"/>
    <x v="5"/>
    <n v="15025"/>
    <n v="5.5"/>
    <n v="60"/>
    <x v="4"/>
    <x v="0"/>
    <x v="4"/>
    <n v="34131"/>
    <s v="MORTGAGE"/>
    <n v="0.23"/>
    <n v="0.55000000000000004"/>
    <n v="0"/>
    <n v="0"/>
    <n v="49"/>
    <n v="4131.875"/>
    <n v="19156.875"/>
    <n v="-15025"/>
    <n v="0"/>
    <x v="2"/>
    <s v="LOW"/>
    <n v="6886.4583000000002"/>
    <n v="-1"/>
    <s v="NORMAL"/>
  </r>
  <r>
    <s v="L0477"/>
    <x v="388"/>
    <s v="B0477"/>
    <x v="7"/>
    <n v="9946"/>
    <n v="18.899999999999999"/>
    <n v="60"/>
    <x v="0"/>
    <x v="4"/>
    <x v="1"/>
    <n v="146836"/>
    <s v="MORTGAGE"/>
    <n v="0.28999999999999998"/>
    <n v="0.77"/>
    <n v="11825.79"/>
    <n v="0"/>
    <n v="51"/>
    <n v="9398.9699999999993"/>
    <n v="19344.97"/>
    <n v="1879.7900000000009"/>
    <n v="0"/>
    <x v="0"/>
    <s v="LOW"/>
    <n v="15664.95"/>
    <n v="0.18899959782827275"/>
    <s v="NORMAL"/>
  </r>
  <r>
    <s v="L0478"/>
    <x v="24"/>
    <s v="B0478"/>
    <x v="9"/>
    <n v="29706"/>
    <n v="6.6"/>
    <n v="36"/>
    <x v="1"/>
    <x v="0"/>
    <x v="4"/>
    <n v="74825"/>
    <s v="OWN"/>
    <n v="0.3"/>
    <n v="0.76"/>
    <n v="12789.38"/>
    <n v="0"/>
    <n v="56"/>
    <n v="5881.7879999999996"/>
    <n v="35587.788"/>
    <n v="-16916.620000000003"/>
    <n v="0"/>
    <x v="1"/>
    <s v="LOW"/>
    <n v="16338.302299999999"/>
    <n v="-0.5694681209183331"/>
    <s v="NORMAL"/>
  </r>
  <r>
    <s v="L0479"/>
    <x v="389"/>
    <s v="B0479"/>
    <x v="4"/>
    <n v="17309"/>
    <n v="23.2"/>
    <n v="36"/>
    <x v="0"/>
    <x v="5"/>
    <x v="4"/>
    <n v="41349"/>
    <s v="OWN"/>
    <n v="0.18"/>
    <n v="0.86"/>
    <n v="21324.69"/>
    <n v="0"/>
    <n v="45"/>
    <n v="12047.064"/>
    <n v="29356.063999999998"/>
    <n v="4015.6899999999987"/>
    <n v="0"/>
    <x v="0"/>
    <s v="MEDIUM"/>
    <n v="33464.066700000003"/>
    <n v="0.23200011554682529"/>
    <s v="HIGH RISK"/>
  </r>
  <r>
    <s v="L0480"/>
    <x v="390"/>
    <s v="B0480"/>
    <x v="5"/>
    <n v="34120"/>
    <n v="14.3"/>
    <n v="60"/>
    <x v="0"/>
    <x v="0"/>
    <x v="4"/>
    <n v="90931"/>
    <s v="MORTGAGE"/>
    <n v="0.23"/>
    <n v="0.94"/>
    <n v="38999.160000000003"/>
    <n v="0"/>
    <n v="35"/>
    <n v="24395.8"/>
    <n v="58515.8"/>
    <n v="4879.1600000000035"/>
    <n v="0"/>
    <x v="0"/>
    <s v="LOW"/>
    <n v="40659.666700000002"/>
    <n v="0.1430000000000001"/>
    <s v="HIGH RISK"/>
  </r>
  <r>
    <s v="L0481"/>
    <x v="161"/>
    <s v="B0481"/>
    <x v="0"/>
    <n v="31027"/>
    <n v="7.8"/>
    <n v="60"/>
    <x v="0"/>
    <x v="4"/>
    <x v="0"/>
    <n v="74254"/>
    <s v="OWN"/>
    <n v="0.42"/>
    <n v="0.61"/>
    <n v="33447.11"/>
    <n v="0"/>
    <n v="32"/>
    <n v="12100.53"/>
    <n v="43127.53"/>
    <n v="2420.1100000000006"/>
    <n v="0"/>
    <x v="0"/>
    <s v="LOW"/>
    <n v="20167.55"/>
    <n v="7.8000128919972947E-2"/>
    <s v="HIGH RISK"/>
  </r>
  <r>
    <s v="L0482"/>
    <x v="391"/>
    <s v="B0482"/>
    <x v="0"/>
    <n v="8005"/>
    <n v="11.8"/>
    <n v="60"/>
    <x v="0"/>
    <x v="2"/>
    <x v="4"/>
    <n v="68225"/>
    <s v="RENT"/>
    <n v="0.47"/>
    <n v="0.73"/>
    <n v="8949.59"/>
    <n v="0"/>
    <n v="31"/>
    <n v="4722.95"/>
    <n v="12727.95"/>
    <n v="944.59000000000015"/>
    <n v="0"/>
    <x v="0"/>
    <s v="VERY HIGH"/>
    <n v="7871.5833000000002"/>
    <n v="0.11800000000000002"/>
    <s v="HIGH RISK"/>
  </r>
  <r>
    <s v="L0483"/>
    <x v="392"/>
    <s v="B0483"/>
    <x v="6"/>
    <n v="1956"/>
    <n v="8.3000000000000007"/>
    <n v="36"/>
    <x v="1"/>
    <x v="4"/>
    <x v="2"/>
    <n v="134383"/>
    <s v="RENT"/>
    <n v="0.24"/>
    <n v="0.91"/>
    <n v="899.87"/>
    <n v="0"/>
    <n v="58"/>
    <n v="487.04400000000004"/>
    <n v="2443.0439999999999"/>
    <n v="-1056.1300000000001"/>
    <n v="0"/>
    <x v="1"/>
    <s v="LOW"/>
    <n v="1352.9"/>
    <n v="-0.53994376278118617"/>
    <s v="HIGH RISK"/>
  </r>
  <r>
    <s v="L0484"/>
    <x v="393"/>
    <s v="B0484"/>
    <x v="9"/>
    <n v="35839"/>
    <n v="8.4"/>
    <n v="36"/>
    <x v="1"/>
    <x v="1"/>
    <x v="3"/>
    <n v="42453"/>
    <s v="MORTGAGE"/>
    <n v="0.22"/>
    <n v="0.85"/>
    <n v="15026.66"/>
    <n v="0"/>
    <n v="60"/>
    <n v="9031.4280000000017"/>
    <n v="44870.428"/>
    <n v="-20812.34"/>
    <n v="0"/>
    <x v="1"/>
    <s v="HIGH"/>
    <n v="25087.3001"/>
    <n v="-0.58071765395239827"/>
    <s v="HIGH RISK"/>
  </r>
  <r>
    <s v="L0485"/>
    <x v="239"/>
    <s v="B0485"/>
    <x v="1"/>
    <n v="9595"/>
    <n v="24"/>
    <n v="60"/>
    <x v="0"/>
    <x v="0"/>
    <x v="4"/>
    <n v="48814"/>
    <s v="RENT"/>
    <n v="0.18"/>
    <n v="0.72"/>
    <n v="11897.8"/>
    <n v="0"/>
    <n v="40"/>
    <n v="11514"/>
    <n v="21109"/>
    <n v="2302.7999999999993"/>
    <n v="0"/>
    <x v="0"/>
    <s v="LOW"/>
    <n v="19190"/>
    <n v="0.23999999999999994"/>
    <s v="NORMAL"/>
  </r>
  <r>
    <s v="L0486"/>
    <x v="394"/>
    <s v="B0486"/>
    <x v="3"/>
    <n v="13803"/>
    <n v="13.9"/>
    <n v="36"/>
    <x v="2"/>
    <x v="0"/>
    <x v="4"/>
    <n v="48263"/>
    <s v="MORTGAGE"/>
    <n v="0.37"/>
    <n v="0.93"/>
    <n v="0"/>
    <n v="0"/>
    <n v="40"/>
    <n v="5755.8509999999997"/>
    <n v="19558.850999999999"/>
    <n v="-13803"/>
    <n v="0"/>
    <x v="2"/>
    <s v="LOW"/>
    <n v="15988.475"/>
    <n v="-1"/>
    <s v="HIGH RISK"/>
  </r>
  <r>
    <s v="L0487"/>
    <x v="381"/>
    <s v="B0487"/>
    <x v="2"/>
    <n v="26963"/>
    <n v="20.8"/>
    <n v="36"/>
    <x v="0"/>
    <x v="6"/>
    <x v="4"/>
    <n v="107694"/>
    <s v="RENT"/>
    <n v="0.23"/>
    <n v="0.53"/>
    <n v="32571.3"/>
    <n v="0"/>
    <n v="56"/>
    <n v="16824.912"/>
    <n v="43787.911999999997"/>
    <n v="5608.2999999999993"/>
    <n v="0"/>
    <x v="0"/>
    <s v="VERY HIGH"/>
    <n v="46735.866699999999"/>
    <n v="0.20799985164855539"/>
    <s v="NORMAL"/>
  </r>
  <r>
    <s v="L0488"/>
    <x v="395"/>
    <s v="B0488"/>
    <x v="8"/>
    <n v="37221"/>
    <n v="17.8"/>
    <n v="60"/>
    <x v="4"/>
    <x v="1"/>
    <x v="2"/>
    <n v="45735"/>
    <s v="MORTGAGE"/>
    <n v="0.5"/>
    <n v="0.92"/>
    <n v="0"/>
    <n v="0"/>
    <n v="35"/>
    <n v="33126.69"/>
    <n v="70347.69"/>
    <n v="-37221"/>
    <n v="0"/>
    <x v="2"/>
    <s v="HIGH"/>
    <n v="55211.15"/>
    <n v="-1"/>
    <s v="HIGH RISK"/>
  </r>
  <r>
    <s v="L0489"/>
    <x v="396"/>
    <s v="B0489"/>
    <x v="3"/>
    <n v="34723"/>
    <n v="18.5"/>
    <n v="60"/>
    <x v="4"/>
    <x v="4"/>
    <x v="4"/>
    <n v="45830"/>
    <s v="RENT"/>
    <n v="0.23"/>
    <n v="0.52"/>
    <n v="0"/>
    <n v="0"/>
    <n v="59"/>
    <n v="32118.774999999998"/>
    <n v="66841.774999999994"/>
    <n v="-34723"/>
    <n v="0"/>
    <x v="2"/>
    <s v="LOW"/>
    <n v="53531.291700000002"/>
    <n v="-1"/>
    <s v="NORMAL"/>
  </r>
  <r>
    <s v="L0490"/>
    <x v="397"/>
    <s v="B0490"/>
    <x v="9"/>
    <n v="16282"/>
    <n v="7.6"/>
    <n v="36"/>
    <x v="0"/>
    <x v="2"/>
    <x v="4"/>
    <n v="77893"/>
    <s v="RENT"/>
    <n v="0.26"/>
    <n v="0.75"/>
    <n v="17519.43"/>
    <n v="0"/>
    <n v="33"/>
    <n v="3712.2960000000003"/>
    <n v="19994.296000000002"/>
    <n v="1237.4300000000003"/>
    <n v="0"/>
    <x v="0"/>
    <s v="VERY HIGH"/>
    <n v="10311.9336"/>
    <n v="7.5999877164967464E-2"/>
    <s v="NORMAL"/>
  </r>
  <r>
    <s v="L0491"/>
    <x v="143"/>
    <s v="B0491"/>
    <x v="9"/>
    <n v="5703"/>
    <n v="9.6999999999999993"/>
    <n v="36"/>
    <x v="0"/>
    <x v="2"/>
    <x v="3"/>
    <n v="74673"/>
    <s v="OWN"/>
    <n v="0.34"/>
    <n v="0.9"/>
    <n v="6256.19"/>
    <n v="0"/>
    <n v="55"/>
    <n v="1659.5730000000001"/>
    <n v="7362.5730000000003"/>
    <n v="553.1899999999996"/>
    <n v="0"/>
    <x v="0"/>
    <s v="VERY HIGH"/>
    <n v="4609.9250000000002"/>
    <n v="9.6999824653690975E-2"/>
    <s v="HIGH RISK"/>
  </r>
  <r>
    <s v="L0492"/>
    <x v="66"/>
    <s v="B0492"/>
    <x v="5"/>
    <n v="7563"/>
    <n v="20.7"/>
    <n v="60"/>
    <x v="0"/>
    <x v="3"/>
    <x v="2"/>
    <n v="119462"/>
    <s v="OWN"/>
    <n v="0.42"/>
    <n v="0.62"/>
    <n v="9128.5400000000009"/>
    <n v="0"/>
    <n v="37"/>
    <n v="7827.7050000000008"/>
    <n v="15390.705000000002"/>
    <n v="1565.5400000000009"/>
    <n v="0"/>
    <x v="0"/>
    <s v="VERY HIGH"/>
    <n v="13046.174999999999"/>
    <n v="0.20699986777733714"/>
    <s v="HIGH RISK"/>
  </r>
  <r>
    <s v="L0493"/>
    <x v="264"/>
    <s v="B0493"/>
    <x v="5"/>
    <n v="26849"/>
    <n v="24.4"/>
    <n v="36"/>
    <x v="1"/>
    <x v="4"/>
    <x v="2"/>
    <n v="75066"/>
    <s v="OWN"/>
    <n v="0.28999999999999998"/>
    <n v="0.71"/>
    <n v="2888.35"/>
    <n v="0"/>
    <n v="61"/>
    <n v="19653.468000000001"/>
    <n v="46502.468000000001"/>
    <n v="-23960.65"/>
    <n v="0"/>
    <x v="1"/>
    <s v="LOW"/>
    <n v="54592.966699999997"/>
    <n v="-0.89242243658981713"/>
    <s v="NORMAL"/>
  </r>
  <r>
    <s v="L0494"/>
    <x v="268"/>
    <s v="B0494"/>
    <x v="3"/>
    <n v="32860"/>
    <n v="10.3"/>
    <n v="36"/>
    <x v="0"/>
    <x v="0"/>
    <x v="4"/>
    <n v="130315"/>
    <s v="OWN"/>
    <n v="0.27"/>
    <n v="0.65"/>
    <n v="36244.58"/>
    <n v="0"/>
    <n v="41"/>
    <n v="10153.74"/>
    <n v="43013.74"/>
    <n v="3384.5800000000017"/>
    <n v="0"/>
    <x v="0"/>
    <s v="LOW"/>
    <n v="28204.833299999998"/>
    <n v="0.10300000000000005"/>
    <s v="NORMAL"/>
  </r>
  <r>
    <s v="L0495"/>
    <x v="246"/>
    <s v="B0495"/>
    <x v="1"/>
    <n v="32585"/>
    <n v="10.4"/>
    <n v="60"/>
    <x v="2"/>
    <x v="5"/>
    <x v="2"/>
    <n v="33373"/>
    <s v="OWN"/>
    <n v="0.5"/>
    <n v="0.93"/>
    <n v="0"/>
    <n v="0"/>
    <n v="47"/>
    <n v="16944.2"/>
    <n v="49529.2"/>
    <n v="-32585"/>
    <n v="0"/>
    <x v="2"/>
    <s v="MEDIUM"/>
    <n v="28240.333299999998"/>
    <n v="-1"/>
    <s v="HIGH RISK"/>
  </r>
  <r>
    <s v="L0496"/>
    <x v="398"/>
    <s v="B0496"/>
    <x v="6"/>
    <n v="23015"/>
    <n v="14.5"/>
    <n v="60"/>
    <x v="1"/>
    <x v="1"/>
    <x v="1"/>
    <n v="40335"/>
    <s v="OWN"/>
    <n v="0.1"/>
    <n v="0.87"/>
    <n v="11485.91"/>
    <n v="0"/>
    <n v="30"/>
    <n v="16685.875"/>
    <n v="39700.875"/>
    <n v="-11529.09"/>
    <n v="0"/>
    <x v="1"/>
    <s v="HIGH"/>
    <n v="27809.791700000002"/>
    <n v="-0.50093808385835326"/>
    <s v="HIGH RISK"/>
  </r>
  <r>
    <s v="L0497"/>
    <x v="399"/>
    <s v="B0497"/>
    <x v="5"/>
    <n v="13003"/>
    <n v="24.7"/>
    <n v="36"/>
    <x v="0"/>
    <x v="0"/>
    <x v="2"/>
    <n v="53741"/>
    <s v="MORTGAGE"/>
    <n v="0.46"/>
    <n v="0.82"/>
    <n v="16214.74"/>
    <n v="0"/>
    <n v="28"/>
    <n v="9635.223"/>
    <n v="22638.222999999998"/>
    <n v="3211.74"/>
    <n v="0"/>
    <x v="0"/>
    <s v="LOW"/>
    <n v="26764.508300000001"/>
    <n v="0.24699992309467045"/>
    <s v="HIGH RISK"/>
  </r>
  <r>
    <s v="L0498"/>
    <x v="400"/>
    <s v="B0498"/>
    <x v="8"/>
    <n v="27958"/>
    <n v="10.4"/>
    <n v="36"/>
    <x v="0"/>
    <x v="6"/>
    <x v="2"/>
    <n v="40692"/>
    <s v="MORTGAGE"/>
    <n v="0.16"/>
    <n v="0.76"/>
    <n v="30865.63"/>
    <n v="0"/>
    <n v="38"/>
    <n v="8722.8960000000006"/>
    <n v="36680.896000000001"/>
    <n v="2907.630000000001"/>
    <n v="0"/>
    <x v="0"/>
    <s v="VERY HIGH"/>
    <n v="24230.2667"/>
    <n v="0.1039999284641248"/>
    <s v="NORMAL"/>
  </r>
  <r>
    <s v="L0499"/>
    <x v="401"/>
    <s v="B0499"/>
    <x v="8"/>
    <n v="27017"/>
    <n v="13.1"/>
    <n v="36"/>
    <x v="1"/>
    <x v="0"/>
    <x v="2"/>
    <n v="77295"/>
    <s v="OWN"/>
    <n v="0.41"/>
    <n v="0.87"/>
    <n v="4494.63"/>
    <n v="0"/>
    <n v="36"/>
    <n v="10617.681"/>
    <n v="37634.680999999997"/>
    <n v="-22522.37"/>
    <n v="0"/>
    <x v="1"/>
    <s v="LOW"/>
    <n v="29493.558300000001"/>
    <n v="-0.83363696931561604"/>
    <s v="HIGH RISK"/>
  </r>
  <r>
    <s v="L0500"/>
    <x v="402"/>
    <s v="B0500"/>
    <x v="6"/>
    <n v="12171"/>
    <n v="22.8"/>
    <n v="60"/>
    <x v="0"/>
    <x v="5"/>
    <x v="0"/>
    <n v="75541"/>
    <s v="MORTGAGE"/>
    <n v="0.35"/>
    <n v="0.68"/>
    <n v="14945.99"/>
    <n v="0"/>
    <n v="30"/>
    <n v="13874.94"/>
    <n v="26045.940000000002"/>
    <n v="2774.99"/>
    <n v="0"/>
    <x v="0"/>
    <s v="MEDIUM"/>
    <n v="23124.9"/>
    <n v="0.22800016432503489"/>
    <s v="NORMAL"/>
  </r>
  <r>
    <s v="L0501"/>
    <x v="403"/>
    <s v="B0501"/>
    <x v="7"/>
    <n v="13201"/>
    <n v="5.0999999999999996"/>
    <n v="36"/>
    <x v="1"/>
    <x v="4"/>
    <x v="0"/>
    <n v="64057"/>
    <s v="OWN"/>
    <n v="0.24"/>
    <n v="0.7"/>
    <n v="4962.1499999999996"/>
    <n v="0"/>
    <n v="50"/>
    <n v="2019.7529999999997"/>
    <n v="15220.753000000001"/>
    <n v="-8238.85"/>
    <n v="0"/>
    <x v="1"/>
    <s v="LOW"/>
    <n v="5610.4413000000004"/>
    <n v="-0.62410802211953642"/>
    <s v="NORMAL"/>
  </r>
  <r>
    <s v="L0502"/>
    <x v="245"/>
    <s v="B0502"/>
    <x v="7"/>
    <n v="30426"/>
    <n v="5.8"/>
    <n v="36"/>
    <x v="0"/>
    <x v="1"/>
    <x v="0"/>
    <n v="96983"/>
    <s v="MORTGAGE"/>
    <n v="0.45"/>
    <n v="0.83"/>
    <n v="32190.71"/>
    <n v="0"/>
    <n v="30"/>
    <n v="5294.1239999999998"/>
    <n v="35720.123999999996"/>
    <n v="1764.7099999999991"/>
    <n v="0"/>
    <x v="0"/>
    <s v="HIGH"/>
    <n v="14705.910099999999"/>
    <n v="5.8000065733254426E-2"/>
    <s v="HIGH RISK"/>
  </r>
  <r>
    <s v="L0503"/>
    <x v="404"/>
    <s v="B0503"/>
    <x v="9"/>
    <n v="18778"/>
    <n v="17.100000000000001"/>
    <n v="60"/>
    <x v="0"/>
    <x v="4"/>
    <x v="2"/>
    <n v="49583"/>
    <s v="RENT"/>
    <n v="0.11"/>
    <n v="0.66"/>
    <n v="21989.040000000001"/>
    <n v="0"/>
    <n v="40"/>
    <n v="16055.190000000002"/>
    <n v="34833.19"/>
    <n v="3211.0400000000009"/>
    <n v="0"/>
    <x v="0"/>
    <s v="LOW"/>
    <n v="26758.65"/>
    <n v="0.17100010650761535"/>
    <s v="NORMAL"/>
  </r>
  <r>
    <s v="L0504"/>
    <x v="405"/>
    <s v="B0504"/>
    <x v="5"/>
    <n v="22116"/>
    <n v="23.1"/>
    <n v="60"/>
    <x v="0"/>
    <x v="6"/>
    <x v="1"/>
    <n v="52765"/>
    <s v="MORTGAGE"/>
    <n v="0.19"/>
    <n v="0.53"/>
    <n v="27224.799999999999"/>
    <n v="0"/>
    <n v="50"/>
    <n v="25543.98"/>
    <n v="47659.979999999996"/>
    <n v="5108.7999999999993"/>
    <n v="0"/>
    <x v="0"/>
    <s v="VERY HIGH"/>
    <n v="42573.3"/>
    <n v="0.23100018086453245"/>
    <s v="NORMAL"/>
  </r>
  <r>
    <s v="L0505"/>
    <x v="406"/>
    <s v="B0505"/>
    <x v="0"/>
    <n v="34297"/>
    <n v="9.8000000000000007"/>
    <n v="36"/>
    <x v="1"/>
    <x v="5"/>
    <x v="2"/>
    <n v="89287"/>
    <s v="MORTGAGE"/>
    <n v="0.33"/>
    <n v="0.53"/>
    <n v="15729.14"/>
    <n v="0"/>
    <n v="28"/>
    <n v="10083.318000000001"/>
    <n v="44380.317999999999"/>
    <n v="-18567.86"/>
    <n v="0"/>
    <x v="1"/>
    <s v="MEDIUM"/>
    <n v="28009.216700000001"/>
    <n v="-0.54138437764235936"/>
    <s v="NORMAL"/>
  </r>
  <r>
    <s v="L0506"/>
    <x v="332"/>
    <s v="B0506"/>
    <x v="3"/>
    <n v="20342"/>
    <n v="14.4"/>
    <n v="60"/>
    <x v="0"/>
    <x v="6"/>
    <x v="4"/>
    <n v="53906"/>
    <s v="MORTGAGE"/>
    <n v="0.24"/>
    <n v="0.55000000000000004"/>
    <n v="23271.25"/>
    <n v="0"/>
    <n v="40"/>
    <n v="14646.24"/>
    <n v="34988.239999999998"/>
    <n v="2929.25"/>
    <n v="0"/>
    <x v="0"/>
    <s v="VERY HIGH"/>
    <n v="24410.400000000001"/>
    <n v="0.14400009831874938"/>
    <s v="NORMAL"/>
  </r>
  <r>
    <s v="L0507"/>
    <x v="322"/>
    <s v="B0507"/>
    <x v="4"/>
    <n v="28490"/>
    <n v="14"/>
    <n v="60"/>
    <x v="1"/>
    <x v="3"/>
    <x v="1"/>
    <n v="115103"/>
    <s v="RENT"/>
    <n v="0.34"/>
    <n v="0.89"/>
    <n v="4446.13"/>
    <n v="0"/>
    <n v="59"/>
    <n v="19943"/>
    <n v="48433"/>
    <n v="-24043.87"/>
    <n v="0"/>
    <x v="1"/>
    <s v="VERY HIGH"/>
    <n v="33238.333299999998"/>
    <n v="-0.84394068094068087"/>
    <s v="HIGH RISK"/>
  </r>
  <r>
    <s v="L0508"/>
    <x v="407"/>
    <s v="B0508"/>
    <x v="6"/>
    <n v="20975"/>
    <n v="14.5"/>
    <n v="36"/>
    <x v="0"/>
    <x v="1"/>
    <x v="0"/>
    <n v="109675"/>
    <s v="OWN"/>
    <n v="0.11"/>
    <n v="0.71"/>
    <n v="24016.38"/>
    <n v="0"/>
    <n v="39"/>
    <n v="9124.125"/>
    <n v="30099.125"/>
    <n v="3041.380000000001"/>
    <n v="0"/>
    <x v="0"/>
    <s v="HIGH"/>
    <n v="25344.791700000002"/>
    <n v="0.14500023837902271"/>
    <s v="NORMAL"/>
  </r>
  <r>
    <s v="L0509"/>
    <x v="408"/>
    <s v="B0509"/>
    <x v="9"/>
    <n v="27723"/>
    <n v="17.5"/>
    <n v="60"/>
    <x v="1"/>
    <x v="3"/>
    <x v="3"/>
    <n v="76525"/>
    <s v="MORTGAGE"/>
    <n v="0.15"/>
    <n v="0.82"/>
    <n v="12716.99"/>
    <n v="0"/>
    <n v="44"/>
    <n v="24257.625"/>
    <n v="51980.625"/>
    <n v="-15006.01"/>
    <n v="0"/>
    <x v="1"/>
    <s v="VERY HIGH"/>
    <n v="40429.375"/>
    <n v="-0.54128377159759045"/>
    <s v="HIGH RISK"/>
  </r>
  <r>
    <s v="L0510"/>
    <x v="409"/>
    <s v="B0510"/>
    <x v="0"/>
    <n v="24279"/>
    <n v="14.4"/>
    <n v="60"/>
    <x v="1"/>
    <x v="0"/>
    <x v="1"/>
    <n v="68230"/>
    <s v="MORTGAGE"/>
    <n v="0.15"/>
    <n v="0.68"/>
    <n v="4595.21"/>
    <n v="0"/>
    <n v="38"/>
    <n v="17480.88"/>
    <n v="41759.880000000005"/>
    <n v="-19683.79"/>
    <n v="0"/>
    <x v="1"/>
    <s v="LOW"/>
    <n v="29134.799999999999"/>
    <n v="-0.81073314386918738"/>
    <s v="NORMAL"/>
  </r>
  <r>
    <s v="L0511"/>
    <x v="410"/>
    <s v="B0511"/>
    <x v="5"/>
    <n v="13765"/>
    <n v="13.9"/>
    <n v="36"/>
    <x v="0"/>
    <x v="4"/>
    <x v="0"/>
    <n v="147904"/>
    <s v="RENT"/>
    <n v="0.18"/>
    <n v="0.62"/>
    <n v="15678.34"/>
    <n v="0"/>
    <n v="34"/>
    <n v="5740.0050000000001"/>
    <n v="19505.005000000001"/>
    <n v="1913.3400000000001"/>
    <n v="0"/>
    <x v="0"/>
    <s v="LOW"/>
    <n v="15944.4583"/>
    <n v="0.1390003632401017"/>
    <s v="NORMAL"/>
  </r>
  <r>
    <s v="L0512"/>
    <x v="83"/>
    <s v="B0512"/>
    <x v="0"/>
    <n v="12561"/>
    <n v="14.5"/>
    <n v="60"/>
    <x v="1"/>
    <x v="0"/>
    <x v="1"/>
    <n v="49520"/>
    <s v="OWN"/>
    <n v="0.28000000000000003"/>
    <n v="0.66"/>
    <n v="6147.18"/>
    <n v="0"/>
    <n v="61"/>
    <n v="9106.7250000000004"/>
    <n v="21667.724999999999"/>
    <n v="-6413.82"/>
    <n v="0"/>
    <x v="1"/>
    <s v="LOW"/>
    <n v="15177.875"/>
    <n v="-0.51061380463338901"/>
    <s v="NORMAL"/>
  </r>
  <r>
    <s v="L0513"/>
    <x v="411"/>
    <s v="B0513"/>
    <x v="0"/>
    <n v="1525"/>
    <n v="16.8"/>
    <n v="36"/>
    <x v="0"/>
    <x v="4"/>
    <x v="1"/>
    <n v="115238"/>
    <s v="MORTGAGE"/>
    <n v="0.4"/>
    <n v="0.86"/>
    <n v="1781.2"/>
    <n v="0"/>
    <n v="38"/>
    <n v="768.59999999999991"/>
    <n v="2293.6"/>
    <n v="256.20000000000005"/>
    <n v="0"/>
    <x v="0"/>
    <s v="LOW"/>
    <n v="2135"/>
    <n v="0.16800000000000004"/>
    <s v="HIGH RISK"/>
  </r>
  <r>
    <s v="L0514"/>
    <x v="412"/>
    <s v="B0514"/>
    <x v="6"/>
    <n v="23861"/>
    <n v="15.7"/>
    <n v="36"/>
    <x v="0"/>
    <x v="6"/>
    <x v="2"/>
    <n v="81934"/>
    <s v="RENT"/>
    <n v="0.46"/>
    <n v="0.78"/>
    <n v="27607.18"/>
    <n v="0"/>
    <n v="46"/>
    <n v="11238.531000000001"/>
    <n v="35099.531000000003"/>
    <n v="3746.1800000000003"/>
    <n v="0"/>
    <x v="0"/>
    <s v="VERY HIGH"/>
    <n v="31218.1417"/>
    <n v="0.1570001257281757"/>
    <s v="HIGH RISK"/>
  </r>
  <r>
    <s v="L0515"/>
    <x v="413"/>
    <s v="B0515"/>
    <x v="9"/>
    <n v="34142"/>
    <n v="22.1"/>
    <n v="60"/>
    <x v="0"/>
    <x v="0"/>
    <x v="4"/>
    <n v="55566"/>
    <s v="OWN"/>
    <n v="0.43"/>
    <n v="0.92"/>
    <n v="41687.379999999997"/>
    <n v="0"/>
    <n v="31"/>
    <n v="37726.910000000003"/>
    <n v="71868.91"/>
    <n v="7545.3799999999974"/>
    <n v="0"/>
    <x v="0"/>
    <s v="LOW"/>
    <n v="62878.183299999997"/>
    <n v="0.22099994142112347"/>
    <s v="HIGH RISK"/>
  </r>
  <r>
    <s v="L0516"/>
    <x v="161"/>
    <s v="B0516"/>
    <x v="1"/>
    <n v="27916"/>
    <n v="6"/>
    <n v="60"/>
    <x v="1"/>
    <x v="5"/>
    <x v="3"/>
    <n v="103193"/>
    <s v="OWN"/>
    <n v="0.18"/>
    <n v="0.81"/>
    <n v="4929.04"/>
    <n v="0"/>
    <n v="32"/>
    <n v="8374.8000000000011"/>
    <n v="36290.800000000003"/>
    <n v="-22986.959999999999"/>
    <n v="0"/>
    <x v="1"/>
    <s v="MEDIUM"/>
    <n v="13958"/>
    <n v="-0.82343315661269523"/>
    <s v="HIGH RISK"/>
  </r>
  <r>
    <s v="L0517"/>
    <x v="414"/>
    <s v="B0517"/>
    <x v="8"/>
    <n v="5648"/>
    <n v="21.7"/>
    <n v="60"/>
    <x v="3"/>
    <x v="5"/>
    <x v="0"/>
    <n v="133224"/>
    <s v="MORTGAGE"/>
    <n v="0.28000000000000003"/>
    <n v="0.76"/>
    <n v="2180.3000000000002"/>
    <n v="1908.91"/>
    <n v="47"/>
    <n v="6128.079999999999"/>
    <n v="11776.079999999998"/>
    <n v="-1558.79"/>
    <n v="1"/>
    <x v="2"/>
    <s v="MEDIUM"/>
    <n v="10213.466700000001"/>
    <n v="-0.27598973087818696"/>
    <s v="NORMAL"/>
  </r>
  <r>
    <s v="L0518"/>
    <x v="409"/>
    <s v="B0518"/>
    <x v="3"/>
    <n v="36133"/>
    <n v="21.9"/>
    <n v="36"/>
    <x v="1"/>
    <x v="5"/>
    <x v="1"/>
    <n v="60134"/>
    <s v="MORTGAGE"/>
    <n v="0.18"/>
    <n v="0.77"/>
    <n v="2677.28"/>
    <n v="0"/>
    <n v="38"/>
    <n v="23739.380999999998"/>
    <n v="59872.380999999994"/>
    <n v="-33455.72"/>
    <n v="0"/>
    <x v="1"/>
    <s v="MEDIUM"/>
    <n v="65942.725000000006"/>
    <n v="-0.92590485152077051"/>
    <s v="NORMAL"/>
  </r>
  <r>
    <s v="L0519"/>
    <x v="151"/>
    <s v="B0519"/>
    <x v="9"/>
    <n v="31523"/>
    <n v="10.7"/>
    <n v="60"/>
    <x v="0"/>
    <x v="5"/>
    <x v="3"/>
    <n v="40345"/>
    <s v="MORTGAGE"/>
    <n v="0.21"/>
    <n v="0.92"/>
    <n v="34895.96"/>
    <n v="0"/>
    <n v="37"/>
    <n v="16864.804999999997"/>
    <n v="48387.804999999993"/>
    <n v="3372.9599999999991"/>
    <n v="0"/>
    <x v="0"/>
    <s v="MEDIUM"/>
    <n v="28108.008300000001"/>
    <n v="0.10699996827713096"/>
    <s v="HIGH RISK"/>
  </r>
  <r>
    <s v="L0520"/>
    <x v="415"/>
    <s v="B0520"/>
    <x v="4"/>
    <n v="30052"/>
    <n v="14.3"/>
    <n v="36"/>
    <x v="1"/>
    <x v="6"/>
    <x v="1"/>
    <n v="71185"/>
    <s v="MORTGAGE"/>
    <n v="0.3"/>
    <n v="0.85"/>
    <n v="11094.37"/>
    <n v="0"/>
    <n v="32"/>
    <n v="12892.308000000003"/>
    <n v="42944.308000000005"/>
    <n v="-18957.629999999997"/>
    <n v="0"/>
    <x v="1"/>
    <s v="VERY HIGH"/>
    <n v="35811.966699999997"/>
    <n v="-0.63082756555304131"/>
    <s v="HIGH RISK"/>
  </r>
  <r>
    <s v="L0521"/>
    <x v="416"/>
    <s v="B0521"/>
    <x v="0"/>
    <n v="35414"/>
    <n v="13.8"/>
    <n v="60"/>
    <x v="0"/>
    <x v="0"/>
    <x v="4"/>
    <n v="145464"/>
    <s v="RENT"/>
    <n v="0.13"/>
    <n v="0.51"/>
    <n v="40301.129999999997"/>
    <n v="0"/>
    <n v="32"/>
    <n v="24435.660000000003"/>
    <n v="59849.66"/>
    <n v="4887.1299999999974"/>
    <n v="0"/>
    <x v="0"/>
    <s v="LOW"/>
    <n v="40726.1"/>
    <n v="0.13799994352515946"/>
    <s v="NORMAL"/>
  </r>
  <r>
    <s v="L0522"/>
    <x v="417"/>
    <s v="B0522"/>
    <x v="1"/>
    <n v="33781"/>
    <n v="9.4"/>
    <n v="60"/>
    <x v="3"/>
    <x v="4"/>
    <x v="3"/>
    <n v="122949"/>
    <s v="RENT"/>
    <n v="0.19"/>
    <n v="0.74"/>
    <n v="8770.67"/>
    <n v="14712.11"/>
    <n v="49"/>
    <n v="15877.070000000002"/>
    <n v="49658.07"/>
    <n v="-10298.220000000001"/>
    <n v="1"/>
    <x v="2"/>
    <s v="LOW"/>
    <n v="26461.783299999999"/>
    <n v="-0.30485243184038369"/>
    <s v="NORMAL"/>
  </r>
  <r>
    <s v="L0523"/>
    <x v="418"/>
    <s v="B0523"/>
    <x v="6"/>
    <n v="5599"/>
    <n v="12.9"/>
    <n v="60"/>
    <x v="0"/>
    <x v="5"/>
    <x v="0"/>
    <n v="100744"/>
    <s v="MORTGAGE"/>
    <n v="0.47"/>
    <n v="0.81"/>
    <n v="6321.27"/>
    <n v="0"/>
    <n v="33"/>
    <n v="3611.355"/>
    <n v="9210.3549999999996"/>
    <n v="722.27000000000044"/>
    <n v="0"/>
    <x v="0"/>
    <s v="MEDIUM"/>
    <n v="6018.9250000000002"/>
    <n v="0.12899982139667807"/>
    <s v="HIGH RISK"/>
  </r>
  <r>
    <s v="L0524"/>
    <x v="419"/>
    <s v="B0524"/>
    <x v="2"/>
    <n v="36046"/>
    <n v="5.9"/>
    <n v="36"/>
    <x v="2"/>
    <x v="1"/>
    <x v="1"/>
    <n v="63455"/>
    <s v="OWN"/>
    <n v="0.28999999999999998"/>
    <n v="0.84"/>
    <n v="0"/>
    <n v="0"/>
    <n v="54"/>
    <n v="6380.1420000000007"/>
    <n v="42426.142"/>
    <n v="-36046"/>
    <n v="0"/>
    <x v="2"/>
    <s v="HIGH"/>
    <n v="17722.6266"/>
    <n v="-1"/>
    <s v="HIGH RISK"/>
  </r>
  <r>
    <s v="L0525"/>
    <x v="420"/>
    <s v="B0525"/>
    <x v="3"/>
    <n v="36923"/>
    <n v="10.6"/>
    <n v="60"/>
    <x v="1"/>
    <x v="4"/>
    <x v="4"/>
    <n v="145217"/>
    <s v="MORTGAGE"/>
    <n v="0.28000000000000003"/>
    <n v="0.6"/>
    <n v="9786.24"/>
    <n v="0"/>
    <n v="39"/>
    <n v="19569.189999999999"/>
    <n v="56492.19"/>
    <n v="-27136.760000000002"/>
    <n v="0"/>
    <x v="1"/>
    <s v="LOW"/>
    <n v="32615.316699999999"/>
    <n v="-0.73495544782384969"/>
    <s v="NORMAL"/>
  </r>
  <r>
    <s v="L0526"/>
    <x v="421"/>
    <s v="B0526"/>
    <x v="3"/>
    <n v="4814"/>
    <n v="21.3"/>
    <n v="60"/>
    <x v="1"/>
    <x v="6"/>
    <x v="3"/>
    <n v="58018"/>
    <s v="OWN"/>
    <n v="0.11"/>
    <n v="0.89"/>
    <n v="724.86"/>
    <n v="0"/>
    <n v="47"/>
    <n v="5126.9100000000008"/>
    <n v="9940.91"/>
    <n v="-4089.14"/>
    <n v="0"/>
    <x v="1"/>
    <s v="VERY HIGH"/>
    <n v="8544.85"/>
    <n v="-0.8494266722060656"/>
    <s v="HIGH RISK"/>
  </r>
  <r>
    <s v="L0527"/>
    <x v="422"/>
    <s v="B0527"/>
    <x v="8"/>
    <n v="36984"/>
    <n v="10.7"/>
    <n v="36"/>
    <x v="1"/>
    <x v="4"/>
    <x v="1"/>
    <n v="84219"/>
    <s v="OWN"/>
    <n v="0.2"/>
    <n v="0.93"/>
    <n v="13592.29"/>
    <n v="0"/>
    <n v="62"/>
    <n v="11871.864"/>
    <n v="48855.864000000001"/>
    <n v="-23391.71"/>
    <n v="0"/>
    <x v="1"/>
    <s v="LOW"/>
    <n v="32977.4"/>
    <n v="-0.63248188405797101"/>
    <s v="HIGH RISK"/>
  </r>
  <r>
    <s v="L0528"/>
    <x v="390"/>
    <s v="B0528"/>
    <x v="2"/>
    <n v="27616"/>
    <n v="21.4"/>
    <n v="36"/>
    <x v="0"/>
    <x v="4"/>
    <x v="1"/>
    <n v="75991"/>
    <s v="OWN"/>
    <n v="0.45"/>
    <n v="0.61"/>
    <n v="33525.82"/>
    <n v="0"/>
    <n v="35"/>
    <n v="17729.471999999998"/>
    <n v="45345.471999999994"/>
    <n v="5909.82"/>
    <n v="0"/>
    <x v="0"/>
    <s v="LOW"/>
    <n v="49248.533300000003"/>
    <n v="0.21399985515643105"/>
    <s v="HIGH RISK"/>
  </r>
  <r>
    <s v="L0529"/>
    <x v="200"/>
    <s v="B0529"/>
    <x v="5"/>
    <n v="3113"/>
    <n v="15.6"/>
    <n v="60"/>
    <x v="1"/>
    <x v="0"/>
    <x v="0"/>
    <n v="103616"/>
    <s v="RENT"/>
    <n v="0.17"/>
    <n v="0.9"/>
    <n v="422.95"/>
    <n v="0"/>
    <n v="36"/>
    <n v="2428.14"/>
    <n v="5541.1399999999994"/>
    <n v="-2690.05"/>
    <n v="0"/>
    <x v="1"/>
    <s v="LOW"/>
    <n v="4046.9"/>
    <n v="-0.86413427561837464"/>
    <s v="HIGH RISK"/>
  </r>
  <r>
    <s v="L0530"/>
    <x v="262"/>
    <s v="B0530"/>
    <x v="2"/>
    <n v="14760"/>
    <n v="22.6"/>
    <n v="60"/>
    <x v="0"/>
    <x v="5"/>
    <x v="4"/>
    <n v="117438"/>
    <s v="OWN"/>
    <n v="0.27"/>
    <n v="0.54"/>
    <n v="18095.759999999998"/>
    <n v="0"/>
    <n v="33"/>
    <n v="16678.8"/>
    <n v="31438.799999999999"/>
    <n v="3335.7599999999984"/>
    <n v="0"/>
    <x v="0"/>
    <s v="MEDIUM"/>
    <n v="27798"/>
    <n v="0.2259999999999999"/>
    <s v="NORMAL"/>
  </r>
  <r>
    <s v="L0531"/>
    <x v="100"/>
    <s v="B0531"/>
    <x v="0"/>
    <n v="22927"/>
    <n v="16.5"/>
    <n v="60"/>
    <x v="1"/>
    <x v="1"/>
    <x v="2"/>
    <n v="146841"/>
    <s v="OWN"/>
    <n v="0.11"/>
    <n v="0.53"/>
    <n v="6850.1"/>
    <n v="0"/>
    <n v="28"/>
    <n v="18914.774999999998"/>
    <n v="41841.774999999994"/>
    <n v="-16076.9"/>
    <n v="0"/>
    <x v="1"/>
    <s v="HIGH"/>
    <n v="31524.625"/>
    <n v="-0.7012212675011994"/>
    <s v="NORMAL"/>
  </r>
  <r>
    <s v="L0532"/>
    <x v="305"/>
    <s v="B0532"/>
    <x v="0"/>
    <n v="21939"/>
    <n v="5.6"/>
    <n v="36"/>
    <x v="1"/>
    <x v="0"/>
    <x v="1"/>
    <n v="39486"/>
    <s v="RENT"/>
    <n v="0.28999999999999998"/>
    <n v="0.56000000000000005"/>
    <n v="3597.13"/>
    <n v="0"/>
    <n v="29"/>
    <n v="3685.751999999999"/>
    <n v="25624.752"/>
    <n v="-18341.87"/>
    <n v="0"/>
    <x v="1"/>
    <s v="LOW"/>
    <n v="10238.210499999999"/>
    <n v="-0.83603947308446136"/>
    <s v="NORMAL"/>
  </r>
  <r>
    <s v="L0533"/>
    <x v="423"/>
    <s v="B0533"/>
    <x v="0"/>
    <n v="33419"/>
    <n v="18.5"/>
    <n v="36"/>
    <x v="3"/>
    <x v="4"/>
    <x v="3"/>
    <n v="68862"/>
    <s v="OWN"/>
    <n v="0.11"/>
    <n v="0.53"/>
    <n v="12922.67"/>
    <n v="11291.82"/>
    <n v="50"/>
    <n v="18547.545000000002"/>
    <n v="51966.544999999998"/>
    <n v="-9204.510000000002"/>
    <n v="1"/>
    <x v="2"/>
    <s v="LOW"/>
    <n v="51520.958299999998"/>
    <n v="-0.27542745144977415"/>
    <s v="NORMAL"/>
  </r>
  <r>
    <s v="L0534"/>
    <x v="424"/>
    <s v="B0534"/>
    <x v="0"/>
    <n v="13588"/>
    <n v="5.9"/>
    <n v="36"/>
    <x v="0"/>
    <x v="6"/>
    <x v="0"/>
    <n v="88870"/>
    <s v="OWN"/>
    <n v="0.43"/>
    <n v="0.88"/>
    <n v="14389.69"/>
    <n v="0"/>
    <n v="26"/>
    <n v="2405.0760000000005"/>
    <n v="15993.076000000001"/>
    <n v="801.69000000000051"/>
    <n v="0"/>
    <x v="0"/>
    <s v="VERY HIGH"/>
    <n v="6680.7704000000003"/>
    <n v="5.8999852811304127E-2"/>
    <s v="HIGH RISK"/>
  </r>
  <r>
    <s v="L0535"/>
    <x v="425"/>
    <s v="B0535"/>
    <x v="9"/>
    <n v="37142"/>
    <n v="14"/>
    <n v="36"/>
    <x v="0"/>
    <x v="4"/>
    <x v="0"/>
    <n v="116694"/>
    <s v="MORTGAGE"/>
    <n v="0.43"/>
    <n v="0.53"/>
    <n v="42341.88"/>
    <n v="0"/>
    <n v="57"/>
    <n v="15599.64"/>
    <n v="52741.64"/>
    <n v="5199.8799999999974"/>
    <n v="0"/>
    <x v="0"/>
    <s v="LOW"/>
    <n v="43332.333299999998"/>
    <n v="0.13999999999999993"/>
    <s v="HIGH RISK"/>
  </r>
  <r>
    <s v="L0536"/>
    <x v="426"/>
    <s v="B0536"/>
    <x v="3"/>
    <n v="34397"/>
    <n v="23.6"/>
    <n v="60"/>
    <x v="0"/>
    <x v="0"/>
    <x v="1"/>
    <n v="135996"/>
    <s v="OWN"/>
    <n v="0.42"/>
    <n v="0.62"/>
    <n v="42514.69"/>
    <n v="0"/>
    <n v="55"/>
    <n v="40588.460000000006"/>
    <n v="74985.460000000006"/>
    <n v="8117.6900000000023"/>
    <n v="0"/>
    <x v="0"/>
    <s v="LOW"/>
    <n v="67647.433300000004"/>
    <n v="0.23599994185539444"/>
    <s v="HIGH RISK"/>
  </r>
  <r>
    <s v="L0537"/>
    <x v="345"/>
    <s v="B0537"/>
    <x v="2"/>
    <n v="17653"/>
    <n v="8.3000000000000007"/>
    <n v="36"/>
    <x v="1"/>
    <x v="1"/>
    <x v="1"/>
    <n v="73856"/>
    <s v="OWN"/>
    <n v="0.21"/>
    <n v="0.55000000000000004"/>
    <n v="1110.0899999999999"/>
    <n v="0"/>
    <n v="56"/>
    <n v="4395.5970000000007"/>
    <n v="22048.597000000002"/>
    <n v="-16542.91"/>
    <n v="0"/>
    <x v="1"/>
    <s v="HIGH"/>
    <n v="12209.9917"/>
    <n v="-0.93711607092278937"/>
    <s v="NORMAL"/>
  </r>
  <r>
    <s v="L0538"/>
    <x v="427"/>
    <s v="B0538"/>
    <x v="3"/>
    <n v="11831"/>
    <n v="12.8"/>
    <n v="36"/>
    <x v="0"/>
    <x v="0"/>
    <x v="1"/>
    <n v="131407"/>
    <s v="OWN"/>
    <n v="0.43"/>
    <n v="0.63"/>
    <n v="13345.37"/>
    <n v="0"/>
    <n v="34"/>
    <n v="4543.1040000000003"/>
    <n v="16374.103999999999"/>
    <n v="1514.3700000000008"/>
    <n v="0"/>
    <x v="0"/>
    <s v="LOW"/>
    <n v="12619.7333"/>
    <n v="0.12800016904741787"/>
    <s v="HIGH RISK"/>
  </r>
  <r>
    <s v="L0539"/>
    <x v="428"/>
    <s v="B0539"/>
    <x v="4"/>
    <n v="6724"/>
    <n v="19.600000000000001"/>
    <n v="36"/>
    <x v="0"/>
    <x v="2"/>
    <x v="2"/>
    <n v="130744"/>
    <s v="OWN"/>
    <n v="0.32"/>
    <n v="0.54"/>
    <n v="8041.9"/>
    <n v="0"/>
    <n v="60"/>
    <n v="3953.7120000000009"/>
    <n v="10677.712000000001"/>
    <n v="1317.8999999999996"/>
    <n v="0"/>
    <x v="0"/>
    <s v="VERY HIGH"/>
    <n v="10982.533299999999"/>
    <n v="0.19599940511600233"/>
    <s v="NORMAL"/>
  </r>
  <r>
    <s v="L0540"/>
    <x v="429"/>
    <s v="B0540"/>
    <x v="2"/>
    <n v="12083"/>
    <n v="22.6"/>
    <n v="60"/>
    <x v="1"/>
    <x v="0"/>
    <x v="1"/>
    <n v="116055"/>
    <s v="OWN"/>
    <n v="0.25"/>
    <n v="0.8"/>
    <n v="1690.14"/>
    <n v="0"/>
    <n v="35"/>
    <n v="13653.789999999999"/>
    <n v="25736.79"/>
    <n v="-10392.86"/>
    <n v="0"/>
    <x v="1"/>
    <s v="LOW"/>
    <n v="22756.316699999999"/>
    <n v="-0.86012248613754871"/>
    <s v="NORMAL"/>
  </r>
  <r>
    <s v="L0541"/>
    <x v="104"/>
    <s v="B0541"/>
    <x v="9"/>
    <n v="20816"/>
    <n v="18.399999999999999"/>
    <n v="60"/>
    <x v="1"/>
    <x v="1"/>
    <x v="4"/>
    <n v="61379"/>
    <s v="RENT"/>
    <n v="0.35"/>
    <n v="0.56000000000000005"/>
    <n v="3310.57"/>
    <n v="0"/>
    <n v="36"/>
    <n v="19150.719999999998"/>
    <n v="39966.720000000001"/>
    <n v="-17505.43"/>
    <n v="0"/>
    <x v="1"/>
    <s v="HIGH"/>
    <n v="31917.866699999999"/>
    <n v="-0.84096031898539592"/>
    <s v="NORMAL"/>
  </r>
  <r>
    <s v="L0542"/>
    <x v="430"/>
    <s v="B0542"/>
    <x v="4"/>
    <n v="7276"/>
    <n v="10.199999999999999"/>
    <n v="36"/>
    <x v="0"/>
    <x v="5"/>
    <x v="3"/>
    <n v="94729"/>
    <s v="OWN"/>
    <n v="0.1"/>
    <n v="0.88"/>
    <n v="8018.15"/>
    <n v="0"/>
    <n v="39"/>
    <n v="2226.4559999999997"/>
    <n v="9502.4560000000001"/>
    <n v="742.14999999999964"/>
    <n v="0"/>
    <x v="0"/>
    <s v="MEDIUM"/>
    <n v="6184.6"/>
    <n v="0.10199972512369429"/>
    <s v="HIGH RISK"/>
  </r>
  <r>
    <s v="L0543"/>
    <x v="431"/>
    <s v="B0543"/>
    <x v="3"/>
    <n v="39663"/>
    <n v="18.5"/>
    <n v="36"/>
    <x v="0"/>
    <x v="6"/>
    <x v="1"/>
    <n v="58378"/>
    <s v="OWN"/>
    <n v="0.16"/>
    <n v="0.87"/>
    <n v="47000.66"/>
    <n v="0"/>
    <n v="59"/>
    <n v="22012.965"/>
    <n v="61675.964999999997"/>
    <n v="7337.6600000000035"/>
    <n v="0"/>
    <x v="0"/>
    <s v="VERY HIGH"/>
    <n v="61147.125"/>
    <n v="0.18500012606207306"/>
    <s v="HIGH RISK"/>
  </r>
  <r>
    <s v="L0544"/>
    <x v="21"/>
    <s v="B0544"/>
    <x v="4"/>
    <n v="14994"/>
    <n v="10.9"/>
    <n v="60"/>
    <x v="1"/>
    <x v="0"/>
    <x v="2"/>
    <n v="135428"/>
    <s v="RENT"/>
    <n v="0.4"/>
    <n v="0.51"/>
    <n v="3543.54"/>
    <n v="0"/>
    <n v="45"/>
    <n v="8171.73"/>
    <n v="23165.73"/>
    <n v="-11450.46"/>
    <n v="0"/>
    <x v="1"/>
    <s v="LOW"/>
    <n v="13619.55"/>
    <n v="-0.76366946778711475"/>
    <s v="NORMAL"/>
  </r>
  <r>
    <s v="L0545"/>
    <x v="140"/>
    <s v="B0545"/>
    <x v="8"/>
    <n v="24499"/>
    <n v="19.399999999999999"/>
    <n v="60"/>
    <x v="0"/>
    <x v="1"/>
    <x v="3"/>
    <n v="84353"/>
    <s v="RENT"/>
    <n v="0.2"/>
    <n v="0.9"/>
    <n v="29251.81"/>
    <n v="0"/>
    <n v="49"/>
    <n v="23764.03"/>
    <n v="48263.03"/>
    <n v="4752.8100000000013"/>
    <n v="0"/>
    <x v="0"/>
    <s v="HIGH"/>
    <n v="39606.716699999997"/>
    <n v="0.19400016327197034"/>
    <s v="HIGH RISK"/>
  </r>
  <r>
    <s v="L0546"/>
    <x v="432"/>
    <s v="B0546"/>
    <x v="4"/>
    <n v="24040"/>
    <n v="24.1"/>
    <n v="60"/>
    <x v="1"/>
    <x v="5"/>
    <x v="0"/>
    <n v="79996"/>
    <s v="OWN"/>
    <n v="0.34"/>
    <n v="0.51"/>
    <n v="3719.68"/>
    <n v="0"/>
    <n v="49"/>
    <n v="28968.2"/>
    <n v="53008.2"/>
    <n v="-20320.32"/>
    <n v="0"/>
    <x v="1"/>
    <s v="MEDIUM"/>
    <n v="48280.333299999998"/>
    <n v="-0.84527121464226285"/>
    <s v="NORMAL"/>
  </r>
  <r>
    <s v="L0547"/>
    <x v="266"/>
    <s v="B0547"/>
    <x v="2"/>
    <n v="17959"/>
    <n v="19.399999999999999"/>
    <n v="60"/>
    <x v="0"/>
    <x v="5"/>
    <x v="1"/>
    <n v="44031"/>
    <s v="OWN"/>
    <n v="0.25"/>
    <n v="0.61"/>
    <n v="21443.05"/>
    <n v="0"/>
    <n v="35"/>
    <n v="17420.23"/>
    <n v="35379.229999999996"/>
    <n v="3484.0499999999993"/>
    <n v="0"/>
    <x v="0"/>
    <s v="MEDIUM"/>
    <n v="29033.716700000001"/>
    <n v="0.19400022272955061"/>
    <s v="NORMAL"/>
  </r>
  <r>
    <s v="L0548"/>
    <x v="211"/>
    <s v="B0548"/>
    <x v="0"/>
    <n v="7099"/>
    <n v="22.3"/>
    <n v="60"/>
    <x v="3"/>
    <x v="5"/>
    <x v="3"/>
    <n v="110072"/>
    <s v="OWN"/>
    <n v="0.44"/>
    <n v="0.51"/>
    <n v="1756.33"/>
    <n v="874.52"/>
    <n v="45"/>
    <n v="7915.3850000000011"/>
    <n v="15014.385000000002"/>
    <n v="-4468.1499999999996"/>
    <n v="1"/>
    <x v="2"/>
    <s v="MEDIUM"/>
    <n v="13192.308300000001"/>
    <n v="-0.62940555007747567"/>
    <s v="HIGH RISK"/>
  </r>
  <r>
    <s v="L0549"/>
    <x v="383"/>
    <s v="B0549"/>
    <x v="0"/>
    <n v="20576"/>
    <n v="5"/>
    <n v="60"/>
    <x v="0"/>
    <x v="1"/>
    <x v="0"/>
    <n v="95982"/>
    <s v="MORTGAGE"/>
    <n v="0.48"/>
    <n v="0.65"/>
    <n v="21604.799999999999"/>
    <n v="0"/>
    <n v="46"/>
    <n v="5144"/>
    <n v="25720"/>
    <n v="1028.7999999999993"/>
    <n v="0"/>
    <x v="0"/>
    <s v="HIGH"/>
    <n v="8573.3333000000002"/>
    <n v="4.9999999999999968E-2"/>
    <s v="HIGH RISK"/>
  </r>
  <r>
    <s v="L0550"/>
    <x v="420"/>
    <s v="B0550"/>
    <x v="5"/>
    <n v="36946"/>
    <n v="19.399999999999999"/>
    <n v="60"/>
    <x v="0"/>
    <x v="2"/>
    <x v="2"/>
    <n v="66683"/>
    <s v="MORTGAGE"/>
    <n v="0.45"/>
    <n v="0.73"/>
    <n v="44113.52"/>
    <n v="0"/>
    <n v="39"/>
    <n v="35837.619999999995"/>
    <n v="72783.62"/>
    <n v="7167.5199999999968"/>
    <n v="0"/>
    <x v="0"/>
    <s v="VERY HIGH"/>
    <n v="59729.366699999999"/>
    <n v="0.1939998917338818"/>
    <s v="HIGH RISK"/>
  </r>
  <r>
    <s v="L0551"/>
    <x v="433"/>
    <s v="B0551"/>
    <x v="3"/>
    <n v="7116"/>
    <n v="21.6"/>
    <n v="60"/>
    <x v="1"/>
    <x v="0"/>
    <x v="4"/>
    <n v="144091"/>
    <s v="OWN"/>
    <n v="0.21"/>
    <n v="0.86"/>
    <n v="3149.61"/>
    <n v="0"/>
    <n v="37"/>
    <n v="7685.28"/>
    <n v="14801.279999999999"/>
    <n v="-3966.39"/>
    <n v="0"/>
    <x v="1"/>
    <s v="LOW"/>
    <n v="12808.8"/>
    <n v="-0.55739038785834738"/>
    <s v="HIGH RISK"/>
  </r>
  <r>
    <s v="L0552"/>
    <x v="434"/>
    <s v="B0552"/>
    <x v="8"/>
    <n v="16563"/>
    <n v="5.8"/>
    <n v="36"/>
    <x v="1"/>
    <x v="0"/>
    <x v="1"/>
    <n v="147797"/>
    <s v="RENT"/>
    <n v="0.18"/>
    <n v="0.65"/>
    <n v="6135.41"/>
    <n v="0"/>
    <n v="28"/>
    <n v="2881.962"/>
    <n v="19444.962"/>
    <n v="-10427.59"/>
    <n v="0"/>
    <x v="1"/>
    <s v="LOW"/>
    <n v="8005.4555"/>
    <n v="-0.6295713336955866"/>
    <s v="NORMAL"/>
  </r>
  <r>
    <s v="L0553"/>
    <x v="288"/>
    <s v="B0553"/>
    <x v="2"/>
    <n v="27788"/>
    <n v="22.4"/>
    <n v="36"/>
    <x v="0"/>
    <x v="6"/>
    <x v="4"/>
    <n v="47618"/>
    <s v="OWN"/>
    <n v="0.28999999999999998"/>
    <n v="0.82"/>
    <n v="34012.51"/>
    <n v="0"/>
    <n v="29"/>
    <n v="18673.536"/>
    <n v="46461.536"/>
    <n v="6224.510000000002"/>
    <n v="0"/>
    <x v="0"/>
    <s v="VERY HIGH"/>
    <n v="51870.933299999997"/>
    <n v="0.22399992802648633"/>
    <s v="HIGH RISK"/>
  </r>
  <r>
    <s v="L0554"/>
    <x v="435"/>
    <s v="B0554"/>
    <x v="2"/>
    <n v="27928"/>
    <n v="10.1"/>
    <n v="36"/>
    <x v="1"/>
    <x v="0"/>
    <x v="2"/>
    <n v="36587"/>
    <s v="RENT"/>
    <n v="0.1"/>
    <n v="0.57999999999999996"/>
    <n v="8685.1299999999992"/>
    <n v="0"/>
    <n v="40"/>
    <n v="8462.1839999999993"/>
    <n v="36390.184000000001"/>
    <n v="-19242.870000000003"/>
    <n v="0"/>
    <x v="1"/>
    <s v="LOW"/>
    <n v="23506.066699999999"/>
    <n v="-0.68901711543970223"/>
    <s v="NORMAL"/>
  </r>
  <r>
    <s v="L0555"/>
    <x v="379"/>
    <s v="B0555"/>
    <x v="6"/>
    <n v="37336"/>
    <n v="18.3"/>
    <n v="36"/>
    <x v="0"/>
    <x v="3"/>
    <x v="3"/>
    <n v="92790"/>
    <s v="RENT"/>
    <n v="0.11"/>
    <n v="0.84"/>
    <n v="44168.49"/>
    <n v="0"/>
    <n v="39"/>
    <n v="20497.464"/>
    <n v="57833.464"/>
    <n v="6832.489999999998"/>
    <n v="0"/>
    <x v="0"/>
    <s v="VERY HIGH"/>
    <n v="56937.4"/>
    <n v="0.18300005356760227"/>
    <s v="HIGH RISK"/>
  </r>
  <r>
    <s v="L0556"/>
    <x v="436"/>
    <s v="B0556"/>
    <x v="7"/>
    <n v="10847"/>
    <n v="21"/>
    <n v="36"/>
    <x v="3"/>
    <x v="5"/>
    <x v="3"/>
    <n v="61480"/>
    <s v="RENT"/>
    <n v="0.32"/>
    <n v="0.61"/>
    <n v="1374.33"/>
    <n v="4848.7"/>
    <n v="59"/>
    <n v="6833.61"/>
    <n v="17680.61"/>
    <n v="-4623.97"/>
    <n v="1"/>
    <x v="2"/>
    <s v="MEDIUM"/>
    <n v="18982.25"/>
    <n v="-0.42629021849359272"/>
    <s v="NORMAL"/>
  </r>
  <r>
    <s v="L0557"/>
    <x v="333"/>
    <s v="B0557"/>
    <x v="3"/>
    <n v="27155"/>
    <n v="18.3"/>
    <n v="36"/>
    <x v="1"/>
    <x v="1"/>
    <x v="2"/>
    <n v="128530"/>
    <s v="OWN"/>
    <n v="0.31"/>
    <n v="0.56000000000000005"/>
    <n v="9838.16"/>
    <n v="0"/>
    <n v="47"/>
    <n v="14908.094999999999"/>
    <n v="42063.095000000001"/>
    <n v="-17316.84"/>
    <n v="0"/>
    <x v="1"/>
    <s v="HIGH"/>
    <n v="41411.375"/>
    <n v="-0.63770355367335663"/>
    <s v="NORMAL"/>
  </r>
  <r>
    <s v="L0558"/>
    <x v="437"/>
    <s v="B0558"/>
    <x v="2"/>
    <n v="15135"/>
    <n v="6.8"/>
    <n v="60"/>
    <x v="0"/>
    <x v="0"/>
    <x v="2"/>
    <n v="50527"/>
    <s v="OWN"/>
    <n v="0.5"/>
    <n v="0.57999999999999996"/>
    <n v="16164.18"/>
    <n v="0"/>
    <n v="62"/>
    <n v="5145.9000000000005"/>
    <n v="20280.900000000001"/>
    <n v="1029.1800000000003"/>
    <n v="0"/>
    <x v="0"/>
    <s v="LOW"/>
    <n v="8576.5"/>
    <n v="6.8000000000000019E-2"/>
    <s v="HIGH RISK"/>
  </r>
  <r>
    <s v="L0559"/>
    <x v="249"/>
    <s v="B0559"/>
    <x v="1"/>
    <n v="18774"/>
    <n v="16.899999999999999"/>
    <n v="60"/>
    <x v="1"/>
    <x v="0"/>
    <x v="1"/>
    <n v="53569"/>
    <s v="RENT"/>
    <n v="0.18"/>
    <n v="0.57999999999999996"/>
    <n v="2344.62"/>
    <n v="0"/>
    <n v="60"/>
    <n v="15864.029999999999"/>
    <n v="34638.03"/>
    <n v="-16429.38"/>
    <n v="0"/>
    <x v="1"/>
    <s v="LOW"/>
    <n v="26440.05"/>
    <n v="-0.87511345477788438"/>
    <s v="NORMAL"/>
  </r>
  <r>
    <s v="L0560"/>
    <x v="239"/>
    <s v="B0560"/>
    <x v="2"/>
    <n v="2742"/>
    <n v="16"/>
    <n v="36"/>
    <x v="0"/>
    <x v="1"/>
    <x v="0"/>
    <n v="41151"/>
    <s v="MORTGAGE"/>
    <n v="0.2"/>
    <n v="0.73"/>
    <n v="3180.72"/>
    <n v="0"/>
    <n v="40"/>
    <n v="1316.16"/>
    <n v="4058.16"/>
    <n v="438.7199999999998"/>
    <n v="0"/>
    <x v="0"/>
    <s v="HIGH"/>
    <n v="3656"/>
    <n v="0.15999999999999992"/>
    <s v="NORMAL"/>
  </r>
  <r>
    <s v="L0561"/>
    <x v="438"/>
    <s v="B0561"/>
    <x v="6"/>
    <n v="19309"/>
    <n v="23"/>
    <n v="36"/>
    <x v="0"/>
    <x v="2"/>
    <x v="4"/>
    <n v="101094"/>
    <s v="MORTGAGE"/>
    <n v="0.15"/>
    <n v="0.88"/>
    <n v="23750.07"/>
    <n v="0"/>
    <n v="39"/>
    <n v="13323.21"/>
    <n v="32632.21"/>
    <n v="4441.07"/>
    <n v="0"/>
    <x v="0"/>
    <s v="VERY HIGH"/>
    <n v="37008.916700000002"/>
    <n v="0.22999999999999998"/>
    <s v="HIGH RISK"/>
  </r>
  <r>
    <s v="L0562"/>
    <x v="439"/>
    <s v="B0562"/>
    <x v="4"/>
    <n v="1619"/>
    <n v="13.1"/>
    <n v="60"/>
    <x v="2"/>
    <x v="3"/>
    <x v="4"/>
    <n v="89174"/>
    <s v="MORTGAGE"/>
    <n v="0.47"/>
    <n v="0.54"/>
    <n v="0"/>
    <n v="0"/>
    <n v="47"/>
    <n v="1060.4449999999999"/>
    <n v="2679.4449999999997"/>
    <n v="-1619"/>
    <n v="0"/>
    <x v="2"/>
    <s v="VERY HIGH"/>
    <n v="1767.4083000000001"/>
    <n v="-1"/>
    <s v="HIGH RISK"/>
  </r>
  <r>
    <s v="L0563"/>
    <x v="169"/>
    <s v="B0563"/>
    <x v="9"/>
    <n v="18658"/>
    <n v="11.4"/>
    <n v="60"/>
    <x v="1"/>
    <x v="0"/>
    <x v="3"/>
    <n v="74739"/>
    <s v="RENT"/>
    <n v="0.41"/>
    <n v="0.82"/>
    <n v="7535.32"/>
    <n v="0"/>
    <n v="33"/>
    <n v="10635.060000000001"/>
    <n v="29293.06"/>
    <n v="-11122.68"/>
    <n v="0"/>
    <x v="1"/>
    <s v="LOW"/>
    <n v="17725.099999999999"/>
    <n v="-0.59613463393718513"/>
    <s v="HIGH RISK"/>
  </r>
  <r>
    <s v="L0564"/>
    <x v="283"/>
    <s v="B0564"/>
    <x v="9"/>
    <n v="35707"/>
    <n v="20"/>
    <n v="60"/>
    <x v="0"/>
    <x v="0"/>
    <x v="3"/>
    <n v="62954"/>
    <s v="OWN"/>
    <n v="0.43"/>
    <n v="0.79"/>
    <n v="42848.4"/>
    <n v="0"/>
    <n v="46"/>
    <n v="35707"/>
    <n v="71414"/>
    <n v="7141.4000000000015"/>
    <n v="0"/>
    <x v="0"/>
    <s v="LOW"/>
    <n v="59511.666700000002"/>
    <n v="0.20000000000000004"/>
    <s v="HIGH RISK"/>
  </r>
  <r>
    <s v="L0565"/>
    <x v="440"/>
    <s v="B0565"/>
    <x v="1"/>
    <n v="21337"/>
    <n v="13.3"/>
    <n v="36"/>
    <x v="0"/>
    <x v="0"/>
    <x v="1"/>
    <n v="142984"/>
    <s v="RENT"/>
    <n v="0.46"/>
    <n v="0.89"/>
    <n v="24174.82"/>
    <n v="0"/>
    <n v="61"/>
    <n v="8513.4630000000016"/>
    <n v="29850.463000000003"/>
    <n v="2837.8199999999997"/>
    <n v="0"/>
    <x v="0"/>
    <s v="LOW"/>
    <n v="23648.508300000001"/>
    <n v="0.13299995313305524"/>
    <s v="HIGH RISK"/>
  </r>
  <r>
    <s v="L0566"/>
    <x v="441"/>
    <s v="B0566"/>
    <x v="1"/>
    <n v="17001"/>
    <n v="17.899999999999999"/>
    <n v="60"/>
    <x v="0"/>
    <x v="6"/>
    <x v="2"/>
    <n v="142863"/>
    <s v="MORTGAGE"/>
    <n v="0.31"/>
    <n v="0.61"/>
    <n v="20044.18"/>
    <n v="0"/>
    <n v="59"/>
    <n v="15215.894999999999"/>
    <n v="32216.894999999997"/>
    <n v="3043.1800000000003"/>
    <n v="0"/>
    <x v="0"/>
    <s v="VERY HIGH"/>
    <n v="25359.825000000001"/>
    <n v="0.17900005882006942"/>
    <s v="NORMAL"/>
  </r>
  <r>
    <s v="L0567"/>
    <x v="287"/>
    <s v="B0567"/>
    <x v="5"/>
    <n v="1968"/>
    <n v="17.899999999999999"/>
    <n v="36"/>
    <x v="2"/>
    <x v="4"/>
    <x v="4"/>
    <n v="139373"/>
    <s v="OWN"/>
    <n v="0.28000000000000003"/>
    <n v="0.7"/>
    <n v="0"/>
    <n v="0"/>
    <n v="57"/>
    <n v="1056.816"/>
    <n v="3024.8159999999998"/>
    <n v="-1968"/>
    <n v="0"/>
    <x v="2"/>
    <s v="LOW"/>
    <n v="2935.6"/>
    <n v="-1"/>
    <s v="NORMAL"/>
  </r>
  <r>
    <s v="L0568"/>
    <x v="442"/>
    <s v="B0568"/>
    <x v="9"/>
    <n v="26892"/>
    <n v="22.8"/>
    <n v="36"/>
    <x v="0"/>
    <x v="0"/>
    <x v="1"/>
    <n v="65303"/>
    <s v="RENT"/>
    <n v="0.23"/>
    <n v="0.92"/>
    <n v="33023.379999999997"/>
    <n v="0"/>
    <n v="54"/>
    <n v="18394.128000000001"/>
    <n v="45286.127999999997"/>
    <n v="6131.3799999999974"/>
    <n v="0"/>
    <x v="0"/>
    <s v="LOW"/>
    <n v="51094.8"/>
    <n v="0.22800014874312052"/>
    <s v="HIGH RISK"/>
  </r>
  <r>
    <s v="L0569"/>
    <x v="443"/>
    <s v="B0569"/>
    <x v="4"/>
    <n v="26619"/>
    <n v="17"/>
    <n v="60"/>
    <x v="0"/>
    <x v="0"/>
    <x v="3"/>
    <n v="64700"/>
    <s v="RENT"/>
    <n v="0.34"/>
    <n v="0.8"/>
    <n v="31144.23"/>
    <n v="0"/>
    <n v="40"/>
    <n v="22626.149999999998"/>
    <n v="49245.149999999994"/>
    <n v="4525.2299999999996"/>
    <n v="0"/>
    <x v="0"/>
    <s v="LOW"/>
    <n v="37710.25"/>
    <n v="0.16999999999999998"/>
    <s v="NORMAL"/>
  </r>
  <r>
    <s v="L0570"/>
    <x v="197"/>
    <s v="B0570"/>
    <x v="9"/>
    <n v="1281"/>
    <n v="15"/>
    <n v="60"/>
    <x v="0"/>
    <x v="4"/>
    <x v="3"/>
    <n v="123036"/>
    <s v="MORTGAGE"/>
    <n v="0.28000000000000003"/>
    <n v="0.67"/>
    <n v="1473.15"/>
    <n v="0"/>
    <n v="48"/>
    <n v="960.75"/>
    <n v="2241.75"/>
    <n v="192.15000000000009"/>
    <n v="0"/>
    <x v="0"/>
    <s v="LOW"/>
    <n v="1601.25"/>
    <n v="0.15000000000000008"/>
    <s v="NORMAL"/>
  </r>
  <r>
    <s v="L0571"/>
    <x v="444"/>
    <s v="B0571"/>
    <x v="7"/>
    <n v="28420"/>
    <n v="7.8"/>
    <n v="36"/>
    <x v="0"/>
    <x v="3"/>
    <x v="4"/>
    <n v="97568"/>
    <s v="RENT"/>
    <n v="0.28000000000000003"/>
    <n v="0.56000000000000005"/>
    <n v="30636.76"/>
    <n v="0"/>
    <n v="58"/>
    <n v="6650.2800000000016"/>
    <n v="35070.28"/>
    <n v="2216.7599999999984"/>
    <n v="0"/>
    <x v="0"/>
    <s v="VERY HIGH"/>
    <n v="18473.0003"/>
    <n v="7.7999999999999944E-2"/>
    <s v="NORMAL"/>
  </r>
  <r>
    <s v="L0572"/>
    <x v="433"/>
    <s v="B0572"/>
    <x v="3"/>
    <n v="16360"/>
    <n v="7.3"/>
    <n v="60"/>
    <x v="0"/>
    <x v="5"/>
    <x v="3"/>
    <n v="96788"/>
    <s v="OWN"/>
    <n v="0.47"/>
    <n v="0.62"/>
    <n v="17554.28"/>
    <n v="0"/>
    <n v="37"/>
    <n v="5971.4000000000005"/>
    <n v="22331.4"/>
    <n v="1194.2799999999988"/>
    <n v="0"/>
    <x v="0"/>
    <s v="MEDIUM"/>
    <n v="9952.3333000000002"/>
    <n v="7.2999999999999926E-2"/>
    <s v="HIGH RISK"/>
  </r>
  <r>
    <s v="L0573"/>
    <x v="445"/>
    <s v="B0573"/>
    <x v="9"/>
    <n v="2058"/>
    <n v="8.1"/>
    <n v="60"/>
    <x v="0"/>
    <x v="0"/>
    <x v="3"/>
    <n v="101045"/>
    <s v="MORTGAGE"/>
    <n v="0.49"/>
    <n v="0.76"/>
    <n v="2224.6999999999998"/>
    <n v="0"/>
    <n v="53"/>
    <n v="833.4899999999999"/>
    <n v="2891.49"/>
    <n v="166.69999999999982"/>
    <n v="0"/>
    <x v="0"/>
    <s v="LOW"/>
    <n v="1389.15"/>
    <n v="8.1000971817298262E-2"/>
    <s v="HIGH RISK"/>
  </r>
  <r>
    <s v="L0574"/>
    <x v="255"/>
    <s v="B0574"/>
    <x v="0"/>
    <n v="21677"/>
    <n v="8.4"/>
    <n v="36"/>
    <x v="0"/>
    <x v="4"/>
    <x v="0"/>
    <n v="67842"/>
    <s v="MORTGAGE"/>
    <n v="0.42"/>
    <n v="0.82"/>
    <n v="23497.87"/>
    <n v="0"/>
    <n v="27"/>
    <n v="5462.6040000000003"/>
    <n v="27139.603999999999"/>
    <n v="1820.869999999999"/>
    <n v="0"/>
    <x v="0"/>
    <s v="LOW"/>
    <n v="15173.900100000001"/>
    <n v="8.4000092263689582E-2"/>
    <s v="HIGH RISK"/>
  </r>
  <r>
    <s v="L0575"/>
    <x v="446"/>
    <s v="B0575"/>
    <x v="5"/>
    <n v="11724"/>
    <n v="17.8"/>
    <n v="60"/>
    <x v="0"/>
    <x v="4"/>
    <x v="2"/>
    <n v="43900"/>
    <s v="OWN"/>
    <n v="0.4"/>
    <n v="0.56000000000000005"/>
    <n v="13810.87"/>
    <n v="0"/>
    <n v="54"/>
    <n v="10434.360000000002"/>
    <n v="22158.36"/>
    <n v="2086.8700000000008"/>
    <n v="0"/>
    <x v="0"/>
    <s v="LOW"/>
    <n v="17390.599999999999"/>
    <n v="0.17799982940975784"/>
    <s v="NORMAL"/>
  </r>
  <r>
    <s v="L0576"/>
    <x v="447"/>
    <s v="B0576"/>
    <x v="6"/>
    <n v="29404"/>
    <n v="19.8"/>
    <n v="36"/>
    <x v="3"/>
    <x v="0"/>
    <x v="3"/>
    <n v="110059"/>
    <s v="MORTGAGE"/>
    <n v="0.37"/>
    <n v="0.77"/>
    <n v="5146.2"/>
    <n v="7396.67"/>
    <n v="49"/>
    <n v="17465.976000000002"/>
    <n v="46869.976000000002"/>
    <n v="-16861.13"/>
    <n v="1"/>
    <x v="2"/>
    <s v="LOW"/>
    <n v="48516.6"/>
    <n v="-0.57342980546864375"/>
    <s v="NORMAL"/>
  </r>
  <r>
    <s v="L0577"/>
    <x v="448"/>
    <s v="B0577"/>
    <x v="1"/>
    <n v="38946"/>
    <n v="15.6"/>
    <n v="36"/>
    <x v="0"/>
    <x v="0"/>
    <x v="0"/>
    <n v="31881"/>
    <s v="RENT"/>
    <n v="0.17"/>
    <n v="0.75"/>
    <n v="45021.58"/>
    <n v="0"/>
    <n v="30"/>
    <n v="18226.727999999999"/>
    <n v="57172.728000000003"/>
    <n v="6075.5800000000017"/>
    <n v="0"/>
    <x v="0"/>
    <s v="LOW"/>
    <n v="50629.8"/>
    <n v="0.15600010270631134"/>
    <s v="NORMAL"/>
  </r>
  <r>
    <s v="L0578"/>
    <x v="449"/>
    <s v="B0578"/>
    <x v="7"/>
    <n v="30856"/>
    <n v="21.6"/>
    <n v="60"/>
    <x v="1"/>
    <x v="1"/>
    <x v="1"/>
    <n v="63037"/>
    <s v="RENT"/>
    <n v="0.12"/>
    <n v="0.73"/>
    <n v="7333.61"/>
    <n v="0"/>
    <n v="37"/>
    <n v="33324.480000000003"/>
    <n v="64180.480000000003"/>
    <n v="-23522.39"/>
    <n v="0"/>
    <x v="1"/>
    <s v="HIGH"/>
    <n v="55540.800000000003"/>
    <n v="-0.76232791029297375"/>
    <s v="NORMAL"/>
  </r>
  <r>
    <s v="L0579"/>
    <x v="145"/>
    <s v="B0579"/>
    <x v="1"/>
    <n v="10200"/>
    <n v="24.8"/>
    <n v="36"/>
    <x v="1"/>
    <x v="0"/>
    <x v="3"/>
    <n v="31630"/>
    <s v="MORTGAGE"/>
    <n v="0.38"/>
    <n v="0.81"/>
    <n v="2118.66"/>
    <n v="0"/>
    <n v="49"/>
    <n v="7588.7999999999993"/>
    <n v="17788.8"/>
    <n v="-8081.34"/>
    <n v="0"/>
    <x v="1"/>
    <s v="LOW"/>
    <n v="21080"/>
    <n v="-0.79228823529411763"/>
    <s v="HIGH RISK"/>
  </r>
  <r>
    <s v="L0580"/>
    <x v="168"/>
    <s v="B0580"/>
    <x v="5"/>
    <n v="34997"/>
    <n v="21.4"/>
    <n v="36"/>
    <x v="1"/>
    <x v="0"/>
    <x v="1"/>
    <n v="50789"/>
    <s v="OWN"/>
    <n v="0.39"/>
    <n v="0.88"/>
    <n v="15275.01"/>
    <n v="0"/>
    <n v="42"/>
    <n v="22468.073999999997"/>
    <n v="57465.073999999993"/>
    <n v="-19721.989999999998"/>
    <n v="0"/>
    <x v="1"/>
    <s v="LOW"/>
    <n v="62411.316700000003"/>
    <n v="-0.5635337314626967"/>
    <s v="HIGH RISK"/>
  </r>
  <r>
    <s v="L0581"/>
    <x v="101"/>
    <s v="B0581"/>
    <x v="2"/>
    <n v="26611"/>
    <n v="18.899999999999999"/>
    <n v="60"/>
    <x v="3"/>
    <x v="4"/>
    <x v="3"/>
    <n v="118059"/>
    <s v="RENT"/>
    <n v="0.12"/>
    <n v="0.65"/>
    <n v="3671.34"/>
    <n v="13658.29"/>
    <n v="37"/>
    <n v="25147.395"/>
    <n v="51758.395000000004"/>
    <n v="-9281.369999999999"/>
    <n v="1"/>
    <x v="2"/>
    <s v="LOW"/>
    <n v="41912.324999999997"/>
    <n v="-0.34877945210627181"/>
    <s v="NORMAL"/>
  </r>
  <r>
    <s v="L0582"/>
    <x v="450"/>
    <s v="B0582"/>
    <x v="7"/>
    <n v="36057"/>
    <n v="15.6"/>
    <n v="60"/>
    <x v="0"/>
    <x v="1"/>
    <x v="4"/>
    <n v="113494"/>
    <s v="OWN"/>
    <n v="0.47"/>
    <n v="0.9"/>
    <n v="41681.89"/>
    <n v="0"/>
    <n v="32"/>
    <n v="28124.460000000003"/>
    <n v="64181.460000000006"/>
    <n v="5624.8899999999994"/>
    <n v="0"/>
    <x v="0"/>
    <s v="HIGH"/>
    <n v="46874.1"/>
    <n v="0.15599994453226834"/>
    <s v="HIGH RISK"/>
  </r>
  <r>
    <s v="L0583"/>
    <x v="427"/>
    <s v="B0583"/>
    <x v="8"/>
    <n v="2239"/>
    <n v="14"/>
    <n v="60"/>
    <x v="0"/>
    <x v="5"/>
    <x v="0"/>
    <n v="76151"/>
    <s v="RENT"/>
    <n v="0.14000000000000001"/>
    <n v="0.56999999999999995"/>
    <n v="2552.46"/>
    <n v="0"/>
    <n v="34"/>
    <n v="1567.3"/>
    <n v="3806.3"/>
    <n v="313.46000000000004"/>
    <n v="0"/>
    <x v="0"/>
    <s v="MEDIUM"/>
    <n v="2612.1667000000002"/>
    <n v="0.14000000000000001"/>
    <s v="NORMAL"/>
  </r>
  <r>
    <s v="L0584"/>
    <x v="119"/>
    <s v="B0584"/>
    <x v="7"/>
    <n v="39138"/>
    <n v="6.7"/>
    <n v="36"/>
    <x v="0"/>
    <x v="1"/>
    <x v="0"/>
    <n v="78920"/>
    <s v="RENT"/>
    <n v="0.21"/>
    <n v="0.57999999999999996"/>
    <n v="41760.25"/>
    <n v="0"/>
    <n v="43"/>
    <n v="7866.7380000000012"/>
    <n v="47004.737999999998"/>
    <n v="2622.25"/>
    <n v="0"/>
    <x v="0"/>
    <s v="HIGH"/>
    <n v="21852.052500000002"/>
    <n v="6.700010220246308E-2"/>
    <s v="NORMAL"/>
  </r>
  <r>
    <s v="L0585"/>
    <x v="451"/>
    <s v="B0585"/>
    <x v="5"/>
    <n v="1125"/>
    <n v="13"/>
    <n v="36"/>
    <x v="0"/>
    <x v="5"/>
    <x v="4"/>
    <n v="139388"/>
    <s v="MORTGAGE"/>
    <n v="0.37"/>
    <n v="0.62"/>
    <n v="1271.25"/>
    <n v="0"/>
    <n v="60"/>
    <n v="438.75"/>
    <n v="1563.75"/>
    <n v="146.25"/>
    <n v="0"/>
    <x v="0"/>
    <s v="MEDIUM"/>
    <n v="1218.75"/>
    <n v="0.13"/>
    <s v="NORMAL"/>
  </r>
  <r>
    <s v="L0586"/>
    <x v="452"/>
    <s v="B0586"/>
    <x v="6"/>
    <n v="24857"/>
    <n v="23.2"/>
    <n v="60"/>
    <x v="1"/>
    <x v="1"/>
    <x v="2"/>
    <n v="97231"/>
    <s v="MORTGAGE"/>
    <n v="0.17"/>
    <n v="0.55000000000000004"/>
    <n v="7569.96"/>
    <n v="0"/>
    <n v="48"/>
    <n v="28834.120000000006"/>
    <n v="53691.12000000001"/>
    <n v="-17287.04"/>
    <n v="0"/>
    <x v="1"/>
    <s v="HIGH"/>
    <n v="48056.866699999999"/>
    <n v="-0.69545962907832803"/>
    <s v="NORMAL"/>
  </r>
  <r>
    <s v="L0587"/>
    <x v="453"/>
    <s v="B0587"/>
    <x v="7"/>
    <n v="16398"/>
    <n v="21.2"/>
    <n v="36"/>
    <x v="1"/>
    <x v="0"/>
    <x v="0"/>
    <n v="147946"/>
    <s v="OWN"/>
    <n v="0.12"/>
    <n v="0.6"/>
    <n v="1868.19"/>
    <n v="0"/>
    <n v="59"/>
    <n v="10429.127999999999"/>
    <n v="26827.127999999997"/>
    <n v="-14529.81"/>
    <n v="0"/>
    <x v="1"/>
    <s v="LOW"/>
    <n v="28969.8"/>
    <n v="-0.88607208196121479"/>
    <s v="NORMAL"/>
  </r>
  <r>
    <s v="L0588"/>
    <x v="66"/>
    <s v="B0588"/>
    <x v="5"/>
    <n v="7638"/>
    <n v="9.3000000000000007"/>
    <n v="60"/>
    <x v="3"/>
    <x v="2"/>
    <x v="1"/>
    <n v="110357"/>
    <s v="MORTGAGE"/>
    <n v="0.23"/>
    <n v="0.55000000000000004"/>
    <n v="2378.77"/>
    <n v="1767.84"/>
    <n v="37"/>
    <n v="3551.67"/>
    <n v="11189.67"/>
    <n v="-3491.3900000000003"/>
    <n v="1"/>
    <x v="2"/>
    <s v="VERY HIGH"/>
    <n v="5919.45"/>
    <n v="-0.45710788164440957"/>
    <s v="NORMAL"/>
  </r>
  <r>
    <s v="L0589"/>
    <x v="454"/>
    <s v="B0589"/>
    <x v="4"/>
    <n v="7570"/>
    <n v="14.3"/>
    <n v="60"/>
    <x v="0"/>
    <x v="0"/>
    <x v="0"/>
    <n v="33262"/>
    <s v="RENT"/>
    <n v="0.41"/>
    <n v="0.87"/>
    <n v="8652.51"/>
    <n v="0"/>
    <n v="38"/>
    <n v="5412.55"/>
    <n v="12982.55"/>
    <n v="1082.5100000000002"/>
    <n v="0"/>
    <x v="0"/>
    <s v="LOW"/>
    <n v="9020.9166999999998"/>
    <n v="0.14300000000000002"/>
    <s v="HIGH RISK"/>
  </r>
  <r>
    <s v="L0590"/>
    <x v="10"/>
    <s v="B0590"/>
    <x v="3"/>
    <n v="4249"/>
    <n v="21.3"/>
    <n v="36"/>
    <x v="3"/>
    <x v="4"/>
    <x v="2"/>
    <n v="96981"/>
    <s v="RENT"/>
    <n v="0.27"/>
    <n v="0.56000000000000005"/>
    <n v="1578.6"/>
    <n v="1006.52"/>
    <n v="36"/>
    <n v="2715.1109999999999"/>
    <n v="6964.1109999999999"/>
    <n v="-1663.88"/>
    <n v="1"/>
    <x v="2"/>
    <s v="LOW"/>
    <n v="7541.9750000000004"/>
    <n v="-0.39159331607437048"/>
    <s v="NORMAL"/>
  </r>
  <r>
    <s v="L0591"/>
    <x v="455"/>
    <s v="B0591"/>
    <x v="9"/>
    <n v="10110"/>
    <n v="6.3"/>
    <n v="60"/>
    <x v="0"/>
    <x v="1"/>
    <x v="1"/>
    <n v="111972"/>
    <s v="OWN"/>
    <n v="0.36"/>
    <n v="0.84"/>
    <n v="10746.93"/>
    <n v="0"/>
    <n v="59"/>
    <n v="3184.6499999999996"/>
    <n v="13294.65"/>
    <n v="636.93000000000029"/>
    <n v="0"/>
    <x v="0"/>
    <s v="HIGH"/>
    <n v="5307.75"/>
    <n v="6.3000000000000028E-2"/>
    <s v="HIGH RISK"/>
  </r>
  <r>
    <s v="L0592"/>
    <x v="200"/>
    <s v="B0592"/>
    <x v="4"/>
    <n v="14605"/>
    <n v="12.7"/>
    <n v="36"/>
    <x v="0"/>
    <x v="4"/>
    <x v="1"/>
    <n v="105485"/>
    <s v="OWN"/>
    <n v="0.33"/>
    <n v="0.52"/>
    <n v="16459.84"/>
    <n v="0"/>
    <n v="36"/>
    <n v="5564.5050000000001"/>
    <n v="20169.505000000001"/>
    <n v="1854.8400000000001"/>
    <n v="0"/>
    <x v="0"/>
    <s v="LOW"/>
    <n v="15456.9583"/>
    <n v="0.12700034234851079"/>
    <s v="NORMAL"/>
  </r>
  <r>
    <s v="L0593"/>
    <x v="456"/>
    <s v="B0593"/>
    <x v="5"/>
    <n v="13115"/>
    <n v="22"/>
    <n v="36"/>
    <x v="0"/>
    <x v="2"/>
    <x v="4"/>
    <n v="84722"/>
    <s v="RENT"/>
    <n v="0.11"/>
    <n v="0.93"/>
    <n v="16000.3"/>
    <n v="0"/>
    <n v="34"/>
    <n v="8655.9"/>
    <n v="21770.9"/>
    <n v="2885.2999999999993"/>
    <n v="0"/>
    <x v="0"/>
    <s v="VERY HIGH"/>
    <n v="24044.166700000002"/>
    <n v="0.21999999999999995"/>
    <s v="HIGH RISK"/>
  </r>
  <r>
    <s v="L0594"/>
    <x v="452"/>
    <s v="B0594"/>
    <x v="0"/>
    <n v="23911"/>
    <n v="13.1"/>
    <n v="60"/>
    <x v="1"/>
    <x v="5"/>
    <x v="3"/>
    <n v="119499"/>
    <s v="MORTGAGE"/>
    <n v="0.5"/>
    <n v="0.82"/>
    <n v="5871.91"/>
    <n v="0"/>
    <n v="48"/>
    <n v="15661.705"/>
    <n v="39572.705000000002"/>
    <n v="-18039.09"/>
    <n v="0"/>
    <x v="1"/>
    <s v="MEDIUM"/>
    <n v="26102.841700000001"/>
    <n v="-0.75442641462088578"/>
    <s v="HIGH RISK"/>
  </r>
  <r>
    <s v="L0595"/>
    <x v="457"/>
    <s v="B0595"/>
    <x v="2"/>
    <n v="39525"/>
    <n v="6.6"/>
    <n v="36"/>
    <x v="0"/>
    <x v="6"/>
    <x v="4"/>
    <n v="80818"/>
    <s v="MORTGAGE"/>
    <n v="0.12"/>
    <n v="0.5"/>
    <n v="42133.65"/>
    <n v="0"/>
    <n v="47"/>
    <n v="7825.9500000000007"/>
    <n v="47350.95"/>
    <n v="2608.6500000000015"/>
    <n v="0"/>
    <x v="0"/>
    <s v="VERY HIGH"/>
    <n v="21738.753100000002"/>
    <n v="6.6000000000000031E-2"/>
    <s v="NORMAL"/>
  </r>
  <r>
    <s v="L0596"/>
    <x v="458"/>
    <s v="B0596"/>
    <x v="9"/>
    <n v="33556"/>
    <n v="15.9"/>
    <n v="60"/>
    <x v="3"/>
    <x v="6"/>
    <x v="3"/>
    <n v="59932"/>
    <s v="OWN"/>
    <n v="0.49"/>
    <n v="0.84"/>
    <n v="8269.1299999999992"/>
    <n v="9226.86"/>
    <n v="54"/>
    <n v="26677.020000000004"/>
    <n v="60233.020000000004"/>
    <n v="-16060.010000000002"/>
    <n v="1"/>
    <x v="2"/>
    <s v="VERY HIGH"/>
    <n v="44461.7"/>
    <n v="-0.47860323042078917"/>
    <s v="HIGH RISK"/>
  </r>
  <r>
    <s v="L0597"/>
    <x v="459"/>
    <s v="B0597"/>
    <x v="0"/>
    <n v="13595"/>
    <n v="22.2"/>
    <n v="36"/>
    <x v="3"/>
    <x v="3"/>
    <x v="4"/>
    <n v="36901"/>
    <s v="OWN"/>
    <n v="0.32"/>
    <n v="0.73"/>
    <n v="5141.99"/>
    <n v="2205.12"/>
    <n v="57"/>
    <n v="9054.27"/>
    <n v="22649.27"/>
    <n v="-6247.89"/>
    <n v="1"/>
    <x v="2"/>
    <s v="VERY HIGH"/>
    <n v="25150.75"/>
    <n v="-0.45957263699889667"/>
    <s v="NORMAL"/>
  </r>
  <r>
    <s v="L0598"/>
    <x v="460"/>
    <s v="B0598"/>
    <x v="6"/>
    <n v="2969"/>
    <n v="16.8"/>
    <n v="36"/>
    <x v="3"/>
    <x v="2"/>
    <x v="3"/>
    <n v="147473"/>
    <s v="RENT"/>
    <n v="0.49"/>
    <n v="0.85"/>
    <n v="760.95"/>
    <n v="303.63"/>
    <n v="30"/>
    <n v="1496.3760000000002"/>
    <n v="4465.3760000000002"/>
    <n v="-1904.42"/>
    <n v="1"/>
    <x v="2"/>
    <s v="VERY HIGH"/>
    <n v="4156.6000000000004"/>
    <n v="-0.64143482654092288"/>
    <s v="HIGH RISK"/>
  </r>
  <r>
    <s v="L0599"/>
    <x v="203"/>
    <s v="B0599"/>
    <x v="1"/>
    <n v="18275"/>
    <n v="9.5"/>
    <n v="36"/>
    <x v="0"/>
    <x v="2"/>
    <x v="0"/>
    <n v="129023"/>
    <s v="RENT"/>
    <n v="0.15"/>
    <n v="0.74"/>
    <n v="20011.12"/>
    <n v="0"/>
    <n v="29"/>
    <n v="5208.375"/>
    <n v="23483.375"/>
    <n v="1736.119999999999"/>
    <n v="0"/>
    <x v="0"/>
    <s v="VERY HIGH"/>
    <n v="14467.7083"/>
    <n v="9.4999726402188733E-2"/>
    <s v="NORMAL"/>
  </r>
  <r>
    <s v="L0600"/>
    <x v="461"/>
    <s v="B0600"/>
    <x v="8"/>
    <n v="5470"/>
    <n v="12.7"/>
    <n v="60"/>
    <x v="3"/>
    <x v="1"/>
    <x v="1"/>
    <n v="38597"/>
    <s v="OWN"/>
    <n v="0.3"/>
    <n v="0.79"/>
    <n v="1347.15"/>
    <n v="2258.6"/>
    <n v="44"/>
    <n v="3473.4500000000003"/>
    <n v="8943.4500000000007"/>
    <n v="-1864.25"/>
    <n v="1"/>
    <x v="2"/>
    <s v="HIGH"/>
    <n v="5789.0833000000002"/>
    <n v="-0.34081352833638023"/>
    <s v="NORMAL"/>
  </r>
  <r>
    <s v="L0601"/>
    <x v="232"/>
    <s v="B0601"/>
    <x v="9"/>
    <n v="11225"/>
    <n v="14"/>
    <n v="36"/>
    <x v="1"/>
    <x v="4"/>
    <x v="3"/>
    <n v="93909"/>
    <s v="RENT"/>
    <n v="0.17"/>
    <n v="0.85"/>
    <n v="3482.53"/>
    <n v="0"/>
    <n v="37"/>
    <n v="4714.5"/>
    <n v="15939.5"/>
    <n v="-7742.4699999999993"/>
    <n v="0"/>
    <x v="1"/>
    <s v="LOW"/>
    <n v="13095.8333"/>
    <n v="-0.68975233853006679"/>
    <s v="HIGH RISK"/>
  </r>
  <r>
    <s v="L0602"/>
    <x v="462"/>
    <s v="B0602"/>
    <x v="4"/>
    <n v="24196"/>
    <n v="16.600000000000001"/>
    <n v="60"/>
    <x v="0"/>
    <x v="0"/>
    <x v="0"/>
    <n v="102391"/>
    <s v="OWN"/>
    <n v="0.12"/>
    <n v="0.68"/>
    <n v="28212.54"/>
    <n v="0"/>
    <n v="59"/>
    <n v="20082.680000000004"/>
    <n v="44278.680000000008"/>
    <n v="4016.5400000000009"/>
    <n v="0"/>
    <x v="0"/>
    <s v="LOW"/>
    <n v="33471.133300000001"/>
    <n v="0.16600016531658129"/>
    <s v="NORMAL"/>
  </r>
  <r>
    <s v="L0603"/>
    <x v="463"/>
    <s v="B0603"/>
    <x v="2"/>
    <n v="14669"/>
    <n v="20.2"/>
    <n v="36"/>
    <x v="0"/>
    <x v="1"/>
    <x v="2"/>
    <n v="114214"/>
    <s v="OWN"/>
    <n v="0.35"/>
    <n v="0.5"/>
    <n v="17632.14"/>
    <n v="0"/>
    <n v="58"/>
    <n v="8889.4139999999989"/>
    <n v="23558.413999999997"/>
    <n v="2963.1399999999994"/>
    <n v="0"/>
    <x v="0"/>
    <s v="HIGH"/>
    <n v="24692.816699999999"/>
    <n v="0.20200013634194555"/>
    <s v="NORMAL"/>
  </r>
  <r>
    <s v="L0604"/>
    <x v="464"/>
    <s v="B0604"/>
    <x v="0"/>
    <n v="38380"/>
    <n v="7"/>
    <n v="36"/>
    <x v="0"/>
    <x v="3"/>
    <x v="4"/>
    <n v="38263"/>
    <s v="MORTGAGE"/>
    <n v="0.18"/>
    <n v="0.88"/>
    <n v="41066.6"/>
    <n v="0"/>
    <n v="36"/>
    <n v="8059.7999999999993"/>
    <n v="46439.8"/>
    <n v="2686.5999999999985"/>
    <n v="0"/>
    <x v="0"/>
    <s v="VERY HIGH"/>
    <n v="22388.334800000001"/>
    <n v="6.9999999999999965E-2"/>
    <s v="HIGH RISK"/>
  </r>
  <r>
    <s v="L0605"/>
    <x v="465"/>
    <s v="B0605"/>
    <x v="5"/>
    <n v="39006"/>
    <n v="22.8"/>
    <n v="60"/>
    <x v="0"/>
    <x v="1"/>
    <x v="2"/>
    <n v="93293"/>
    <s v="OWN"/>
    <n v="0.34"/>
    <n v="0.67"/>
    <n v="47899.37"/>
    <n v="0"/>
    <n v="33"/>
    <n v="44466.840000000004"/>
    <n v="83472.84"/>
    <n v="8893.3700000000026"/>
    <n v="0"/>
    <x v="0"/>
    <s v="HIGH"/>
    <n v="74111.399999999994"/>
    <n v="0.22800005127416301"/>
    <s v="NORMAL"/>
  </r>
  <r>
    <s v="L0606"/>
    <x v="466"/>
    <s v="B0606"/>
    <x v="9"/>
    <n v="16577"/>
    <n v="5.2"/>
    <n v="60"/>
    <x v="0"/>
    <x v="2"/>
    <x v="0"/>
    <n v="142824"/>
    <s v="RENT"/>
    <n v="0.14000000000000001"/>
    <n v="0.72"/>
    <n v="17439"/>
    <n v="0"/>
    <n v="58"/>
    <n v="4310.0200000000004"/>
    <n v="20887.02"/>
    <n v="862"/>
    <n v="0"/>
    <x v="0"/>
    <s v="VERY HIGH"/>
    <n v="7183.3666999999996"/>
    <n v="5.1999758701815772E-2"/>
    <s v="NORMAL"/>
  </r>
  <r>
    <s v="L0607"/>
    <x v="467"/>
    <s v="B0607"/>
    <x v="1"/>
    <n v="23473"/>
    <n v="12.4"/>
    <n v="60"/>
    <x v="2"/>
    <x v="6"/>
    <x v="2"/>
    <n v="55805"/>
    <s v="MORTGAGE"/>
    <n v="0.23"/>
    <n v="0.5"/>
    <n v="0"/>
    <n v="0"/>
    <n v="56"/>
    <n v="14553.26"/>
    <n v="38026.26"/>
    <n v="-23473"/>
    <n v="0"/>
    <x v="2"/>
    <s v="VERY HIGH"/>
    <n v="24255.433300000001"/>
    <n v="-1"/>
    <s v="NORMAL"/>
  </r>
  <r>
    <s v="L0608"/>
    <x v="229"/>
    <s v="B0608"/>
    <x v="5"/>
    <n v="29625"/>
    <n v="5.5"/>
    <n v="60"/>
    <x v="0"/>
    <x v="0"/>
    <x v="2"/>
    <n v="121679"/>
    <s v="MORTGAGE"/>
    <n v="0.41"/>
    <n v="0.72"/>
    <n v="31254.37"/>
    <n v="0"/>
    <n v="36"/>
    <n v="8146.875"/>
    <n v="37771.875"/>
    <n v="1629.369999999999"/>
    <n v="0"/>
    <x v="0"/>
    <s v="LOW"/>
    <n v="13578.125"/>
    <n v="5.4999831223628656E-2"/>
    <s v="HIGH RISK"/>
  </r>
  <r>
    <s v="L0609"/>
    <x v="460"/>
    <s v="B0609"/>
    <x v="0"/>
    <n v="16504"/>
    <n v="12.9"/>
    <n v="60"/>
    <x v="0"/>
    <x v="0"/>
    <x v="0"/>
    <n v="41874"/>
    <s v="RENT"/>
    <n v="0.27"/>
    <n v="0.94"/>
    <n v="18633.02"/>
    <n v="0"/>
    <n v="30"/>
    <n v="10645.08"/>
    <n v="27149.08"/>
    <n v="2129.0200000000004"/>
    <n v="0"/>
    <x v="0"/>
    <s v="LOW"/>
    <n v="17741.8"/>
    <n v="0.12900024236548718"/>
    <s v="HIGH RISK"/>
  </r>
  <r>
    <s v="L0610"/>
    <x v="468"/>
    <s v="B0610"/>
    <x v="2"/>
    <n v="25089"/>
    <n v="15.5"/>
    <n v="36"/>
    <x v="2"/>
    <x v="4"/>
    <x v="1"/>
    <n v="123065"/>
    <s v="RENT"/>
    <n v="0.35"/>
    <n v="0.63"/>
    <n v="0"/>
    <n v="0"/>
    <n v="60"/>
    <n v="11666.385"/>
    <n v="36755.385000000002"/>
    <n v="-25089"/>
    <n v="0"/>
    <x v="2"/>
    <s v="LOW"/>
    <n v="32406.625"/>
    <n v="-1"/>
    <s v="NORMAL"/>
  </r>
  <r>
    <s v="L0611"/>
    <x v="469"/>
    <s v="B0611"/>
    <x v="7"/>
    <n v="37487"/>
    <n v="15.2"/>
    <n v="36"/>
    <x v="0"/>
    <x v="0"/>
    <x v="3"/>
    <n v="116402"/>
    <s v="RENT"/>
    <n v="0.36"/>
    <n v="0.68"/>
    <n v="43185.02"/>
    <n v="0"/>
    <n v="44"/>
    <n v="17094.072"/>
    <n v="54581.072"/>
    <n v="5698.0199999999968"/>
    <n v="0"/>
    <x v="0"/>
    <s v="LOW"/>
    <n v="47483.533300000003"/>
    <n v="0.15199989329634264"/>
    <s v="NORMAL"/>
  </r>
  <r>
    <s v="L0612"/>
    <x v="470"/>
    <s v="B0612"/>
    <x v="1"/>
    <n v="1302"/>
    <n v="8.3000000000000007"/>
    <n v="60"/>
    <x v="3"/>
    <x v="5"/>
    <x v="4"/>
    <n v="44079"/>
    <s v="OWN"/>
    <n v="0.44"/>
    <n v="0.81"/>
    <n v="399.41"/>
    <n v="452.5"/>
    <n v="60"/>
    <n v="540.33000000000004"/>
    <n v="1842.33"/>
    <n v="-450.08999999999992"/>
    <n v="1"/>
    <x v="2"/>
    <s v="MEDIUM"/>
    <n v="900.55"/>
    <n v="-0.34569124423963127"/>
    <s v="HIGH RISK"/>
  </r>
  <r>
    <s v="L0613"/>
    <x v="471"/>
    <s v="B0613"/>
    <x v="5"/>
    <n v="32463"/>
    <n v="17.899999999999999"/>
    <n v="36"/>
    <x v="0"/>
    <x v="3"/>
    <x v="3"/>
    <n v="79850"/>
    <s v="MORTGAGE"/>
    <n v="0.23"/>
    <n v="0.87"/>
    <n v="38273.879999999997"/>
    <n v="0"/>
    <n v="55"/>
    <n v="17432.630999999998"/>
    <n v="49895.630999999994"/>
    <n v="5810.8799999999974"/>
    <n v="0"/>
    <x v="0"/>
    <s v="VERY HIGH"/>
    <n v="48423.974999999999"/>
    <n v="0.17900009241290077"/>
    <s v="HIGH RISK"/>
  </r>
  <r>
    <s v="L0614"/>
    <x v="472"/>
    <s v="B0614"/>
    <x v="1"/>
    <n v="30259"/>
    <n v="5.9"/>
    <n v="36"/>
    <x v="1"/>
    <x v="1"/>
    <x v="4"/>
    <n v="102779"/>
    <s v="OWN"/>
    <n v="0.37"/>
    <n v="0.69"/>
    <n v="2968.33"/>
    <n v="0"/>
    <n v="58"/>
    <n v="5355.8429999999998"/>
    <n v="35614.843000000001"/>
    <n v="-27290.67"/>
    <n v="0"/>
    <x v="1"/>
    <s v="HIGH"/>
    <n v="14877.35"/>
    <n v="-0.90190257444066224"/>
    <s v="NORMAL"/>
  </r>
  <r>
    <s v="L0615"/>
    <x v="473"/>
    <s v="B0615"/>
    <x v="6"/>
    <n v="38208"/>
    <n v="20.2"/>
    <n v="36"/>
    <x v="0"/>
    <x v="4"/>
    <x v="3"/>
    <n v="125408"/>
    <s v="OWN"/>
    <n v="0.48"/>
    <n v="0.64"/>
    <n v="45926.02"/>
    <n v="0"/>
    <n v="61"/>
    <n v="23154.047999999999"/>
    <n v="61362.047999999995"/>
    <n v="7718.0199999999968"/>
    <n v="0"/>
    <x v="0"/>
    <s v="LOW"/>
    <n v="64316.800000000003"/>
    <n v="0.20200010469011717"/>
    <s v="HIGH RISK"/>
  </r>
  <r>
    <s v="L0616"/>
    <x v="474"/>
    <s v="B0616"/>
    <x v="5"/>
    <n v="31659"/>
    <n v="23.9"/>
    <n v="60"/>
    <x v="1"/>
    <x v="0"/>
    <x v="2"/>
    <n v="39018"/>
    <s v="OWN"/>
    <n v="0.39"/>
    <n v="0.92"/>
    <n v="13280.94"/>
    <n v="0"/>
    <n v="58"/>
    <n v="37832.504999999997"/>
    <n v="69491.505000000005"/>
    <n v="-18378.059999999998"/>
    <n v="0"/>
    <x v="1"/>
    <s v="LOW"/>
    <n v="63054.175000000003"/>
    <n v="-0.58050033165924375"/>
    <s v="HIGH RISK"/>
  </r>
  <r>
    <s v="L0617"/>
    <x v="331"/>
    <s v="B0617"/>
    <x v="9"/>
    <n v="36840"/>
    <n v="11.8"/>
    <n v="36"/>
    <x v="0"/>
    <x v="4"/>
    <x v="1"/>
    <n v="79500"/>
    <s v="OWN"/>
    <n v="0.3"/>
    <n v="0.8"/>
    <n v="41187.120000000003"/>
    <n v="0"/>
    <n v="37"/>
    <n v="13041.36"/>
    <n v="49881.36"/>
    <n v="4347.1200000000026"/>
    <n v="0"/>
    <x v="0"/>
    <s v="LOW"/>
    <n v="36226"/>
    <n v="0.11800000000000008"/>
    <s v="NORMAL"/>
  </r>
  <r>
    <s v="L0618"/>
    <x v="475"/>
    <s v="B0618"/>
    <x v="7"/>
    <n v="32890"/>
    <n v="15.3"/>
    <n v="36"/>
    <x v="1"/>
    <x v="5"/>
    <x v="2"/>
    <n v="42100"/>
    <s v="MORTGAGE"/>
    <n v="0.35"/>
    <n v="0.55000000000000004"/>
    <n v="8090.19"/>
    <n v="0"/>
    <n v="34"/>
    <n v="15096.51"/>
    <n v="47986.51"/>
    <n v="-24799.81"/>
    <n v="0"/>
    <x v="1"/>
    <s v="MEDIUM"/>
    <n v="41934.75"/>
    <n v="-0.75402280328367288"/>
    <s v="NORMAL"/>
  </r>
  <r>
    <s v="L0619"/>
    <x v="441"/>
    <s v="B0619"/>
    <x v="7"/>
    <n v="14598"/>
    <n v="12.6"/>
    <n v="36"/>
    <x v="0"/>
    <x v="4"/>
    <x v="1"/>
    <n v="87021"/>
    <s v="MORTGAGE"/>
    <n v="0.4"/>
    <n v="0.53"/>
    <n v="16437.349999999999"/>
    <n v="0"/>
    <n v="59"/>
    <n v="5518.043999999999"/>
    <n v="20116.043999999998"/>
    <n v="1839.3499999999985"/>
    <n v="0"/>
    <x v="0"/>
    <s v="LOW"/>
    <n v="15327.9"/>
    <n v="0.1260001370050691"/>
    <s v="NORMAL"/>
  </r>
  <r>
    <s v="L0620"/>
    <x v="465"/>
    <s v="B0620"/>
    <x v="8"/>
    <n v="20508"/>
    <n v="5.0999999999999996"/>
    <n v="60"/>
    <x v="3"/>
    <x v="0"/>
    <x v="0"/>
    <n v="144995"/>
    <s v="OWN"/>
    <n v="0.34"/>
    <n v="0.72"/>
    <n v="2495.92"/>
    <n v="3057.79"/>
    <n v="33"/>
    <n v="5229.54"/>
    <n v="25737.54"/>
    <n v="-14954.29"/>
    <n v="1"/>
    <x v="2"/>
    <s v="LOW"/>
    <n v="8715.9"/>
    <n v="-0.72919299785449587"/>
    <s v="NORMAL"/>
  </r>
  <r>
    <s v="L0621"/>
    <x v="476"/>
    <s v="B0621"/>
    <x v="1"/>
    <n v="14380"/>
    <n v="12.7"/>
    <n v="36"/>
    <x v="0"/>
    <x v="4"/>
    <x v="4"/>
    <n v="49800"/>
    <s v="RENT"/>
    <n v="0.11"/>
    <n v="0.6"/>
    <n v="16206.26"/>
    <n v="0"/>
    <n v="50"/>
    <n v="5478.78"/>
    <n v="19858.78"/>
    <n v="1826.2600000000002"/>
    <n v="0"/>
    <x v="0"/>
    <s v="LOW"/>
    <n v="15218.8333"/>
    <n v="0.127"/>
    <s v="NORMAL"/>
  </r>
  <r>
    <s v="L0622"/>
    <x v="465"/>
    <s v="B0622"/>
    <x v="4"/>
    <n v="27984"/>
    <n v="20.8"/>
    <n v="36"/>
    <x v="0"/>
    <x v="4"/>
    <x v="4"/>
    <n v="93400"/>
    <s v="MORTGAGE"/>
    <n v="0.18"/>
    <n v="0.61"/>
    <n v="33804.67"/>
    <n v="0"/>
    <n v="33"/>
    <n v="17462.016"/>
    <n v="45446.016000000003"/>
    <n v="5820.6699999999983"/>
    <n v="0"/>
    <x v="0"/>
    <s v="LOW"/>
    <n v="48505.599999999999"/>
    <n v="0.20799992853058885"/>
    <s v="NORMAL"/>
  </r>
  <r>
    <s v="L0623"/>
    <x v="477"/>
    <s v="B0623"/>
    <x v="7"/>
    <n v="9125"/>
    <n v="16.899999999999999"/>
    <n v="60"/>
    <x v="1"/>
    <x v="2"/>
    <x v="0"/>
    <n v="122446"/>
    <s v="OWN"/>
    <n v="0.42"/>
    <n v="0.89"/>
    <n v="3684.51"/>
    <n v="0"/>
    <n v="53"/>
    <n v="7710.625"/>
    <n v="16835.625"/>
    <n v="-5440.49"/>
    <n v="0"/>
    <x v="1"/>
    <s v="VERY HIGH"/>
    <n v="12851.0417"/>
    <n v="-0.59621808219178085"/>
    <s v="HIGH RISK"/>
  </r>
  <r>
    <s v="L0624"/>
    <x v="478"/>
    <s v="B0624"/>
    <x v="7"/>
    <n v="37059"/>
    <n v="7"/>
    <n v="60"/>
    <x v="0"/>
    <x v="0"/>
    <x v="3"/>
    <n v="59437"/>
    <s v="RENT"/>
    <n v="0.21"/>
    <n v="0.54"/>
    <n v="39653.129999999997"/>
    <n v="0"/>
    <n v="40"/>
    <n v="12970.650000000001"/>
    <n v="50029.65"/>
    <n v="2594.1299999999974"/>
    <n v="0"/>
    <x v="0"/>
    <s v="LOW"/>
    <n v="21617.75"/>
    <n v="6.9999999999999923E-2"/>
    <s v="NORMAL"/>
  </r>
  <r>
    <s v="L0625"/>
    <x v="479"/>
    <s v="B0625"/>
    <x v="6"/>
    <n v="5033"/>
    <n v="21.9"/>
    <n v="36"/>
    <x v="1"/>
    <x v="0"/>
    <x v="0"/>
    <n v="133124"/>
    <s v="RENT"/>
    <n v="0.39"/>
    <n v="0.82"/>
    <n v="1105.3900000000001"/>
    <n v="0"/>
    <n v="59"/>
    <n v="3306.6809999999991"/>
    <n v="8339.6809999999987"/>
    <n v="-3927.6099999999997"/>
    <n v="0"/>
    <x v="1"/>
    <s v="LOW"/>
    <n v="9185.2250000000004"/>
    <n v="-0.78037154778462148"/>
    <s v="HIGH RISK"/>
  </r>
  <r>
    <s v="L0626"/>
    <x v="394"/>
    <s v="B0626"/>
    <x v="3"/>
    <n v="38873"/>
    <n v="15.6"/>
    <n v="36"/>
    <x v="2"/>
    <x v="0"/>
    <x v="0"/>
    <n v="106537"/>
    <s v="OWN"/>
    <n v="0.25"/>
    <n v="0.62"/>
    <n v="0"/>
    <n v="0"/>
    <n v="40"/>
    <n v="18192.563999999998"/>
    <n v="57065.563999999998"/>
    <n v="-38873"/>
    <n v="0"/>
    <x v="2"/>
    <s v="LOW"/>
    <n v="50534.9"/>
    <n v="-1"/>
    <s v="NORMAL"/>
  </r>
  <r>
    <s v="L0627"/>
    <x v="480"/>
    <s v="B0627"/>
    <x v="6"/>
    <n v="18087"/>
    <n v="21.8"/>
    <n v="60"/>
    <x v="1"/>
    <x v="4"/>
    <x v="1"/>
    <n v="76675"/>
    <s v="MORTGAGE"/>
    <n v="0.31"/>
    <n v="0.84"/>
    <n v="1721.26"/>
    <n v="0"/>
    <n v="60"/>
    <n v="19714.830000000002"/>
    <n v="37801.83"/>
    <n v="-16365.74"/>
    <n v="0"/>
    <x v="1"/>
    <s v="LOW"/>
    <n v="32858.050000000003"/>
    <n v="-0.90483441145574173"/>
    <s v="HIGH RISK"/>
  </r>
  <r>
    <s v="L0628"/>
    <x v="279"/>
    <s v="B0628"/>
    <x v="6"/>
    <n v="6704"/>
    <n v="16.600000000000001"/>
    <n v="60"/>
    <x v="0"/>
    <x v="1"/>
    <x v="0"/>
    <n v="49942"/>
    <s v="RENT"/>
    <n v="0.13"/>
    <n v="0.83"/>
    <n v="7816.86"/>
    <n v="0"/>
    <n v="41"/>
    <n v="5564.32"/>
    <n v="12268.32"/>
    <n v="1112.8599999999997"/>
    <n v="0"/>
    <x v="0"/>
    <s v="HIGH"/>
    <n v="9273.8667000000005"/>
    <n v="0.16599940334128874"/>
    <s v="HIGH RISK"/>
  </r>
  <r>
    <s v="L0629"/>
    <x v="481"/>
    <s v="B0629"/>
    <x v="3"/>
    <n v="8848"/>
    <n v="16.2"/>
    <n v="60"/>
    <x v="1"/>
    <x v="1"/>
    <x v="4"/>
    <n v="50862"/>
    <s v="MORTGAGE"/>
    <n v="0.17"/>
    <n v="0.5"/>
    <n v="2965.85"/>
    <n v="0"/>
    <n v="27"/>
    <n v="7166.88"/>
    <n v="16014.880000000001"/>
    <n v="-5882.15"/>
    <n v="0"/>
    <x v="1"/>
    <s v="HIGH"/>
    <n v="11944.8"/>
    <n v="-0.66479995479204335"/>
    <s v="NORMAL"/>
  </r>
  <r>
    <s v="L0630"/>
    <x v="100"/>
    <s v="B0630"/>
    <x v="1"/>
    <n v="22592"/>
    <n v="7.1"/>
    <n v="60"/>
    <x v="1"/>
    <x v="5"/>
    <x v="2"/>
    <n v="41669"/>
    <s v="MORTGAGE"/>
    <n v="0.48"/>
    <n v="0.73"/>
    <n v="10077.370000000001"/>
    <n v="0"/>
    <n v="28"/>
    <n v="8020.16"/>
    <n v="30612.16"/>
    <n v="-12514.63"/>
    <n v="0"/>
    <x v="1"/>
    <s v="MEDIUM"/>
    <n v="13366.933300000001"/>
    <n v="-0.55394077549575071"/>
    <s v="HIGH RISK"/>
  </r>
  <r>
    <s v="L0631"/>
    <x v="482"/>
    <s v="B0631"/>
    <x v="5"/>
    <n v="7924"/>
    <n v="8.3000000000000007"/>
    <n v="60"/>
    <x v="1"/>
    <x v="1"/>
    <x v="1"/>
    <n v="83772"/>
    <s v="RENT"/>
    <n v="0.46"/>
    <n v="0.56000000000000005"/>
    <n v="3561.75"/>
    <n v="0"/>
    <n v="42"/>
    <n v="3288.4600000000005"/>
    <n v="11212.460000000001"/>
    <n v="-4362.25"/>
    <n v="0"/>
    <x v="1"/>
    <s v="HIGH"/>
    <n v="5480.7667000000001"/>
    <n v="-0.55051110550227156"/>
    <s v="HIGH RISK"/>
  </r>
  <r>
    <s v="L0632"/>
    <x v="120"/>
    <s v="B0632"/>
    <x v="2"/>
    <n v="28208"/>
    <n v="24.4"/>
    <n v="60"/>
    <x v="0"/>
    <x v="4"/>
    <x v="1"/>
    <n v="45916"/>
    <s v="OWN"/>
    <n v="0.36"/>
    <n v="0.89"/>
    <n v="35090.75"/>
    <n v="0"/>
    <n v="40"/>
    <n v="34413.760000000002"/>
    <n v="62621.760000000002"/>
    <n v="6882.75"/>
    <n v="0"/>
    <x v="0"/>
    <s v="LOW"/>
    <n v="57356.2667"/>
    <n v="0.2439999290981282"/>
    <s v="HIGH RISK"/>
  </r>
  <r>
    <s v="L0633"/>
    <x v="483"/>
    <s v="B0633"/>
    <x v="4"/>
    <n v="20614"/>
    <n v="9.6"/>
    <n v="60"/>
    <x v="0"/>
    <x v="1"/>
    <x v="3"/>
    <n v="40878"/>
    <s v="RENT"/>
    <n v="0.28000000000000003"/>
    <n v="0.89"/>
    <n v="22592.94"/>
    <n v="0"/>
    <n v="45"/>
    <n v="9894.7199999999993"/>
    <n v="30508.720000000001"/>
    <n v="1978.9399999999987"/>
    <n v="0"/>
    <x v="0"/>
    <s v="HIGH"/>
    <n v="16491.2"/>
    <n v="9.5999805957116463E-2"/>
    <s v="HIGH RISK"/>
  </r>
  <r>
    <s v="L0634"/>
    <x v="254"/>
    <s v="B0634"/>
    <x v="7"/>
    <n v="1488"/>
    <n v="24.5"/>
    <n v="36"/>
    <x v="0"/>
    <x v="0"/>
    <x v="2"/>
    <n v="32985"/>
    <s v="RENT"/>
    <n v="0.37"/>
    <n v="0.69"/>
    <n v="1852.56"/>
    <n v="0"/>
    <n v="35"/>
    <n v="1093.68"/>
    <n v="2581.6800000000003"/>
    <n v="364.55999999999995"/>
    <n v="0"/>
    <x v="0"/>
    <s v="LOW"/>
    <n v="3038"/>
    <n v="0.24499999999999997"/>
    <s v="NORMAL"/>
  </r>
  <r>
    <s v="L0635"/>
    <x v="484"/>
    <s v="B0635"/>
    <x v="8"/>
    <n v="26923"/>
    <n v="15.6"/>
    <n v="60"/>
    <x v="0"/>
    <x v="4"/>
    <x v="1"/>
    <n v="127905"/>
    <s v="MORTGAGE"/>
    <n v="0.35"/>
    <n v="0.7"/>
    <n v="31122.99"/>
    <n v="0"/>
    <n v="41"/>
    <n v="20999.940000000002"/>
    <n v="47922.94"/>
    <n v="4199.9900000000016"/>
    <n v="0"/>
    <x v="0"/>
    <s v="LOW"/>
    <n v="34999.9"/>
    <n v="0.1560000742859266"/>
    <s v="NORMAL"/>
  </r>
  <r>
    <s v="L0636"/>
    <x v="485"/>
    <s v="B0636"/>
    <x v="4"/>
    <n v="36941"/>
    <n v="7.7"/>
    <n v="60"/>
    <x v="0"/>
    <x v="6"/>
    <x v="0"/>
    <n v="103648"/>
    <s v="OWN"/>
    <n v="0.33"/>
    <n v="0.64"/>
    <n v="39785.46"/>
    <n v="0"/>
    <n v="54"/>
    <n v="14222.285000000002"/>
    <n v="51163.285000000003"/>
    <n v="2844.4599999999991"/>
    <n v="0"/>
    <x v="0"/>
    <s v="VERY HIGH"/>
    <n v="23703.808300000001"/>
    <n v="7.7000081210579011E-2"/>
    <s v="NORMAL"/>
  </r>
  <r>
    <s v="L0637"/>
    <x v="486"/>
    <s v="B0637"/>
    <x v="5"/>
    <n v="30165"/>
    <n v="7"/>
    <n v="36"/>
    <x v="0"/>
    <x v="6"/>
    <x v="1"/>
    <n v="71235"/>
    <s v="MORTGAGE"/>
    <n v="0.12"/>
    <n v="0.82"/>
    <n v="32276.55"/>
    <n v="0"/>
    <n v="45"/>
    <n v="6334.6500000000005"/>
    <n v="36499.65"/>
    <n v="2111.5499999999993"/>
    <n v="0"/>
    <x v="0"/>
    <s v="VERY HIGH"/>
    <n v="17596.251199999999"/>
    <n v="6.9999999999999979E-2"/>
    <s v="HIGH RISK"/>
  </r>
  <r>
    <s v="L0638"/>
    <x v="167"/>
    <s v="B0638"/>
    <x v="3"/>
    <n v="2667"/>
    <n v="9.1999999999999993"/>
    <n v="60"/>
    <x v="1"/>
    <x v="1"/>
    <x v="1"/>
    <n v="48931"/>
    <s v="RENT"/>
    <n v="0.35"/>
    <n v="0.66"/>
    <n v="1282.69"/>
    <n v="0"/>
    <n v="51"/>
    <n v="1226.82"/>
    <n v="3893.8199999999997"/>
    <n v="-1384.31"/>
    <n v="0"/>
    <x v="1"/>
    <s v="HIGH"/>
    <n v="2044.7"/>
    <n v="-0.51905136857892764"/>
    <s v="NORMAL"/>
  </r>
  <r>
    <s v="L0639"/>
    <x v="210"/>
    <s v="B0639"/>
    <x v="4"/>
    <n v="27213"/>
    <n v="23.5"/>
    <n v="60"/>
    <x v="3"/>
    <x v="0"/>
    <x v="1"/>
    <n v="122876"/>
    <s v="OWN"/>
    <n v="0.41"/>
    <n v="0.62"/>
    <n v="9805.16"/>
    <n v="8501.7099999999991"/>
    <n v="27"/>
    <n v="31975.275000000005"/>
    <n v="59188.275000000009"/>
    <n v="-8906.130000000001"/>
    <n v="1"/>
    <x v="2"/>
    <s v="LOW"/>
    <n v="53292.125"/>
    <n v="-0.32727483188182122"/>
    <s v="HIGH RISK"/>
  </r>
  <r>
    <s v="L0640"/>
    <x v="469"/>
    <s v="B0640"/>
    <x v="7"/>
    <n v="5114"/>
    <n v="13.3"/>
    <n v="36"/>
    <x v="1"/>
    <x v="0"/>
    <x v="3"/>
    <n v="30336"/>
    <s v="OWN"/>
    <n v="0.5"/>
    <n v="0.69"/>
    <n v="260.63"/>
    <n v="0"/>
    <n v="44"/>
    <n v="2040.4859999999999"/>
    <n v="7154.4859999999999"/>
    <n v="-4853.37"/>
    <n v="0"/>
    <x v="1"/>
    <s v="LOW"/>
    <n v="5668.0167000000001"/>
    <n v="-0.94903597966366837"/>
    <s v="HIGH RISK"/>
  </r>
  <r>
    <s v="L0641"/>
    <x v="487"/>
    <s v="B0641"/>
    <x v="4"/>
    <n v="37321"/>
    <n v="12.9"/>
    <n v="60"/>
    <x v="0"/>
    <x v="3"/>
    <x v="1"/>
    <n v="72933"/>
    <s v="OWN"/>
    <n v="0.1"/>
    <n v="0.54"/>
    <n v="42135.41"/>
    <n v="0"/>
    <n v="36"/>
    <n v="24072.045000000002"/>
    <n v="61393.044999999998"/>
    <n v="4814.4100000000035"/>
    <n v="0"/>
    <x v="0"/>
    <s v="VERY HIGH"/>
    <n v="40120.074999999997"/>
    <n v="0.12900002679456615"/>
    <s v="NORMAL"/>
  </r>
  <r>
    <s v="L0642"/>
    <x v="458"/>
    <s v="B0642"/>
    <x v="2"/>
    <n v="8761"/>
    <n v="11.3"/>
    <n v="36"/>
    <x v="0"/>
    <x v="0"/>
    <x v="1"/>
    <n v="114899"/>
    <s v="OWN"/>
    <n v="0.39"/>
    <n v="0.84"/>
    <n v="9750.99"/>
    <n v="0"/>
    <n v="54"/>
    <n v="2969.9789999999998"/>
    <n v="11730.978999999999"/>
    <n v="989.98999999999978"/>
    <n v="0"/>
    <x v="0"/>
    <s v="LOW"/>
    <n v="8249.9416999999994"/>
    <n v="0.11299965757333635"/>
    <s v="HIGH RISK"/>
  </r>
  <r>
    <s v="L0643"/>
    <x v="264"/>
    <s v="B0643"/>
    <x v="3"/>
    <n v="32116"/>
    <n v="7.9"/>
    <n v="36"/>
    <x v="2"/>
    <x v="0"/>
    <x v="3"/>
    <n v="75536"/>
    <s v="OWN"/>
    <n v="0.33"/>
    <n v="0.51"/>
    <n v="0"/>
    <n v="0"/>
    <n v="61"/>
    <n v="7611.4920000000011"/>
    <n v="39727.491999999998"/>
    <n v="-32116"/>
    <n v="0"/>
    <x v="2"/>
    <s v="LOW"/>
    <n v="21143.033599999999"/>
    <n v="-1"/>
    <s v="NORMAL"/>
  </r>
  <r>
    <s v="L0644"/>
    <x v="488"/>
    <s v="B0644"/>
    <x v="4"/>
    <n v="34768"/>
    <n v="14.8"/>
    <n v="36"/>
    <x v="2"/>
    <x v="0"/>
    <x v="2"/>
    <n v="99504"/>
    <s v="RENT"/>
    <n v="0.27"/>
    <n v="0.79"/>
    <n v="0"/>
    <n v="0"/>
    <n v="55"/>
    <n v="15436.992000000004"/>
    <n v="50204.992000000006"/>
    <n v="-34768"/>
    <n v="0"/>
    <x v="2"/>
    <s v="LOW"/>
    <n v="42880.533300000003"/>
    <n v="-1"/>
    <s v="NORMAL"/>
  </r>
  <r>
    <s v="L0645"/>
    <x v="489"/>
    <s v="B0645"/>
    <x v="7"/>
    <n v="26426"/>
    <n v="7.6"/>
    <n v="36"/>
    <x v="3"/>
    <x v="4"/>
    <x v="4"/>
    <n v="129214"/>
    <s v="RENT"/>
    <n v="0.15"/>
    <n v="0.57999999999999996"/>
    <n v="5657.08"/>
    <n v="8575.9699999999993"/>
    <n v="54"/>
    <n v="6025.1279999999997"/>
    <n v="32451.128000000001"/>
    <n v="-12192.95"/>
    <n v="1"/>
    <x v="2"/>
    <s v="LOW"/>
    <n v="16736.467000000001"/>
    <n v="-0.46139975781427384"/>
    <s v="NORMAL"/>
  </r>
  <r>
    <s v="L0646"/>
    <x v="490"/>
    <s v="B0646"/>
    <x v="7"/>
    <n v="18772"/>
    <n v="21.7"/>
    <n v="60"/>
    <x v="1"/>
    <x v="0"/>
    <x v="3"/>
    <n v="81148"/>
    <s v="RENT"/>
    <n v="0.26"/>
    <n v="0.6"/>
    <n v="7853.16"/>
    <n v="0"/>
    <n v="27"/>
    <n v="20367.62"/>
    <n v="39139.619999999995"/>
    <n v="-10918.84"/>
    <n v="0"/>
    <x v="1"/>
    <s v="LOW"/>
    <n v="33946.033300000003"/>
    <n v="-0.58165565736202851"/>
    <s v="NORMAL"/>
  </r>
  <r>
    <s v="L0647"/>
    <x v="491"/>
    <s v="B0647"/>
    <x v="4"/>
    <n v="39218"/>
    <n v="12.4"/>
    <n v="36"/>
    <x v="0"/>
    <x v="5"/>
    <x v="3"/>
    <n v="143936"/>
    <s v="MORTGAGE"/>
    <n v="0.24"/>
    <n v="0.79"/>
    <n v="44081.03"/>
    <n v="0"/>
    <n v="51"/>
    <n v="14589.096"/>
    <n v="53807.095999999998"/>
    <n v="4863.0299999999988"/>
    <n v="0"/>
    <x v="0"/>
    <s v="MEDIUM"/>
    <n v="40525.2667"/>
    <n v="0.12399994900300879"/>
    <s v="NORMAL"/>
  </r>
  <r>
    <s v="L0648"/>
    <x v="492"/>
    <s v="B0648"/>
    <x v="1"/>
    <n v="4712"/>
    <n v="12.5"/>
    <n v="36"/>
    <x v="1"/>
    <x v="5"/>
    <x v="1"/>
    <n v="46279"/>
    <s v="OWN"/>
    <n v="0.22"/>
    <n v="0.95"/>
    <n v="1012.2"/>
    <n v="0"/>
    <n v="59"/>
    <n v="1767"/>
    <n v="6479"/>
    <n v="-3699.8"/>
    <n v="0"/>
    <x v="1"/>
    <s v="MEDIUM"/>
    <n v="4908.3333000000002"/>
    <n v="-0.7851867572156197"/>
    <s v="HIGH RISK"/>
  </r>
  <r>
    <s v="L0649"/>
    <x v="274"/>
    <s v="B0649"/>
    <x v="8"/>
    <n v="2367"/>
    <n v="14.5"/>
    <n v="60"/>
    <x v="0"/>
    <x v="2"/>
    <x v="1"/>
    <n v="98665"/>
    <s v="OWN"/>
    <n v="0.39"/>
    <n v="0.85"/>
    <n v="2710.22"/>
    <n v="0"/>
    <n v="35"/>
    <n v="1716.0749999999998"/>
    <n v="4083.0749999999998"/>
    <n v="343.2199999999998"/>
    <n v="0"/>
    <x v="0"/>
    <s v="VERY HIGH"/>
    <n v="2860.125"/>
    <n v="0.14500211237853816"/>
    <s v="HIGH RISK"/>
  </r>
  <r>
    <s v="L0650"/>
    <x v="493"/>
    <s v="B0650"/>
    <x v="0"/>
    <n v="27200"/>
    <n v="13.9"/>
    <n v="36"/>
    <x v="0"/>
    <x v="0"/>
    <x v="4"/>
    <n v="133751"/>
    <s v="RENT"/>
    <n v="0.38"/>
    <n v="0.6"/>
    <n v="30980.799999999999"/>
    <n v="0"/>
    <n v="61"/>
    <n v="11342.400000000001"/>
    <n v="38542.400000000001"/>
    <n v="3780.7999999999993"/>
    <n v="0"/>
    <x v="0"/>
    <s v="LOW"/>
    <n v="31506.666700000002"/>
    <n v="0.13899999999999998"/>
    <s v="NORMAL"/>
  </r>
  <r>
    <s v="L0651"/>
    <x v="494"/>
    <s v="B0651"/>
    <x v="6"/>
    <n v="4726"/>
    <n v="24.9"/>
    <n v="36"/>
    <x v="1"/>
    <x v="4"/>
    <x v="1"/>
    <n v="134433"/>
    <s v="OWN"/>
    <n v="0.34"/>
    <n v="0.57999999999999996"/>
    <n v="1515.61"/>
    <n v="0"/>
    <n v="51"/>
    <n v="3530.3219999999997"/>
    <n v="8256.3220000000001"/>
    <n v="-3210.3900000000003"/>
    <n v="0"/>
    <x v="1"/>
    <s v="LOW"/>
    <n v="9806.4500000000007"/>
    <n v="-0.67930385103681767"/>
    <s v="NORMAL"/>
  </r>
  <r>
    <s v="L0652"/>
    <x v="495"/>
    <s v="B0652"/>
    <x v="3"/>
    <n v="24616"/>
    <n v="15.9"/>
    <n v="36"/>
    <x v="0"/>
    <x v="5"/>
    <x v="0"/>
    <n v="101386"/>
    <s v="MORTGAGE"/>
    <n v="0.48"/>
    <n v="0.89"/>
    <n v="28529.94"/>
    <n v="0"/>
    <n v="28"/>
    <n v="11741.832000000002"/>
    <n v="36357.832000000002"/>
    <n v="3913.9399999999987"/>
    <n v="0"/>
    <x v="0"/>
    <s v="MEDIUM"/>
    <n v="32616.2"/>
    <n v="0.15899983750406235"/>
    <s v="HIGH RISK"/>
  </r>
  <r>
    <s v="L0653"/>
    <x v="496"/>
    <s v="B0653"/>
    <x v="0"/>
    <n v="28723"/>
    <n v="6.8"/>
    <n v="36"/>
    <x v="0"/>
    <x v="5"/>
    <x v="1"/>
    <n v="116124"/>
    <s v="OWN"/>
    <n v="0.24"/>
    <n v="0.7"/>
    <n v="30676.16"/>
    <n v="0"/>
    <n v="36"/>
    <n v="5859.4919999999993"/>
    <n v="34582.491999999998"/>
    <n v="1953.1599999999999"/>
    <n v="0"/>
    <x v="0"/>
    <s v="MEDIUM"/>
    <n v="16276.368200000001"/>
    <n v="6.7999860738780768E-2"/>
    <s v="NORMAL"/>
  </r>
  <r>
    <s v="L0654"/>
    <x v="497"/>
    <s v="B0654"/>
    <x v="5"/>
    <n v="38574"/>
    <n v="17.100000000000001"/>
    <n v="60"/>
    <x v="0"/>
    <x v="5"/>
    <x v="1"/>
    <n v="135750"/>
    <s v="OWN"/>
    <n v="0.2"/>
    <n v="0.56000000000000005"/>
    <n v="45170.15"/>
    <n v="0"/>
    <n v="62"/>
    <n v="32980.770000000004"/>
    <n v="71554.77"/>
    <n v="6596.1500000000015"/>
    <n v="0"/>
    <x v="0"/>
    <s v="MEDIUM"/>
    <n v="54967.95"/>
    <n v="0.17099989630320944"/>
    <s v="NORMAL"/>
  </r>
  <r>
    <s v="L0655"/>
    <x v="498"/>
    <s v="B0655"/>
    <x v="5"/>
    <n v="35958"/>
    <n v="8"/>
    <n v="36"/>
    <x v="0"/>
    <x v="6"/>
    <x v="0"/>
    <n v="107485"/>
    <s v="MORTGAGE"/>
    <n v="0.36"/>
    <n v="0.89"/>
    <n v="38834.639999999999"/>
    <n v="0"/>
    <n v="42"/>
    <n v="8629.92"/>
    <n v="44587.92"/>
    <n v="2876.6399999999994"/>
    <n v="0"/>
    <x v="0"/>
    <s v="VERY HIGH"/>
    <n v="23972.000199999999"/>
    <n v="7.9999999999999988E-2"/>
    <s v="HIGH RISK"/>
  </r>
  <r>
    <s v="L0656"/>
    <x v="499"/>
    <s v="B0656"/>
    <x v="7"/>
    <n v="10108"/>
    <n v="5.6"/>
    <n v="60"/>
    <x v="3"/>
    <x v="0"/>
    <x v="4"/>
    <n v="104055"/>
    <s v="RENT"/>
    <n v="0.18"/>
    <n v="0.87"/>
    <n v="2849.4"/>
    <n v="2210.77"/>
    <n v="38"/>
    <n v="2830.24"/>
    <n v="12938.24"/>
    <n v="-5047.83"/>
    <n v="1"/>
    <x v="2"/>
    <s v="LOW"/>
    <n v="4717.0667000000003"/>
    <n v="-0.49938959240205777"/>
    <s v="HIGH RISK"/>
  </r>
  <r>
    <s v="L0657"/>
    <x v="500"/>
    <s v="B0657"/>
    <x v="5"/>
    <n v="13178"/>
    <n v="24.4"/>
    <n v="60"/>
    <x v="0"/>
    <x v="6"/>
    <x v="0"/>
    <n v="121911"/>
    <s v="RENT"/>
    <n v="0.23"/>
    <n v="0.94"/>
    <n v="16393.43"/>
    <n v="0"/>
    <n v="52"/>
    <n v="16077.159999999996"/>
    <n v="29255.159999999996"/>
    <n v="3215.4300000000003"/>
    <n v="0"/>
    <x v="0"/>
    <s v="VERY HIGH"/>
    <n v="26795.2667"/>
    <n v="0.24399984823190168"/>
    <s v="HIGH RISK"/>
  </r>
  <r>
    <s v="L0658"/>
    <x v="501"/>
    <s v="B0658"/>
    <x v="1"/>
    <n v="36643"/>
    <n v="20.5"/>
    <n v="36"/>
    <x v="0"/>
    <x v="5"/>
    <x v="3"/>
    <n v="128618"/>
    <s v="OWN"/>
    <n v="0.19"/>
    <n v="0.91"/>
    <n v="44154.82"/>
    <n v="0"/>
    <n v="41"/>
    <n v="22535.444999999996"/>
    <n v="59178.444999999992"/>
    <n v="7511.82"/>
    <n v="0"/>
    <x v="0"/>
    <s v="MEDIUM"/>
    <n v="62598.458299999998"/>
    <n v="0.20500013645170972"/>
    <s v="HIGH RISK"/>
  </r>
  <r>
    <s v="L0659"/>
    <x v="502"/>
    <s v="B0659"/>
    <x v="8"/>
    <n v="32324"/>
    <n v="24.6"/>
    <n v="36"/>
    <x v="0"/>
    <x v="0"/>
    <x v="0"/>
    <n v="107273"/>
    <s v="MORTGAGE"/>
    <n v="0.13"/>
    <n v="0.88"/>
    <n v="40275.699999999997"/>
    <n v="0"/>
    <n v="60"/>
    <n v="23855.112000000005"/>
    <n v="56179.112000000008"/>
    <n v="7951.6999999999971"/>
    <n v="0"/>
    <x v="0"/>
    <s v="LOW"/>
    <n v="66264.2"/>
    <n v="0.2459998762529389"/>
    <s v="HIGH RISK"/>
  </r>
  <r>
    <s v="L0660"/>
    <x v="96"/>
    <s v="B0660"/>
    <x v="5"/>
    <n v="39360"/>
    <n v="14.6"/>
    <n v="36"/>
    <x v="0"/>
    <x v="2"/>
    <x v="2"/>
    <n v="96670"/>
    <s v="RENT"/>
    <n v="0.43"/>
    <n v="0.52"/>
    <n v="45106.559999999998"/>
    <n v="0"/>
    <n v="38"/>
    <n v="17239.68"/>
    <n v="56599.68"/>
    <n v="5746.5599999999977"/>
    <n v="0"/>
    <x v="0"/>
    <s v="VERY HIGH"/>
    <n v="47888"/>
    <n v="0.14599999999999994"/>
    <s v="HIGH RISK"/>
  </r>
  <r>
    <s v="L0661"/>
    <x v="503"/>
    <s v="B0661"/>
    <x v="2"/>
    <n v="18824"/>
    <n v="15.6"/>
    <n v="36"/>
    <x v="0"/>
    <x v="1"/>
    <x v="3"/>
    <n v="106474"/>
    <s v="RENT"/>
    <n v="0.2"/>
    <n v="0.55000000000000004"/>
    <n v="21760.54"/>
    <n v="0"/>
    <n v="45"/>
    <n v="8809.6319999999996"/>
    <n v="27633.631999999998"/>
    <n v="2936.5400000000009"/>
    <n v="0"/>
    <x v="0"/>
    <s v="HIGH"/>
    <n v="24471.200000000001"/>
    <n v="0.1559997875053124"/>
    <s v="NORMAL"/>
  </r>
  <r>
    <s v="L0662"/>
    <x v="297"/>
    <s v="B0662"/>
    <x v="8"/>
    <n v="9927"/>
    <n v="8.4"/>
    <n v="60"/>
    <x v="1"/>
    <x v="0"/>
    <x v="1"/>
    <n v="84028"/>
    <s v="RENT"/>
    <n v="0.28999999999999998"/>
    <n v="0.76"/>
    <n v="2126.9699999999998"/>
    <n v="0"/>
    <n v="47"/>
    <n v="4169.34"/>
    <n v="14096.34"/>
    <n v="-7800.0300000000007"/>
    <n v="0"/>
    <x v="1"/>
    <s v="LOW"/>
    <n v="6948.9"/>
    <n v="-0.78573889392565732"/>
    <s v="NORMAL"/>
  </r>
  <r>
    <s v="L0663"/>
    <x v="504"/>
    <s v="B0663"/>
    <x v="1"/>
    <n v="29144"/>
    <n v="9.9"/>
    <n v="60"/>
    <x v="0"/>
    <x v="0"/>
    <x v="3"/>
    <n v="120022"/>
    <s v="OWN"/>
    <n v="0.12"/>
    <n v="0.74"/>
    <n v="32029.26"/>
    <n v="0"/>
    <n v="61"/>
    <n v="14426.28"/>
    <n v="43570.28"/>
    <n v="2885.2599999999984"/>
    <n v="0"/>
    <x v="0"/>
    <s v="LOW"/>
    <n v="24043.8"/>
    <n v="9.9000137249519574E-2"/>
    <s v="NORMAL"/>
  </r>
  <r>
    <s v="L0664"/>
    <x v="505"/>
    <s v="B0664"/>
    <x v="0"/>
    <n v="32010"/>
    <n v="21.8"/>
    <n v="60"/>
    <x v="1"/>
    <x v="0"/>
    <x v="4"/>
    <n v="143892"/>
    <s v="MORTGAGE"/>
    <n v="0.38"/>
    <n v="0.71"/>
    <n v="14628.99"/>
    <n v="0"/>
    <n v="60"/>
    <n v="34890.9"/>
    <n v="66900.899999999994"/>
    <n v="-17381.010000000002"/>
    <n v="0"/>
    <x v="1"/>
    <s v="LOW"/>
    <n v="58151.5"/>
    <n v="-0.54298687910028121"/>
    <s v="NORMAL"/>
  </r>
  <r>
    <s v="L0665"/>
    <x v="506"/>
    <s v="B0665"/>
    <x v="8"/>
    <n v="23443"/>
    <n v="12.1"/>
    <n v="36"/>
    <x v="4"/>
    <x v="5"/>
    <x v="4"/>
    <n v="121632"/>
    <s v="OWN"/>
    <n v="0.23"/>
    <n v="0.68"/>
    <n v="0"/>
    <n v="0"/>
    <n v="50"/>
    <n v="8509.8089999999993"/>
    <n v="31952.809000000001"/>
    <n v="-23443"/>
    <n v="0"/>
    <x v="2"/>
    <s v="MEDIUM"/>
    <n v="23638.3583"/>
    <n v="-1"/>
    <s v="NORMAL"/>
  </r>
  <r>
    <s v="L0666"/>
    <x v="507"/>
    <s v="B0666"/>
    <x v="8"/>
    <n v="15437"/>
    <n v="21.5"/>
    <n v="60"/>
    <x v="1"/>
    <x v="0"/>
    <x v="0"/>
    <n v="136651"/>
    <s v="RENT"/>
    <n v="0.4"/>
    <n v="0.69"/>
    <n v="4267.6000000000004"/>
    <n v="0"/>
    <n v="40"/>
    <n v="16594.774999999998"/>
    <n v="32031.774999999998"/>
    <n v="-11169.4"/>
    <n v="0"/>
    <x v="1"/>
    <s v="LOW"/>
    <n v="27657.958299999998"/>
    <n v="-0.72354732137073263"/>
    <s v="NORMAL"/>
  </r>
  <r>
    <s v="L0667"/>
    <x v="503"/>
    <s v="B0667"/>
    <x v="0"/>
    <n v="12207"/>
    <n v="19.2"/>
    <n v="36"/>
    <x v="0"/>
    <x v="0"/>
    <x v="3"/>
    <n v="101128"/>
    <s v="MORTGAGE"/>
    <n v="0.26"/>
    <n v="0.76"/>
    <n v="14550.74"/>
    <n v="0"/>
    <n v="45"/>
    <n v="7031.232"/>
    <n v="19238.232"/>
    <n v="2343.7399999999998"/>
    <n v="0"/>
    <x v="0"/>
    <s v="LOW"/>
    <n v="19531.2"/>
    <n v="0.19199967231916112"/>
    <s v="NORMAL"/>
  </r>
  <r>
    <s v="L0668"/>
    <x v="134"/>
    <s v="B0668"/>
    <x v="1"/>
    <n v="26537"/>
    <n v="8.5"/>
    <n v="36"/>
    <x v="0"/>
    <x v="0"/>
    <x v="1"/>
    <n v="48108"/>
    <s v="OWN"/>
    <n v="0.18"/>
    <n v="0.5"/>
    <n v="28792.639999999999"/>
    <n v="0"/>
    <n v="39"/>
    <n v="6766.9350000000004"/>
    <n v="33303.934999999998"/>
    <n v="2255.6399999999994"/>
    <n v="0"/>
    <x v="0"/>
    <s v="LOW"/>
    <n v="18797.041700000002"/>
    <n v="8.4999811583826329E-2"/>
    <s v="NORMAL"/>
  </r>
  <r>
    <s v="L0669"/>
    <x v="418"/>
    <s v="B0669"/>
    <x v="5"/>
    <n v="36757"/>
    <n v="15.1"/>
    <n v="36"/>
    <x v="3"/>
    <x v="1"/>
    <x v="4"/>
    <n v="82495"/>
    <s v="RENT"/>
    <n v="0.31"/>
    <n v="0.62"/>
    <n v="8800.92"/>
    <n v="6346.33"/>
    <n v="33"/>
    <n v="16650.920999999998"/>
    <n v="53407.921000000002"/>
    <n v="-21609.75"/>
    <n v="1"/>
    <x v="2"/>
    <s v="HIGH"/>
    <n v="46252.558299999997"/>
    <n v="-0.58790842560600698"/>
    <s v="NORMAL"/>
  </r>
  <r>
    <s v="L0670"/>
    <x v="508"/>
    <s v="B0670"/>
    <x v="7"/>
    <n v="13040"/>
    <n v="18.5"/>
    <n v="36"/>
    <x v="0"/>
    <x v="6"/>
    <x v="1"/>
    <n v="112806"/>
    <s v="RENT"/>
    <n v="0.15"/>
    <n v="0.73"/>
    <n v="15452.4"/>
    <n v="0"/>
    <n v="28"/>
    <n v="7237.2000000000007"/>
    <n v="20277.2"/>
    <n v="2412.3999999999996"/>
    <n v="0"/>
    <x v="0"/>
    <s v="VERY HIGH"/>
    <n v="20103.333299999998"/>
    <n v="0.18499999999999997"/>
    <s v="NORMAL"/>
  </r>
  <r>
    <s v="L0671"/>
    <x v="509"/>
    <s v="B0671"/>
    <x v="3"/>
    <n v="23612"/>
    <n v="9.6999999999999993"/>
    <n v="36"/>
    <x v="1"/>
    <x v="6"/>
    <x v="2"/>
    <n v="123185"/>
    <s v="OWN"/>
    <n v="0.28000000000000003"/>
    <n v="0.82"/>
    <n v="11779.58"/>
    <n v="0"/>
    <n v="28"/>
    <n v="6871.0920000000006"/>
    <n v="30483.092000000001"/>
    <n v="-11832.42"/>
    <n v="0"/>
    <x v="1"/>
    <s v="VERY HIGH"/>
    <n v="19086.366699999999"/>
    <n v="-0.50111892258173807"/>
    <s v="HIGH RISK"/>
  </r>
  <r>
    <s v="L0672"/>
    <x v="450"/>
    <s v="B0672"/>
    <x v="0"/>
    <n v="29441"/>
    <n v="21.6"/>
    <n v="60"/>
    <x v="3"/>
    <x v="0"/>
    <x v="4"/>
    <n v="106533"/>
    <s v="RENT"/>
    <n v="0.23"/>
    <n v="0.57999999999999996"/>
    <n v="7302.84"/>
    <n v="11730.22"/>
    <n v="32"/>
    <n v="31796.28000000001"/>
    <n v="61237.280000000013"/>
    <n v="-10407.940000000002"/>
    <n v="1"/>
    <x v="2"/>
    <s v="LOW"/>
    <n v="52993.8"/>
    <n v="-0.35351856254882652"/>
    <s v="NORMAL"/>
  </r>
  <r>
    <s v="L0673"/>
    <x v="194"/>
    <s v="B0673"/>
    <x v="0"/>
    <n v="7471"/>
    <n v="15.9"/>
    <n v="60"/>
    <x v="3"/>
    <x v="2"/>
    <x v="0"/>
    <n v="129025"/>
    <s v="RENT"/>
    <n v="0.46"/>
    <n v="0.75"/>
    <n v="1146.94"/>
    <n v="2846.42"/>
    <n v="37"/>
    <n v="5939.4450000000006"/>
    <n v="13410.445"/>
    <n v="-3477.64"/>
    <n v="1"/>
    <x v="2"/>
    <s v="VERY HIGH"/>
    <n v="9899.0750000000007"/>
    <n v="-0.46548520947664301"/>
    <s v="HIGH RISK"/>
  </r>
  <r>
    <s v="L0674"/>
    <x v="510"/>
    <s v="B0674"/>
    <x v="0"/>
    <n v="36631"/>
    <n v="8.3000000000000007"/>
    <n v="36"/>
    <x v="3"/>
    <x v="1"/>
    <x v="2"/>
    <n v="86830"/>
    <s v="MORTGAGE"/>
    <n v="0.12"/>
    <n v="0.82"/>
    <n v="9301.3700000000008"/>
    <n v="10217.73"/>
    <n v="50"/>
    <n v="9121.1190000000006"/>
    <n v="45752.118999999999"/>
    <n v="-17111.900000000001"/>
    <n v="1"/>
    <x v="2"/>
    <s v="HIGH"/>
    <n v="25336.441800000001"/>
    <n v="-0.4671425841500369"/>
    <s v="HIGH RISK"/>
  </r>
  <r>
    <s v="L0675"/>
    <x v="10"/>
    <s v="B0675"/>
    <x v="0"/>
    <n v="27523"/>
    <n v="16.7"/>
    <n v="60"/>
    <x v="1"/>
    <x v="2"/>
    <x v="3"/>
    <n v="104640"/>
    <s v="RENT"/>
    <n v="0.38"/>
    <n v="0.7"/>
    <n v="11458.03"/>
    <n v="0"/>
    <n v="36"/>
    <n v="22981.704999999998"/>
    <n v="50504.705000000002"/>
    <n v="-16064.97"/>
    <n v="0"/>
    <x v="1"/>
    <s v="VERY HIGH"/>
    <n v="38302.841699999997"/>
    <n v="-0.58369254805072124"/>
    <s v="NORMAL"/>
  </r>
  <r>
    <s v="L0676"/>
    <x v="336"/>
    <s v="B0676"/>
    <x v="3"/>
    <n v="32348"/>
    <n v="25"/>
    <n v="36"/>
    <x v="0"/>
    <x v="4"/>
    <x v="1"/>
    <n v="82509"/>
    <s v="OWN"/>
    <n v="0.17"/>
    <n v="0.51"/>
    <n v="40435"/>
    <n v="0"/>
    <n v="38"/>
    <n v="24261"/>
    <n v="56609"/>
    <n v="8087"/>
    <n v="0"/>
    <x v="0"/>
    <s v="LOW"/>
    <n v="67391.666700000002"/>
    <n v="0.25"/>
    <s v="NORMAL"/>
  </r>
  <r>
    <s v="L0677"/>
    <x v="107"/>
    <s v="B0677"/>
    <x v="3"/>
    <n v="2177"/>
    <n v="8"/>
    <n v="36"/>
    <x v="2"/>
    <x v="4"/>
    <x v="4"/>
    <n v="96406"/>
    <s v="MORTGAGE"/>
    <n v="0.23"/>
    <n v="0.7"/>
    <n v="0"/>
    <n v="0"/>
    <n v="28"/>
    <n v="522.48"/>
    <n v="2699.48"/>
    <n v="-2177"/>
    <n v="0"/>
    <x v="2"/>
    <s v="LOW"/>
    <n v="1451.3333"/>
    <n v="-1"/>
    <s v="NORMAL"/>
  </r>
  <r>
    <s v="L0678"/>
    <x v="114"/>
    <s v="B0678"/>
    <x v="5"/>
    <n v="5760"/>
    <n v="21.3"/>
    <n v="36"/>
    <x v="0"/>
    <x v="6"/>
    <x v="2"/>
    <n v="124220"/>
    <s v="OWN"/>
    <n v="0.27"/>
    <n v="0.63"/>
    <n v="6986.88"/>
    <n v="0"/>
    <n v="46"/>
    <n v="3680.6400000000008"/>
    <n v="9440.6400000000012"/>
    <n v="1226.8800000000001"/>
    <n v="0"/>
    <x v="0"/>
    <s v="VERY HIGH"/>
    <n v="10224"/>
    <n v="0.21300000000000002"/>
    <s v="NORMAL"/>
  </r>
  <r>
    <s v="L0679"/>
    <x v="504"/>
    <s v="B0679"/>
    <x v="4"/>
    <n v="33779"/>
    <n v="9.1"/>
    <n v="60"/>
    <x v="0"/>
    <x v="0"/>
    <x v="2"/>
    <n v="69519"/>
    <s v="RENT"/>
    <n v="0.46"/>
    <n v="0.92"/>
    <n v="36852.89"/>
    <n v="0"/>
    <n v="61"/>
    <n v="15369.444999999998"/>
    <n v="49148.445"/>
    <n v="3073.8899999999994"/>
    <n v="0"/>
    <x v="0"/>
    <s v="LOW"/>
    <n v="25615.741699999999"/>
    <n v="9.1000029604191943E-2"/>
    <s v="HIGH RISK"/>
  </r>
  <r>
    <s v="L0680"/>
    <x v="379"/>
    <s v="B0680"/>
    <x v="4"/>
    <n v="22636"/>
    <n v="20.6"/>
    <n v="36"/>
    <x v="1"/>
    <x v="5"/>
    <x v="4"/>
    <n v="79649"/>
    <s v="MORTGAGE"/>
    <n v="0.2"/>
    <n v="0.56000000000000005"/>
    <n v="9045.0499999999993"/>
    <n v="0"/>
    <n v="39"/>
    <n v="13989.048000000003"/>
    <n v="36625.048000000003"/>
    <n v="-13590.95"/>
    <n v="0"/>
    <x v="1"/>
    <s v="MEDIUM"/>
    <n v="38858.466699999997"/>
    <n v="-0.60041305884431884"/>
    <s v="NORMAL"/>
  </r>
  <r>
    <s v="L0681"/>
    <x v="231"/>
    <s v="B0681"/>
    <x v="9"/>
    <n v="17353"/>
    <n v="19.7"/>
    <n v="36"/>
    <x v="1"/>
    <x v="6"/>
    <x v="3"/>
    <n v="64524"/>
    <s v="MORTGAGE"/>
    <n v="0.14000000000000001"/>
    <n v="0.79"/>
    <n v="7025.57"/>
    <n v="0"/>
    <n v="27"/>
    <n v="10255.623"/>
    <n v="27608.623"/>
    <n v="-10327.43"/>
    <n v="0"/>
    <x v="1"/>
    <s v="VERY HIGH"/>
    <n v="28487.841700000001"/>
    <n v="-0.59513801648130005"/>
    <s v="NORMAL"/>
  </r>
  <r>
    <s v="L0682"/>
    <x v="511"/>
    <s v="B0682"/>
    <x v="0"/>
    <n v="12556"/>
    <n v="11"/>
    <n v="60"/>
    <x v="3"/>
    <x v="6"/>
    <x v="3"/>
    <n v="126493"/>
    <s v="MORTGAGE"/>
    <n v="0.23"/>
    <n v="0.52"/>
    <n v="3922.58"/>
    <n v="3494.67"/>
    <n v="59"/>
    <n v="6905.8"/>
    <n v="19461.8"/>
    <n v="-5138.75"/>
    <n v="1"/>
    <x v="2"/>
    <s v="VERY HIGH"/>
    <n v="11509.6667"/>
    <n v="-0.40926648614208344"/>
    <s v="NORMAL"/>
  </r>
  <r>
    <s v="L0683"/>
    <x v="472"/>
    <s v="B0683"/>
    <x v="0"/>
    <n v="28598"/>
    <n v="11.5"/>
    <n v="60"/>
    <x v="1"/>
    <x v="2"/>
    <x v="0"/>
    <n v="63885"/>
    <s v="MORTGAGE"/>
    <n v="0.14000000000000001"/>
    <n v="0.7"/>
    <n v="4701.45"/>
    <n v="0"/>
    <n v="58"/>
    <n v="16443.850000000002"/>
    <n v="45041.850000000006"/>
    <n v="-23896.55"/>
    <n v="0"/>
    <x v="1"/>
    <s v="VERY HIGH"/>
    <n v="27406.416700000002"/>
    <n v="-0.83560214000979083"/>
    <s v="NORMAL"/>
  </r>
  <r>
    <s v="L0684"/>
    <x v="512"/>
    <s v="B0684"/>
    <x v="8"/>
    <n v="12563"/>
    <n v="20.9"/>
    <n v="60"/>
    <x v="0"/>
    <x v="1"/>
    <x v="3"/>
    <n v="74369"/>
    <s v="OWN"/>
    <n v="0.15"/>
    <n v="0.75"/>
    <n v="15188.67"/>
    <n v="0"/>
    <n v="35"/>
    <n v="13128.334999999997"/>
    <n v="25691.334999999999"/>
    <n v="2625.67"/>
    <n v="0"/>
    <x v="0"/>
    <s v="HIGH"/>
    <n v="21880.558300000001"/>
    <n v="0.20900023879646581"/>
    <s v="NORMAL"/>
  </r>
  <r>
    <s v="L0685"/>
    <x v="513"/>
    <s v="B0685"/>
    <x v="4"/>
    <n v="9234"/>
    <n v="14.2"/>
    <n v="36"/>
    <x v="2"/>
    <x v="0"/>
    <x v="0"/>
    <n v="131132"/>
    <s v="RENT"/>
    <n v="0.33"/>
    <n v="0.63"/>
    <n v="0"/>
    <n v="0"/>
    <n v="44"/>
    <n v="3933.6839999999993"/>
    <n v="13167.683999999999"/>
    <n v="-9234"/>
    <n v="0"/>
    <x v="2"/>
    <s v="LOW"/>
    <n v="10926.9"/>
    <n v="-1"/>
    <s v="NORMAL"/>
  </r>
  <r>
    <s v="L0686"/>
    <x v="514"/>
    <s v="B0686"/>
    <x v="5"/>
    <n v="26519"/>
    <n v="19.600000000000001"/>
    <n v="36"/>
    <x v="1"/>
    <x v="0"/>
    <x v="2"/>
    <n v="125402"/>
    <s v="RENT"/>
    <n v="0.12"/>
    <n v="0.7"/>
    <n v="11613.67"/>
    <n v="0"/>
    <n v="57"/>
    <n v="15593.172"/>
    <n v="42112.171999999999"/>
    <n v="-14905.33"/>
    <n v="0"/>
    <x v="1"/>
    <s v="LOW"/>
    <n v="43314.366699999999"/>
    <n v="-0.56206229495833171"/>
    <s v="NORMAL"/>
  </r>
  <r>
    <s v="L0687"/>
    <x v="515"/>
    <s v="B0687"/>
    <x v="7"/>
    <n v="27966"/>
    <n v="8"/>
    <n v="60"/>
    <x v="1"/>
    <x v="5"/>
    <x v="4"/>
    <n v="60676"/>
    <s v="MORTGAGE"/>
    <n v="0.11"/>
    <n v="0.56999999999999995"/>
    <n v="12642.02"/>
    <n v="0"/>
    <n v="61"/>
    <n v="11186.400000000001"/>
    <n v="39152.400000000001"/>
    <n v="-15323.98"/>
    <n v="0"/>
    <x v="1"/>
    <s v="MEDIUM"/>
    <n v="18644"/>
    <n v="-0.54795036830436961"/>
    <s v="NORMAL"/>
  </r>
  <r>
    <s v="L0688"/>
    <x v="516"/>
    <s v="B0688"/>
    <x v="9"/>
    <n v="17173"/>
    <n v="22.1"/>
    <n v="36"/>
    <x v="0"/>
    <x v="5"/>
    <x v="3"/>
    <n v="94093"/>
    <s v="RENT"/>
    <n v="0.39"/>
    <n v="0.64"/>
    <n v="20968.23"/>
    <n v="0"/>
    <n v="60"/>
    <n v="11385.699000000002"/>
    <n v="28558.699000000001"/>
    <n v="3795.2299999999996"/>
    <n v="0"/>
    <x v="0"/>
    <s v="MEDIUM"/>
    <n v="31626.941699999999"/>
    <n v="0.22099982530716819"/>
    <s v="NORMAL"/>
  </r>
  <r>
    <s v="L0689"/>
    <x v="485"/>
    <s v="B0689"/>
    <x v="9"/>
    <n v="27987"/>
    <n v="19.2"/>
    <n v="60"/>
    <x v="0"/>
    <x v="0"/>
    <x v="0"/>
    <n v="77764"/>
    <s v="OWN"/>
    <n v="0.24"/>
    <n v="0.78"/>
    <n v="33360.5"/>
    <n v="0"/>
    <n v="54"/>
    <n v="26867.52"/>
    <n v="54854.520000000004"/>
    <n v="5373.5"/>
    <n v="0"/>
    <x v="0"/>
    <s v="LOW"/>
    <n v="44779.199999999997"/>
    <n v="0.1919998570764998"/>
    <s v="NORMAL"/>
  </r>
  <r>
    <s v="L0690"/>
    <x v="359"/>
    <s v="B0690"/>
    <x v="5"/>
    <n v="14178"/>
    <n v="23.1"/>
    <n v="60"/>
    <x v="1"/>
    <x v="0"/>
    <x v="2"/>
    <n v="80799"/>
    <s v="RENT"/>
    <n v="0.15"/>
    <n v="0.64"/>
    <n v="1947.61"/>
    <n v="0"/>
    <n v="59"/>
    <n v="16375.590000000002"/>
    <n v="30553.590000000004"/>
    <n v="-12230.39"/>
    <n v="0"/>
    <x v="1"/>
    <s v="LOW"/>
    <n v="27292.65"/>
    <n v="-0.86263154182536317"/>
    <s v="NORMAL"/>
  </r>
  <r>
    <s v="L0691"/>
    <x v="474"/>
    <s v="B0691"/>
    <x v="7"/>
    <n v="25596"/>
    <n v="7.6"/>
    <n v="36"/>
    <x v="0"/>
    <x v="5"/>
    <x v="3"/>
    <n v="109414"/>
    <s v="OWN"/>
    <n v="0.2"/>
    <n v="0.9"/>
    <n v="27541.3"/>
    <n v="0"/>
    <n v="58"/>
    <n v="5835.887999999999"/>
    <n v="31431.887999999999"/>
    <n v="1945.2999999999993"/>
    <n v="0"/>
    <x v="0"/>
    <s v="MEDIUM"/>
    <n v="16210.800300000001"/>
    <n v="7.6000156274417849E-2"/>
    <s v="HIGH RISK"/>
  </r>
  <r>
    <s v="L0692"/>
    <x v="517"/>
    <s v="B0692"/>
    <x v="8"/>
    <n v="34174"/>
    <n v="16.899999999999999"/>
    <n v="36"/>
    <x v="0"/>
    <x v="1"/>
    <x v="1"/>
    <n v="135296"/>
    <s v="OWN"/>
    <n v="0.36"/>
    <n v="0.78"/>
    <n v="39949.410000000003"/>
    <n v="0"/>
    <n v="55"/>
    <n v="17326.218000000001"/>
    <n v="51500.218000000001"/>
    <n v="5775.4100000000035"/>
    <n v="0"/>
    <x v="0"/>
    <s v="HIGH"/>
    <n v="48128.383300000001"/>
    <n v="0.16900011704804832"/>
    <s v="NORMAL"/>
  </r>
  <r>
    <s v="L0693"/>
    <x v="474"/>
    <s v="B0693"/>
    <x v="3"/>
    <n v="5431"/>
    <n v="17"/>
    <n v="60"/>
    <x v="1"/>
    <x v="3"/>
    <x v="2"/>
    <n v="123095"/>
    <s v="RENT"/>
    <n v="0.21"/>
    <n v="0.7"/>
    <n v="590.38"/>
    <n v="0"/>
    <n v="58"/>
    <n v="4616.3499999999995"/>
    <n v="10047.349999999999"/>
    <n v="-4840.62"/>
    <n v="0"/>
    <x v="1"/>
    <s v="VERY HIGH"/>
    <n v="7693.9166999999998"/>
    <n v="-0.89129442091695821"/>
    <s v="NORMAL"/>
  </r>
  <r>
    <s v="L0694"/>
    <x v="440"/>
    <s v="B0694"/>
    <x v="6"/>
    <n v="28764"/>
    <n v="12.1"/>
    <n v="60"/>
    <x v="0"/>
    <x v="1"/>
    <x v="3"/>
    <n v="142082"/>
    <s v="OWN"/>
    <n v="0.3"/>
    <n v="0.52"/>
    <n v="32244.44"/>
    <n v="0"/>
    <n v="61"/>
    <n v="17402.219999999998"/>
    <n v="46166.22"/>
    <n v="3480.4399999999987"/>
    <n v="0"/>
    <x v="0"/>
    <s v="HIGH"/>
    <n v="29003.7"/>
    <n v="0.12099986093728267"/>
    <s v="NORMAL"/>
  </r>
  <r>
    <s v="L0695"/>
    <x v="518"/>
    <s v="B0695"/>
    <x v="4"/>
    <n v="22627"/>
    <n v="14.2"/>
    <n v="60"/>
    <x v="0"/>
    <x v="6"/>
    <x v="2"/>
    <n v="102307"/>
    <s v="OWN"/>
    <n v="0.15"/>
    <n v="0.72"/>
    <n v="25840.03"/>
    <n v="0"/>
    <n v="42"/>
    <n v="16065.169999999998"/>
    <n v="38692.17"/>
    <n v="3213.0299999999988"/>
    <n v="0"/>
    <x v="0"/>
    <s v="VERY HIGH"/>
    <n v="26775.283299999999"/>
    <n v="0.14199982322004678"/>
    <s v="NORMAL"/>
  </r>
  <r>
    <s v="L0696"/>
    <x v="17"/>
    <s v="B0696"/>
    <x v="0"/>
    <n v="9906"/>
    <n v="5.8"/>
    <n v="60"/>
    <x v="0"/>
    <x v="5"/>
    <x v="4"/>
    <n v="112062"/>
    <s v="OWN"/>
    <n v="0.34"/>
    <n v="0.84"/>
    <n v="10480.549999999999"/>
    <n v="0"/>
    <n v="38"/>
    <n v="2872.74"/>
    <n v="12778.74"/>
    <n v="574.54999999999927"/>
    <n v="0"/>
    <x v="0"/>
    <s v="MEDIUM"/>
    <n v="4787.8999999999996"/>
    <n v="5.8000201897839616E-2"/>
    <s v="HIGH RISK"/>
  </r>
  <r>
    <s v="L0697"/>
    <x v="519"/>
    <s v="B0697"/>
    <x v="5"/>
    <n v="37914"/>
    <n v="19.899999999999999"/>
    <n v="36"/>
    <x v="0"/>
    <x v="3"/>
    <x v="4"/>
    <n v="125432"/>
    <s v="OWN"/>
    <n v="0.23"/>
    <n v="0.62"/>
    <n v="45458.89"/>
    <n v="0"/>
    <n v="43"/>
    <n v="22634.657999999999"/>
    <n v="60548.657999999996"/>
    <n v="7544.8899999999994"/>
    <n v="0"/>
    <x v="0"/>
    <s v="VERY HIGH"/>
    <n v="62874.05"/>
    <n v="0.1990001055019254"/>
    <s v="NORMAL"/>
  </r>
  <r>
    <s v="L0698"/>
    <x v="520"/>
    <s v="B0698"/>
    <x v="4"/>
    <n v="14076"/>
    <n v="16"/>
    <n v="60"/>
    <x v="1"/>
    <x v="1"/>
    <x v="4"/>
    <n v="61923"/>
    <s v="MORTGAGE"/>
    <n v="0.35"/>
    <n v="0.86"/>
    <n v="6883.48"/>
    <n v="0"/>
    <n v="48"/>
    <n v="11260.799999999997"/>
    <n v="25336.799999999996"/>
    <n v="-7192.52"/>
    <n v="0"/>
    <x v="1"/>
    <s v="HIGH"/>
    <n v="18768"/>
    <n v="-0.51097755044046611"/>
    <s v="HIGH RISK"/>
  </r>
  <r>
    <s v="L0699"/>
    <x v="98"/>
    <s v="B0699"/>
    <x v="0"/>
    <n v="38650"/>
    <n v="6.2"/>
    <n v="60"/>
    <x v="0"/>
    <x v="6"/>
    <x v="1"/>
    <n v="147449"/>
    <s v="RENT"/>
    <n v="0.42"/>
    <n v="0.61"/>
    <n v="41046.300000000003"/>
    <n v="0"/>
    <n v="42"/>
    <n v="11981.5"/>
    <n v="50631.5"/>
    <n v="2396.3000000000029"/>
    <n v="0"/>
    <x v="0"/>
    <s v="VERY HIGH"/>
    <n v="19969.166700000002"/>
    <n v="6.2000000000000076E-2"/>
    <s v="HIGH RISK"/>
  </r>
  <r>
    <s v="L0700"/>
    <x v="521"/>
    <s v="B0700"/>
    <x v="6"/>
    <n v="7012"/>
    <n v="18.600000000000001"/>
    <n v="60"/>
    <x v="0"/>
    <x v="2"/>
    <x v="4"/>
    <n v="131739"/>
    <s v="MORTGAGE"/>
    <n v="0.34"/>
    <n v="0.87"/>
    <n v="8316.23"/>
    <n v="0"/>
    <n v="39"/>
    <n v="6521.1600000000008"/>
    <n v="13533.16"/>
    <n v="1304.2299999999996"/>
    <n v="0"/>
    <x v="0"/>
    <s v="VERY HIGH"/>
    <n v="10868.6"/>
    <n v="0.18599971477467192"/>
    <s v="HIGH RISK"/>
  </r>
  <r>
    <s v="L0701"/>
    <x v="522"/>
    <s v="B0701"/>
    <x v="6"/>
    <n v="8151"/>
    <n v="14.3"/>
    <n v="36"/>
    <x v="1"/>
    <x v="2"/>
    <x v="1"/>
    <n v="134926"/>
    <s v="OWN"/>
    <n v="0.22"/>
    <n v="0.54"/>
    <n v="3592.52"/>
    <n v="0"/>
    <n v="52"/>
    <n v="3496.7790000000005"/>
    <n v="11647.779"/>
    <n v="-4558.4799999999996"/>
    <n v="0"/>
    <x v="1"/>
    <s v="VERY HIGH"/>
    <n v="9713.2749999999996"/>
    <n v="-0.55925407925407922"/>
    <s v="NORMAL"/>
  </r>
  <r>
    <s v="L0702"/>
    <x v="262"/>
    <s v="B0702"/>
    <x v="3"/>
    <n v="29211"/>
    <n v="5.7"/>
    <n v="36"/>
    <x v="2"/>
    <x v="4"/>
    <x v="4"/>
    <n v="108388"/>
    <s v="RENT"/>
    <n v="0.2"/>
    <n v="0.89"/>
    <n v="0"/>
    <n v="0"/>
    <n v="33"/>
    <n v="4995.0810000000001"/>
    <n v="34206.080999999998"/>
    <n v="-29211"/>
    <n v="0"/>
    <x v="2"/>
    <s v="LOW"/>
    <n v="13875.2366"/>
    <n v="-1"/>
    <s v="HIGH RISK"/>
  </r>
  <r>
    <s v="L0703"/>
    <x v="523"/>
    <s v="B0703"/>
    <x v="1"/>
    <n v="28117"/>
    <n v="24.4"/>
    <n v="60"/>
    <x v="1"/>
    <x v="0"/>
    <x v="2"/>
    <n v="77574"/>
    <s v="OWN"/>
    <n v="0.23"/>
    <n v="0.72"/>
    <n v="12707.65"/>
    <n v="0"/>
    <n v="40"/>
    <n v="34302.74"/>
    <n v="62419.74"/>
    <n v="-15409.35"/>
    <n v="0"/>
    <x v="1"/>
    <s v="LOW"/>
    <n v="57171.2333"/>
    <n v="-0.54804388803926452"/>
    <s v="NORMAL"/>
  </r>
  <r>
    <s v="L0704"/>
    <x v="13"/>
    <s v="B0704"/>
    <x v="6"/>
    <n v="37378"/>
    <n v="24"/>
    <n v="36"/>
    <x v="0"/>
    <x v="0"/>
    <x v="3"/>
    <n v="73391"/>
    <s v="RENT"/>
    <n v="0.17"/>
    <n v="0.63"/>
    <n v="46348.72"/>
    <n v="0"/>
    <n v="53"/>
    <n v="26912.16"/>
    <n v="64290.16"/>
    <n v="8970.7200000000012"/>
    <n v="0"/>
    <x v="0"/>
    <s v="LOW"/>
    <n v="74756"/>
    <n v="0.24000000000000002"/>
    <s v="NORMAL"/>
  </r>
  <r>
    <s v="L0705"/>
    <x v="168"/>
    <s v="B0705"/>
    <x v="4"/>
    <n v="7894"/>
    <n v="15.3"/>
    <n v="36"/>
    <x v="0"/>
    <x v="0"/>
    <x v="3"/>
    <n v="83664"/>
    <s v="MORTGAGE"/>
    <n v="0.17"/>
    <n v="0.62"/>
    <n v="9101.7800000000007"/>
    <n v="0"/>
    <n v="42"/>
    <n v="3623.346"/>
    <n v="11517.346"/>
    <n v="1207.7800000000007"/>
    <n v="0"/>
    <x v="0"/>
    <s v="LOW"/>
    <n v="10064.85"/>
    <n v="0.1529997466430201"/>
    <s v="NORMAL"/>
  </r>
  <r>
    <s v="L0706"/>
    <x v="306"/>
    <s v="B0706"/>
    <x v="2"/>
    <n v="14467"/>
    <n v="6.9"/>
    <n v="36"/>
    <x v="3"/>
    <x v="0"/>
    <x v="4"/>
    <n v="97384"/>
    <s v="RENT"/>
    <n v="0.42"/>
    <n v="0.69"/>
    <n v="5293.66"/>
    <n v="1335.02"/>
    <n v="45"/>
    <n v="2994.6690000000003"/>
    <n v="17461.669000000002"/>
    <n v="-7838.32"/>
    <n v="1"/>
    <x v="2"/>
    <s v="LOW"/>
    <n v="8318.5257000000001"/>
    <n v="-0.54180687080942835"/>
    <s v="HIGH RISK"/>
  </r>
  <r>
    <s v="L0707"/>
    <x v="524"/>
    <s v="B0707"/>
    <x v="2"/>
    <n v="32010"/>
    <n v="20.100000000000001"/>
    <n v="60"/>
    <x v="0"/>
    <x v="0"/>
    <x v="3"/>
    <n v="61027"/>
    <s v="OWN"/>
    <n v="0.25"/>
    <n v="0.95"/>
    <n v="38444.01"/>
    <n v="0"/>
    <n v="34"/>
    <n v="32170.050000000003"/>
    <n v="64180.05"/>
    <n v="6434.010000000002"/>
    <n v="0"/>
    <x v="0"/>
    <s v="LOW"/>
    <n v="53616.75"/>
    <n v="0.20100000000000007"/>
    <s v="HIGH RISK"/>
  </r>
  <r>
    <s v="L0708"/>
    <x v="491"/>
    <s v="B0708"/>
    <x v="0"/>
    <n v="13289"/>
    <n v="14.8"/>
    <n v="60"/>
    <x v="1"/>
    <x v="4"/>
    <x v="4"/>
    <n v="65464"/>
    <s v="RENT"/>
    <n v="0.27"/>
    <n v="0.6"/>
    <n v="3903.76"/>
    <n v="0"/>
    <n v="51"/>
    <n v="9833.86"/>
    <n v="23122.86"/>
    <n v="-9385.24"/>
    <n v="0"/>
    <x v="1"/>
    <s v="LOW"/>
    <n v="16389.7667"/>
    <n v="-0.70624125216344347"/>
    <s v="NORMAL"/>
  </r>
  <r>
    <s v="L0709"/>
    <x v="266"/>
    <s v="B0709"/>
    <x v="0"/>
    <n v="24171"/>
    <n v="11"/>
    <n v="36"/>
    <x v="0"/>
    <x v="5"/>
    <x v="4"/>
    <n v="64485"/>
    <s v="RENT"/>
    <n v="0.34"/>
    <n v="0.55000000000000004"/>
    <n v="26829.81"/>
    <n v="0"/>
    <n v="35"/>
    <n v="7976.43"/>
    <n v="32147.43"/>
    <n v="2658.8100000000013"/>
    <n v="0"/>
    <x v="0"/>
    <s v="MEDIUM"/>
    <n v="22156.75"/>
    <n v="0.11000000000000006"/>
    <s v="NORMAL"/>
  </r>
  <r>
    <s v="L0710"/>
    <x v="232"/>
    <s v="B0710"/>
    <x v="1"/>
    <n v="35905"/>
    <n v="14.8"/>
    <n v="60"/>
    <x v="0"/>
    <x v="1"/>
    <x v="0"/>
    <n v="49456"/>
    <s v="MORTGAGE"/>
    <n v="0.34"/>
    <n v="0.76"/>
    <n v="41218.94"/>
    <n v="0"/>
    <n v="37"/>
    <n v="26569.699999999997"/>
    <n v="62474.7"/>
    <n v="5313.9400000000023"/>
    <n v="0"/>
    <x v="0"/>
    <s v="HIGH"/>
    <n v="44282.833299999998"/>
    <n v="0.14800000000000008"/>
    <s v="NORMAL"/>
  </r>
  <r>
    <s v="L0711"/>
    <x v="525"/>
    <s v="B0711"/>
    <x v="2"/>
    <n v="21829"/>
    <n v="15.4"/>
    <n v="60"/>
    <x v="1"/>
    <x v="0"/>
    <x v="0"/>
    <n v="104795"/>
    <s v="OWN"/>
    <n v="0.13"/>
    <n v="0.72"/>
    <n v="7441.09"/>
    <n v="0"/>
    <n v="33"/>
    <n v="16808.330000000002"/>
    <n v="38637.33"/>
    <n v="-14387.91"/>
    <n v="0"/>
    <x v="1"/>
    <s v="LOW"/>
    <n v="28013.883300000001"/>
    <n v="-0.65911906179852486"/>
    <s v="NORMAL"/>
  </r>
  <r>
    <s v="L0712"/>
    <x v="526"/>
    <s v="B0712"/>
    <x v="0"/>
    <n v="35054"/>
    <n v="16.3"/>
    <n v="36"/>
    <x v="1"/>
    <x v="1"/>
    <x v="0"/>
    <n v="65554"/>
    <s v="RENT"/>
    <n v="0.43"/>
    <n v="0.74"/>
    <n v="10355.42"/>
    <n v="0"/>
    <n v="54"/>
    <n v="17141.406000000003"/>
    <n v="52195.406000000003"/>
    <n v="-24698.58"/>
    <n v="0"/>
    <x v="1"/>
    <s v="HIGH"/>
    <n v="47615.0167"/>
    <n v="-0.7045866377588863"/>
    <s v="HIGH RISK"/>
  </r>
  <r>
    <s v="L0713"/>
    <x v="527"/>
    <s v="B0713"/>
    <x v="6"/>
    <n v="30734"/>
    <n v="13.8"/>
    <n v="36"/>
    <x v="1"/>
    <x v="1"/>
    <x v="1"/>
    <n v="76922"/>
    <s v="MORTGAGE"/>
    <n v="0.17"/>
    <n v="0.8"/>
    <n v="2244.9"/>
    <n v="0"/>
    <n v="44"/>
    <n v="12723.876000000002"/>
    <n v="43457.876000000004"/>
    <n v="-28489.1"/>
    <n v="0"/>
    <x v="1"/>
    <s v="HIGH"/>
    <n v="35344.1"/>
    <n v="-0.9269571158977028"/>
    <s v="NORMAL"/>
  </r>
  <r>
    <s v="L0714"/>
    <x v="528"/>
    <s v="B0714"/>
    <x v="0"/>
    <n v="8052"/>
    <n v="17.100000000000001"/>
    <n v="60"/>
    <x v="0"/>
    <x v="5"/>
    <x v="0"/>
    <n v="43409"/>
    <s v="RENT"/>
    <n v="0.39"/>
    <n v="0.62"/>
    <n v="9428.89"/>
    <n v="0"/>
    <n v="27"/>
    <n v="6884.46"/>
    <n v="14936.46"/>
    <n v="1376.8899999999994"/>
    <n v="0"/>
    <x v="0"/>
    <s v="MEDIUM"/>
    <n v="11474.1"/>
    <n v="0.17099975161450565"/>
    <s v="NORMAL"/>
  </r>
  <r>
    <s v="L0715"/>
    <x v="529"/>
    <s v="B0715"/>
    <x v="9"/>
    <n v="4654"/>
    <n v="23.4"/>
    <n v="36"/>
    <x v="0"/>
    <x v="2"/>
    <x v="4"/>
    <n v="99327"/>
    <s v="OWN"/>
    <n v="0.41"/>
    <n v="0.91"/>
    <n v="5743.04"/>
    <n v="0"/>
    <n v="55"/>
    <n v="3267.1079999999997"/>
    <n v="7921.1080000000002"/>
    <n v="1089.04"/>
    <n v="0"/>
    <x v="0"/>
    <s v="VERY HIGH"/>
    <n v="9075.2999999999993"/>
    <n v="0.2340008594757198"/>
    <s v="HIGH RISK"/>
  </r>
  <r>
    <s v="L0716"/>
    <x v="530"/>
    <s v="B0716"/>
    <x v="1"/>
    <n v="24486"/>
    <n v="12.2"/>
    <n v="60"/>
    <x v="1"/>
    <x v="0"/>
    <x v="2"/>
    <n v="121400"/>
    <s v="RENT"/>
    <n v="0.39"/>
    <n v="0.7"/>
    <n v="9438.77"/>
    <n v="0"/>
    <n v="44"/>
    <n v="14936.46"/>
    <n v="39422.46"/>
    <n v="-15047.23"/>
    <n v="0"/>
    <x v="1"/>
    <s v="LOW"/>
    <n v="24894.1"/>
    <n v="-0.61452380952380947"/>
    <s v="NORMAL"/>
  </r>
  <r>
    <s v="L0717"/>
    <x v="334"/>
    <s v="B0717"/>
    <x v="5"/>
    <n v="19743"/>
    <n v="19.5"/>
    <n v="60"/>
    <x v="1"/>
    <x v="0"/>
    <x v="0"/>
    <n v="66639"/>
    <s v="RENT"/>
    <n v="0.33"/>
    <n v="0.56000000000000005"/>
    <n v="5476.7"/>
    <n v="0"/>
    <n v="32"/>
    <n v="19249.424999999999"/>
    <n v="38992.425000000003"/>
    <n v="-14266.3"/>
    <n v="0"/>
    <x v="1"/>
    <s v="LOW"/>
    <n v="32082.375"/>
    <n v="-0.72260041533708141"/>
    <s v="NORMAL"/>
  </r>
  <r>
    <s v="L0718"/>
    <x v="531"/>
    <s v="B0718"/>
    <x v="7"/>
    <n v="25489"/>
    <n v="22.9"/>
    <n v="36"/>
    <x v="0"/>
    <x v="4"/>
    <x v="0"/>
    <n v="130110"/>
    <s v="RENT"/>
    <n v="0.11"/>
    <n v="0.83"/>
    <n v="31325.98"/>
    <n v="0"/>
    <n v="62"/>
    <n v="17510.942999999999"/>
    <n v="42999.942999999999"/>
    <n v="5836.98"/>
    <n v="0"/>
    <x v="0"/>
    <s v="LOW"/>
    <n v="48641.508300000001"/>
    <n v="0.22899996076738985"/>
    <s v="HIGH RISK"/>
  </r>
  <r>
    <s v="L0719"/>
    <x v="532"/>
    <s v="B0719"/>
    <x v="8"/>
    <n v="9636"/>
    <n v="14.1"/>
    <n v="60"/>
    <x v="0"/>
    <x v="0"/>
    <x v="2"/>
    <n v="93627"/>
    <s v="RENT"/>
    <n v="0.24"/>
    <n v="0.79"/>
    <n v="10994.68"/>
    <n v="0"/>
    <n v="47"/>
    <n v="6793.380000000001"/>
    <n v="16429.38"/>
    <n v="1358.6800000000003"/>
    <n v="0"/>
    <x v="0"/>
    <s v="LOW"/>
    <n v="11322.3"/>
    <n v="0.14100041511000419"/>
    <s v="NORMAL"/>
  </r>
  <r>
    <s v="L0720"/>
    <x v="451"/>
    <s v="B0720"/>
    <x v="7"/>
    <n v="7441"/>
    <n v="13.9"/>
    <n v="60"/>
    <x v="0"/>
    <x v="5"/>
    <x v="4"/>
    <n v="113424"/>
    <s v="OWN"/>
    <n v="0.34"/>
    <n v="0.64"/>
    <n v="8475.2999999999993"/>
    <n v="0"/>
    <n v="60"/>
    <n v="5171.4949999999999"/>
    <n v="12612.494999999999"/>
    <n v="1034.2999999999993"/>
    <n v="0"/>
    <x v="0"/>
    <s v="MEDIUM"/>
    <n v="8619.1582999999991"/>
    <n v="0.13900013439053882"/>
    <s v="NORMAL"/>
  </r>
  <r>
    <s v="L0721"/>
    <x v="533"/>
    <s v="B0721"/>
    <x v="7"/>
    <n v="25611"/>
    <n v="17"/>
    <n v="36"/>
    <x v="4"/>
    <x v="4"/>
    <x v="1"/>
    <n v="49692"/>
    <s v="MORTGAGE"/>
    <n v="0.25"/>
    <n v="0.78"/>
    <n v="0"/>
    <n v="0"/>
    <n v="62"/>
    <n v="13061.61"/>
    <n v="38672.61"/>
    <n v="-25611"/>
    <n v="0"/>
    <x v="2"/>
    <s v="LOW"/>
    <n v="36282.25"/>
    <n v="-1"/>
    <s v="NORMAL"/>
  </r>
  <r>
    <s v="L0722"/>
    <x v="123"/>
    <s v="B0722"/>
    <x v="3"/>
    <n v="13149"/>
    <n v="16.8"/>
    <n v="36"/>
    <x v="1"/>
    <x v="4"/>
    <x v="0"/>
    <n v="119037"/>
    <s v="MORTGAGE"/>
    <n v="0.45"/>
    <n v="0.6"/>
    <n v="4489.9799999999996"/>
    <n v="0"/>
    <n v="41"/>
    <n v="6627.0960000000005"/>
    <n v="19776.096000000001"/>
    <n v="-8659.02"/>
    <n v="0"/>
    <x v="1"/>
    <s v="LOW"/>
    <n v="18408.599999999999"/>
    <n v="-0.65853068674423909"/>
    <s v="HIGH RISK"/>
  </r>
  <r>
    <s v="L0723"/>
    <x v="444"/>
    <s v="B0723"/>
    <x v="5"/>
    <n v="35566"/>
    <n v="21.1"/>
    <n v="36"/>
    <x v="3"/>
    <x v="0"/>
    <x v="2"/>
    <n v="108840"/>
    <s v="RENT"/>
    <n v="0.22"/>
    <n v="0.7"/>
    <n v="8919.67"/>
    <n v="8978.74"/>
    <n v="58"/>
    <n v="22513.278000000006"/>
    <n v="58079.278000000006"/>
    <n v="-17667.59"/>
    <n v="1"/>
    <x v="2"/>
    <s v="LOW"/>
    <n v="62536.883300000001"/>
    <n v="-0.49675504695495698"/>
    <s v="NORMAL"/>
  </r>
  <r>
    <s v="L0724"/>
    <x v="169"/>
    <s v="B0724"/>
    <x v="0"/>
    <n v="22675"/>
    <n v="14.5"/>
    <n v="60"/>
    <x v="0"/>
    <x v="4"/>
    <x v="4"/>
    <n v="84200"/>
    <s v="OWN"/>
    <n v="0.22"/>
    <n v="0.9"/>
    <n v="25962.880000000001"/>
    <n v="0"/>
    <n v="33"/>
    <n v="16439.375"/>
    <n v="39114.375"/>
    <n v="3287.880000000001"/>
    <n v="0"/>
    <x v="0"/>
    <s v="LOW"/>
    <n v="27398.958299999998"/>
    <n v="0.14500022050716652"/>
    <s v="HIGH RISK"/>
  </r>
  <r>
    <s v="L0725"/>
    <x v="534"/>
    <s v="B0725"/>
    <x v="3"/>
    <n v="6495"/>
    <n v="24.9"/>
    <n v="36"/>
    <x v="2"/>
    <x v="5"/>
    <x v="3"/>
    <n v="123063"/>
    <s v="OWN"/>
    <n v="0.21"/>
    <n v="0.56000000000000005"/>
    <n v="0"/>
    <n v="0"/>
    <n v="46"/>
    <n v="4851.7650000000003"/>
    <n v="11346.764999999999"/>
    <n v="-6495"/>
    <n v="0"/>
    <x v="2"/>
    <s v="MEDIUM"/>
    <n v="13477.125"/>
    <n v="-1"/>
    <s v="NORMAL"/>
  </r>
  <r>
    <s v="L0726"/>
    <x v="535"/>
    <s v="B0726"/>
    <x v="7"/>
    <n v="14673"/>
    <n v="6.2"/>
    <n v="36"/>
    <x v="0"/>
    <x v="5"/>
    <x v="1"/>
    <n v="87415"/>
    <s v="OWN"/>
    <n v="0.23"/>
    <n v="0.67"/>
    <n v="15582.73"/>
    <n v="0"/>
    <n v="31"/>
    <n v="2729.1780000000003"/>
    <n v="17402.178"/>
    <n v="909.72999999999956"/>
    <n v="0"/>
    <x v="0"/>
    <s v="MEDIUM"/>
    <n v="7581.0523000000003"/>
    <n v="6.2000272609554936E-2"/>
    <s v="NORMAL"/>
  </r>
  <r>
    <s v="L0727"/>
    <x v="536"/>
    <s v="B0727"/>
    <x v="9"/>
    <n v="12130"/>
    <n v="5.0999999999999996"/>
    <n v="36"/>
    <x v="0"/>
    <x v="0"/>
    <x v="2"/>
    <n v="48074"/>
    <s v="OWN"/>
    <n v="0.32"/>
    <n v="0.87"/>
    <n v="12748.63"/>
    <n v="0"/>
    <n v="43"/>
    <n v="1855.8899999999996"/>
    <n v="13985.89"/>
    <n v="618.6299999999992"/>
    <n v="0"/>
    <x v="0"/>
    <s v="LOW"/>
    <n v="5155.2650000000003"/>
    <n v="5.0999999999999934E-2"/>
    <s v="HIGH RISK"/>
  </r>
  <r>
    <s v="L0728"/>
    <x v="537"/>
    <s v="B0728"/>
    <x v="8"/>
    <n v="23668"/>
    <n v="17.8"/>
    <n v="36"/>
    <x v="1"/>
    <x v="0"/>
    <x v="2"/>
    <n v="45549"/>
    <s v="OWN"/>
    <n v="0.38"/>
    <n v="0.94"/>
    <n v="6421.49"/>
    <n v="0"/>
    <n v="56"/>
    <n v="12638.712000000001"/>
    <n v="36306.712"/>
    <n v="-17246.510000000002"/>
    <n v="0"/>
    <x v="1"/>
    <s v="LOW"/>
    <n v="35107.533300000003"/>
    <n v="-0.72868472198749379"/>
    <s v="HIGH RISK"/>
  </r>
  <r>
    <s v="L0729"/>
    <x v="538"/>
    <s v="B0729"/>
    <x v="7"/>
    <n v="16222"/>
    <n v="11"/>
    <n v="60"/>
    <x v="0"/>
    <x v="0"/>
    <x v="2"/>
    <n v="59963"/>
    <s v="OWN"/>
    <n v="0.37"/>
    <n v="0.7"/>
    <n v="18006.419999999998"/>
    <n v="0"/>
    <n v="34"/>
    <n v="8922.1"/>
    <n v="25144.1"/>
    <n v="1784.4199999999983"/>
    <n v="0"/>
    <x v="0"/>
    <s v="LOW"/>
    <n v="14870.1667"/>
    <n v="0.10999999999999989"/>
    <s v="NORMAL"/>
  </r>
  <r>
    <s v="L0730"/>
    <x v="539"/>
    <s v="B0730"/>
    <x v="2"/>
    <n v="24669"/>
    <n v="9.8000000000000007"/>
    <n v="60"/>
    <x v="0"/>
    <x v="0"/>
    <x v="0"/>
    <n v="121456"/>
    <s v="RENT"/>
    <n v="0.42"/>
    <n v="0.73"/>
    <n v="27086.560000000001"/>
    <n v="0"/>
    <n v="39"/>
    <n v="12087.81"/>
    <n v="36756.81"/>
    <n v="2417.5600000000013"/>
    <n v="0"/>
    <x v="0"/>
    <s v="LOW"/>
    <n v="20146.349999999999"/>
    <n v="9.7999918926588075E-2"/>
    <s v="HIGH RISK"/>
  </r>
  <r>
    <s v="L0731"/>
    <x v="495"/>
    <s v="B0731"/>
    <x v="5"/>
    <n v="35068"/>
    <n v="11.2"/>
    <n v="36"/>
    <x v="0"/>
    <x v="6"/>
    <x v="3"/>
    <n v="126362"/>
    <s v="MORTGAGE"/>
    <n v="0.45"/>
    <n v="0.76"/>
    <n v="38995.620000000003"/>
    <n v="0"/>
    <n v="28"/>
    <n v="11782.848"/>
    <n v="46850.847999999998"/>
    <n v="3927.6200000000026"/>
    <n v="0"/>
    <x v="0"/>
    <s v="VERY HIGH"/>
    <n v="32730.133300000001"/>
    <n v="0.11200011406410409"/>
    <s v="HIGH RISK"/>
  </r>
  <r>
    <s v="L0732"/>
    <x v="381"/>
    <s v="B0732"/>
    <x v="5"/>
    <n v="24253"/>
    <n v="10.1"/>
    <n v="60"/>
    <x v="0"/>
    <x v="0"/>
    <x v="1"/>
    <n v="131607"/>
    <s v="MORTGAGE"/>
    <n v="0.43"/>
    <n v="0.92"/>
    <n v="26702.55"/>
    <n v="0"/>
    <n v="56"/>
    <n v="12247.764999999999"/>
    <n v="36500.764999999999"/>
    <n v="2449.5499999999993"/>
    <n v="0"/>
    <x v="0"/>
    <s v="LOW"/>
    <n v="20412.941699999999"/>
    <n v="0.10099987630396237"/>
    <s v="HIGH RISK"/>
  </r>
  <r>
    <s v="L0733"/>
    <x v="540"/>
    <s v="B0733"/>
    <x v="5"/>
    <n v="10435"/>
    <n v="5.6"/>
    <n v="36"/>
    <x v="1"/>
    <x v="1"/>
    <x v="4"/>
    <n v="82265"/>
    <s v="RENT"/>
    <n v="0.11"/>
    <n v="0.89"/>
    <n v="1328.43"/>
    <n v="0"/>
    <n v="51"/>
    <n v="1753.0799999999997"/>
    <n v="12188.08"/>
    <n v="-9106.57"/>
    <n v="0"/>
    <x v="1"/>
    <s v="HIGH"/>
    <n v="4869.6716999999999"/>
    <n v="-0.87269477719214184"/>
    <s v="HIGH RISK"/>
  </r>
  <r>
    <s v="L0734"/>
    <x v="142"/>
    <s v="B0734"/>
    <x v="1"/>
    <n v="29552"/>
    <n v="24.4"/>
    <n v="36"/>
    <x v="1"/>
    <x v="6"/>
    <x v="4"/>
    <n v="46061"/>
    <s v="MORTGAGE"/>
    <n v="0.39"/>
    <n v="0.57999999999999996"/>
    <n v="5184.05"/>
    <n v="0"/>
    <n v="35"/>
    <n v="21632.063999999998"/>
    <n v="51184.063999999998"/>
    <n v="-24367.95"/>
    <n v="0"/>
    <x v="1"/>
    <s v="VERY HIGH"/>
    <n v="60089.066700000003"/>
    <n v="-0.82457870871683814"/>
    <s v="NORMAL"/>
  </r>
  <r>
    <s v="L0735"/>
    <x v="541"/>
    <s v="B0735"/>
    <x v="1"/>
    <n v="38384"/>
    <n v="9.4"/>
    <n v="60"/>
    <x v="1"/>
    <x v="0"/>
    <x v="3"/>
    <n v="88226"/>
    <s v="OWN"/>
    <n v="0.18"/>
    <n v="0.7"/>
    <n v="4663.03"/>
    <n v="0"/>
    <n v="38"/>
    <n v="18040.480000000003"/>
    <n v="56424.480000000003"/>
    <n v="-33720.97"/>
    <n v="0"/>
    <x v="1"/>
    <s v="LOW"/>
    <n v="30067.466700000001"/>
    <n v="-0.87851630887869947"/>
    <s v="NORMAL"/>
  </r>
  <r>
    <s v="L0736"/>
    <x v="542"/>
    <s v="B0736"/>
    <x v="6"/>
    <n v="17393"/>
    <n v="19.7"/>
    <n v="60"/>
    <x v="1"/>
    <x v="4"/>
    <x v="2"/>
    <n v="58810"/>
    <s v="OWN"/>
    <n v="0.15"/>
    <n v="0.71"/>
    <n v="2401.1"/>
    <n v="0"/>
    <n v="55"/>
    <n v="17132.105"/>
    <n v="34525.104999999996"/>
    <n v="-14991.9"/>
    <n v="0"/>
    <x v="1"/>
    <s v="LOW"/>
    <n v="28553.508300000001"/>
    <n v="-0.86195020985453918"/>
    <s v="NORMAL"/>
  </r>
  <r>
    <s v="L0737"/>
    <x v="543"/>
    <s v="B0737"/>
    <x v="4"/>
    <n v="11617"/>
    <n v="20.3"/>
    <n v="36"/>
    <x v="1"/>
    <x v="3"/>
    <x v="2"/>
    <n v="90006"/>
    <s v="MORTGAGE"/>
    <n v="0.36"/>
    <n v="0.86"/>
    <n v="5667.24"/>
    <n v="0"/>
    <n v="45"/>
    <n v="7074.7530000000006"/>
    <n v="18691.753000000001"/>
    <n v="-5949.76"/>
    <n v="0"/>
    <x v="1"/>
    <s v="VERY HIGH"/>
    <n v="19652.091700000001"/>
    <n v="-0.51215976586037704"/>
    <s v="HIGH RISK"/>
  </r>
  <r>
    <s v="L0738"/>
    <x v="135"/>
    <s v="B0738"/>
    <x v="8"/>
    <n v="39520"/>
    <n v="23.6"/>
    <n v="36"/>
    <x v="0"/>
    <x v="6"/>
    <x v="2"/>
    <n v="143502"/>
    <s v="OWN"/>
    <n v="0.23"/>
    <n v="0.77"/>
    <n v="48846.720000000001"/>
    <n v="0"/>
    <n v="58"/>
    <n v="27980.16"/>
    <n v="67500.160000000003"/>
    <n v="9326.7200000000012"/>
    <n v="0"/>
    <x v="0"/>
    <s v="VERY HIGH"/>
    <n v="77722.666700000002"/>
    <n v="0.23600000000000004"/>
    <s v="NORMAL"/>
  </r>
  <r>
    <s v="L0739"/>
    <x v="544"/>
    <s v="B0739"/>
    <x v="3"/>
    <n v="10852"/>
    <n v="5.6"/>
    <n v="60"/>
    <x v="0"/>
    <x v="5"/>
    <x v="2"/>
    <n v="52800"/>
    <s v="OWN"/>
    <n v="0.12"/>
    <n v="0.79"/>
    <n v="11459.71"/>
    <n v="0"/>
    <n v="57"/>
    <n v="3038.56"/>
    <n v="13890.56"/>
    <n v="607.70999999999913"/>
    <n v="0"/>
    <x v="0"/>
    <s v="MEDIUM"/>
    <n v="5064.2667000000001"/>
    <n v="5.5999815702174632E-2"/>
    <s v="NORMAL"/>
  </r>
  <r>
    <s v="L0740"/>
    <x v="545"/>
    <s v="B0740"/>
    <x v="0"/>
    <n v="32401"/>
    <n v="22.4"/>
    <n v="36"/>
    <x v="2"/>
    <x v="1"/>
    <x v="2"/>
    <n v="146192"/>
    <s v="MORTGAGE"/>
    <n v="0.16"/>
    <n v="0.95"/>
    <n v="0"/>
    <n v="0"/>
    <n v="44"/>
    <n v="21773.471999999998"/>
    <n v="54174.471999999994"/>
    <n v="-32401"/>
    <n v="0"/>
    <x v="2"/>
    <s v="HIGH"/>
    <n v="60481.866699999999"/>
    <n v="-1"/>
    <s v="HIGH RISK"/>
  </r>
  <r>
    <s v="L0741"/>
    <x v="437"/>
    <s v="B0741"/>
    <x v="7"/>
    <n v="7295"/>
    <n v="15.5"/>
    <n v="60"/>
    <x v="0"/>
    <x v="6"/>
    <x v="3"/>
    <n v="138959"/>
    <s v="RENT"/>
    <n v="0.1"/>
    <n v="0.53"/>
    <n v="8425.7199999999993"/>
    <n v="0"/>
    <n v="62"/>
    <n v="5653.625"/>
    <n v="12948.625"/>
    <n v="1130.7199999999993"/>
    <n v="0"/>
    <x v="0"/>
    <s v="VERY HIGH"/>
    <n v="9422.7083000000002"/>
    <n v="0.15499931459904034"/>
    <s v="NORMAL"/>
  </r>
  <r>
    <s v="L0742"/>
    <x v="322"/>
    <s v="B0742"/>
    <x v="4"/>
    <n v="36993"/>
    <n v="17.7"/>
    <n v="36"/>
    <x v="1"/>
    <x v="4"/>
    <x v="0"/>
    <n v="137228"/>
    <s v="MORTGAGE"/>
    <n v="0.46"/>
    <n v="0.6"/>
    <n v="4398.51"/>
    <n v="0"/>
    <n v="59"/>
    <n v="19643.282999999999"/>
    <n v="56636.282999999996"/>
    <n v="-32594.489999999998"/>
    <n v="0"/>
    <x v="1"/>
    <s v="LOW"/>
    <n v="54564.675000000003"/>
    <n v="-0.88109885654042652"/>
    <s v="HIGH RISK"/>
  </r>
  <r>
    <s v="L0743"/>
    <x v="244"/>
    <s v="B0743"/>
    <x v="0"/>
    <n v="35084"/>
    <n v="17.899999999999999"/>
    <n v="36"/>
    <x v="0"/>
    <x v="2"/>
    <x v="1"/>
    <n v="105476"/>
    <s v="MORTGAGE"/>
    <n v="0.11"/>
    <n v="0.68"/>
    <n v="41364.04"/>
    <n v="0"/>
    <n v="41"/>
    <n v="18840.108"/>
    <n v="53924.108"/>
    <n v="6280.0400000000009"/>
    <n v="0"/>
    <x v="0"/>
    <s v="VERY HIGH"/>
    <n v="52333.633300000001"/>
    <n v="0.17900011401208529"/>
    <s v="NORMAL"/>
  </r>
  <r>
    <s v="L0744"/>
    <x v="546"/>
    <s v="B0744"/>
    <x v="3"/>
    <n v="37451"/>
    <n v="21.4"/>
    <n v="60"/>
    <x v="1"/>
    <x v="5"/>
    <x v="2"/>
    <n v="99460"/>
    <s v="MORTGAGE"/>
    <n v="0.18"/>
    <n v="0.66"/>
    <n v="6410.55"/>
    <n v="0"/>
    <n v="52"/>
    <n v="40072.57"/>
    <n v="77523.570000000007"/>
    <n v="-31040.45"/>
    <n v="0"/>
    <x v="1"/>
    <s v="MEDIUM"/>
    <n v="66787.616699999999"/>
    <n v="-0.8288283356919709"/>
    <s v="NORMAL"/>
  </r>
  <r>
    <s v="L0745"/>
    <x v="547"/>
    <s v="B0745"/>
    <x v="4"/>
    <n v="8227"/>
    <n v="11.7"/>
    <n v="60"/>
    <x v="1"/>
    <x v="5"/>
    <x v="0"/>
    <n v="87767"/>
    <s v="MORTGAGE"/>
    <n v="0.27"/>
    <n v="0.51"/>
    <n v="2597.8000000000002"/>
    <n v="0"/>
    <n v="58"/>
    <n v="4812.7950000000001"/>
    <n v="13039.795"/>
    <n v="-5629.2"/>
    <n v="0"/>
    <x v="1"/>
    <s v="MEDIUM"/>
    <n v="8021.3249999999998"/>
    <n v="-0.68423483651391759"/>
    <s v="NORMAL"/>
  </r>
  <r>
    <s v="L0746"/>
    <x v="548"/>
    <s v="B0746"/>
    <x v="0"/>
    <n v="32910"/>
    <n v="19.7"/>
    <n v="60"/>
    <x v="0"/>
    <x v="3"/>
    <x v="4"/>
    <n v="58054"/>
    <s v="RENT"/>
    <n v="0.24"/>
    <n v="0.54"/>
    <n v="39393.269999999997"/>
    <n v="0"/>
    <n v="34"/>
    <n v="32416.350000000002"/>
    <n v="65326.350000000006"/>
    <n v="6483.2699999999968"/>
    <n v="0"/>
    <x v="0"/>
    <s v="VERY HIGH"/>
    <n v="54027.25"/>
    <n v="0.1969999999999999"/>
    <s v="NORMAL"/>
  </r>
  <r>
    <s v="L0747"/>
    <x v="549"/>
    <s v="B0747"/>
    <x v="9"/>
    <n v="37041"/>
    <n v="15.6"/>
    <n v="60"/>
    <x v="0"/>
    <x v="6"/>
    <x v="3"/>
    <n v="105319"/>
    <s v="RENT"/>
    <n v="0.46"/>
    <n v="0.81"/>
    <n v="42819.4"/>
    <n v="0"/>
    <n v="54"/>
    <n v="28891.98"/>
    <n v="65932.98"/>
    <n v="5778.4000000000015"/>
    <n v="0"/>
    <x v="0"/>
    <s v="VERY HIGH"/>
    <n v="48153.3"/>
    <n v="0.15600010798844527"/>
    <s v="HIGH RISK"/>
  </r>
  <r>
    <s v="L0748"/>
    <x v="550"/>
    <s v="B0748"/>
    <x v="1"/>
    <n v="24384"/>
    <n v="20.9"/>
    <n v="60"/>
    <x v="1"/>
    <x v="4"/>
    <x v="0"/>
    <n v="132789"/>
    <s v="OWN"/>
    <n v="0.12"/>
    <n v="0.9"/>
    <n v="7914.57"/>
    <n v="0"/>
    <n v="32"/>
    <n v="25481.279999999999"/>
    <n v="49865.279999999999"/>
    <n v="-16469.43"/>
    <n v="0"/>
    <x v="1"/>
    <s v="LOW"/>
    <n v="42468.800000000003"/>
    <n v="-0.67541953740157479"/>
    <s v="HIGH RISK"/>
  </r>
  <r>
    <s v="L0749"/>
    <x v="313"/>
    <s v="B0749"/>
    <x v="3"/>
    <n v="1145"/>
    <n v="24.8"/>
    <n v="60"/>
    <x v="0"/>
    <x v="0"/>
    <x v="2"/>
    <n v="75397"/>
    <s v="OWN"/>
    <n v="0.3"/>
    <n v="0.73"/>
    <n v="1428.96"/>
    <n v="0"/>
    <n v="39"/>
    <n v="1419.8"/>
    <n v="2564.8000000000002"/>
    <n v="283.96000000000004"/>
    <n v="0"/>
    <x v="0"/>
    <s v="LOW"/>
    <n v="2366.3332999999998"/>
    <n v="0.24800000000000003"/>
    <s v="NORMAL"/>
  </r>
  <r>
    <s v="L0750"/>
    <x v="422"/>
    <s v="B0750"/>
    <x v="8"/>
    <n v="38778"/>
    <n v="9"/>
    <n v="60"/>
    <x v="0"/>
    <x v="5"/>
    <x v="2"/>
    <n v="43233"/>
    <s v="MORTGAGE"/>
    <n v="0.37"/>
    <n v="0.74"/>
    <n v="42268.02"/>
    <n v="0"/>
    <n v="62"/>
    <n v="17450.100000000002"/>
    <n v="56228.100000000006"/>
    <n v="3490.0199999999968"/>
    <n v="0"/>
    <x v="0"/>
    <s v="MEDIUM"/>
    <n v="29083.5"/>
    <n v="8.9999999999999913E-2"/>
    <s v="NORMAL"/>
  </r>
  <r>
    <s v="L0751"/>
    <x v="551"/>
    <s v="B0751"/>
    <x v="2"/>
    <n v="17035"/>
    <n v="24.9"/>
    <n v="36"/>
    <x v="1"/>
    <x v="1"/>
    <x v="2"/>
    <n v="141205"/>
    <s v="OWN"/>
    <n v="0.47"/>
    <n v="0.61"/>
    <n v="2032.08"/>
    <n v="0"/>
    <n v="54"/>
    <n v="12725.144999999999"/>
    <n v="29760.144999999997"/>
    <n v="-15002.92"/>
    <n v="0"/>
    <x v="1"/>
    <s v="HIGH"/>
    <n v="35347.625"/>
    <n v="-0.88071147637217495"/>
    <s v="HIGH RISK"/>
  </r>
  <r>
    <s v="L0752"/>
    <x v="552"/>
    <s v="B0752"/>
    <x v="9"/>
    <n v="4040"/>
    <n v="6.8"/>
    <n v="36"/>
    <x v="0"/>
    <x v="1"/>
    <x v="0"/>
    <n v="120020"/>
    <s v="RENT"/>
    <n v="0.35"/>
    <n v="0.85"/>
    <n v="4314.72"/>
    <n v="0"/>
    <n v="56"/>
    <n v="824.1600000000002"/>
    <n v="4864.16"/>
    <n v="274.72000000000025"/>
    <n v="0"/>
    <x v="0"/>
    <s v="HIGH"/>
    <n v="2289.3335999999999"/>
    <n v="6.800000000000006E-2"/>
    <s v="HIGH RISK"/>
  </r>
  <r>
    <s v="L0753"/>
    <x v="40"/>
    <s v="B0753"/>
    <x v="1"/>
    <n v="27160"/>
    <n v="5"/>
    <n v="36"/>
    <x v="3"/>
    <x v="3"/>
    <x v="2"/>
    <n v="55068"/>
    <s v="OWN"/>
    <n v="0.42"/>
    <n v="0.84"/>
    <n v="9183.2099999999991"/>
    <n v="3538.73"/>
    <n v="33"/>
    <n v="4074"/>
    <n v="31234"/>
    <n v="-14438.060000000001"/>
    <n v="1"/>
    <x v="2"/>
    <s v="VERY HIGH"/>
    <n v="11316.707200000001"/>
    <n v="-0.53159278350515471"/>
    <s v="HIGH RISK"/>
  </r>
  <r>
    <s v="L0754"/>
    <x v="553"/>
    <s v="B0754"/>
    <x v="5"/>
    <n v="18633"/>
    <n v="5.9"/>
    <n v="60"/>
    <x v="0"/>
    <x v="6"/>
    <x v="0"/>
    <n v="95727"/>
    <s v="OWN"/>
    <n v="0.13"/>
    <n v="0.76"/>
    <n v="19732.349999999999"/>
    <n v="0"/>
    <n v="62"/>
    <n v="5496.7350000000006"/>
    <n v="24129.735000000001"/>
    <n v="1099.3499999999985"/>
    <n v="0"/>
    <x v="0"/>
    <s v="VERY HIGH"/>
    <n v="9161.2250000000004"/>
    <n v="5.9000161004669059E-2"/>
    <s v="NORMAL"/>
  </r>
  <r>
    <s v="L0755"/>
    <x v="241"/>
    <s v="B0755"/>
    <x v="1"/>
    <n v="30344"/>
    <n v="11.8"/>
    <n v="60"/>
    <x v="0"/>
    <x v="4"/>
    <x v="2"/>
    <n v="120610"/>
    <s v="OWN"/>
    <n v="0.25"/>
    <n v="0.6"/>
    <n v="33924.589999999997"/>
    <n v="0"/>
    <n v="52"/>
    <n v="17902.960000000003"/>
    <n v="48246.960000000006"/>
    <n v="3580.5899999999965"/>
    <n v="0"/>
    <x v="0"/>
    <s v="LOW"/>
    <n v="29838.2667"/>
    <n v="0.1179999340891114"/>
    <s v="NORMAL"/>
  </r>
  <r>
    <s v="L0756"/>
    <x v="554"/>
    <s v="B0756"/>
    <x v="4"/>
    <n v="18014"/>
    <n v="17.7"/>
    <n v="60"/>
    <x v="1"/>
    <x v="0"/>
    <x v="4"/>
    <n v="100453"/>
    <s v="MORTGAGE"/>
    <n v="0.25"/>
    <n v="0.54"/>
    <n v="7265.79"/>
    <n v="0"/>
    <n v="51"/>
    <n v="15942.39"/>
    <n v="33956.39"/>
    <n v="-10748.21"/>
    <n v="0"/>
    <x v="1"/>
    <s v="LOW"/>
    <n v="26570.65"/>
    <n v="-0.59665870989230596"/>
    <s v="NORMAL"/>
  </r>
  <r>
    <s v="L0757"/>
    <x v="229"/>
    <s v="B0757"/>
    <x v="6"/>
    <n v="15996"/>
    <n v="6.4"/>
    <n v="36"/>
    <x v="0"/>
    <x v="5"/>
    <x v="4"/>
    <n v="134135"/>
    <s v="OWN"/>
    <n v="0.45"/>
    <n v="0.53"/>
    <n v="17019.740000000002"/>
    <n v="0"/>
    <n v="36"/>
    <n v="3071.2320000000004"/>
    <n v="19067.232"/>
    <n v="1023.7400000000016"/>
    <n v="0"/>
    <x v="0"/>
    <s v="MEDIUM"/>
    <n v="8531.2018000000007"/>
    <n v="6.3999749937484474E-2"/>
    <s v="HIGH RISK"/>
  </r>
  <r>
    <s v="L0758"/>
    <x v="38"/>
    <s v="B0758"/>
    <x v="9"/>
    <n v="12695"/>
    <n v="5.0999999999999996"/>
    <n v="60"/>
    <x v="0"/>
    <x v="1"/>
    <x v="1"/>
    <n v="55832"/>
    <s v="RENT"/>
    <n v="0.16"/>
    <n v="0.77"/>
    <n v="13342.44"/>
    <n v="0"/>
    <n v="37"/>
    <n v="3237.2249999999999"/>
    <n v="15932.225"/>
    <n v="647.44000000000051"/>
    <n v="0"/>
    <x v="0"/>
    <s v="HIGH"/>
    <n v="5395.375"/>
    <n v="5.0999606144151284E-2"/>
    <s v="NORMAL"/>
  </r>
  <r>
    <s v="L0759"/>
    <x v="555"/>
    <s v="B0759"/>
    <x v="5"/>
    <n v="3852"/>
    <n v="23.7"/>
    <n v="60"/>
    <x v="0"/>
    <x v="5"/>
    <x v="2"/>
    <n v="138464"/>
    <s v="RENT"/>
    <n v="0.16"/>
    <n v="0.87"/>
    <n v="4764.92"/>
    <n v="0"/>
    <n v="32"/>
    <n v="4564.62"/>
    <n v="8416.619999999999"/>
    <n v="912.92000000000007"/>
    <n v="0"/>
    <x v="0"/>
    <s v="MEDIUM"/>
    <n v="7607.7"/>
    <n v="0.23699896157840086"/>
    <s v="HIGH RISK"/>
  </r>
  <r>
    <s v="L0760"/>
    <x v="130"/>
    <s v="B0760"/>
    <x v="4"/>
    <n v="17014"/>
    <n v="21.4"/>
    <n v="36"/>
    <x v="0"/>
    <x v="5"/>
    <x v="2"/>
    <n v="116242"/>
    <s v="RENT"/>
    <n v="0.23"/>
    <n v="0.89"/>
    <n v="20655"/>
    <n v="0"/>
    <n v="52"/>
    <n v="10922.987999999999"/>
    <n v="27936.987999999998"/>
    <n v="3641"/>
    <n v="0"/>
    <x v="0"/>
    <s v="MEDIUM"/>
    <n v="30341.633300000001"/>
    <n v="0.21400023510050548"/>
    <s v="HIGH RISK"/>
  </r>
  <r>
    <s v="L0761"/>
    <x v="446"/>
    <s v="B0761"/>
    <x v="3"/>
    <n v="28042"/>
    <n v="21.2"/>
    <n v="60"/>
    <x v="0"/>
    <x v="5"/>
    <x v="0"/>
    <n v="43682"/>
    <s v="RENT"/>
    <n v="0.12"/>
    <n v="0.71"/>
    <n v="33986.9"/>
    <n v="0"/>
    <n v="54"/>
    <n v="29724.520000000004"/>
    <n v="57766.520000000004"/>
    <n v="5944.9000000000015"/>
    <n v="0"/>
    <x v="0"/>
    <s v="MEDIUM"/>
    <n v="49540.866699999999"/>
    <n v="0.21199985735682197"/>
    <s v="NORMAL"/>
  </r>
  <r>
    <s v="L0762"/>
    <x v="556"/>
    <s v="B0762"/>
    <x v="8"/>
    <n v="34755"/>
    <n v="22.7"/>
    <n v="36"/>
    <x v="0"/>
    <x v="4"/>
    <x v="0"/>
    <n v="122298"/>
    <s v="OWN"/>
    <n v="0.17"/>
    <n v="0.85"/>
    <n v="42644.38"/>
    <n v="0"/>
    <n v="51"/>
    <n v="23668.154999999999"/>
    <n v="58423.154999999999"/>
    <n v="7889.3799999999974"/>
    <n v="0"/>
    <x v="0"/>
    <s v="LOW"/>
    <n v="65744.875"/>
    <n v="0.22699985613580773"/>
    <s v="HIGH RISK"/>
  </r>
  <r>
    <s v="L0763"/>
    <x v="557"/>
    <s v="B0763"/>
    <x v="1"/>
    <n v="24711"/>
    <n v="19"/>
    <n v="36"/>
    <x v="0"/>
    <x v="4"/>
    <x v="2"/>
    <n v="53383"/>
    <s v="MORTGAGE"/>
    <n v="0.49"/>
    <n v="0.93"/>
    <n v="29406.09"/>
    <n v="0"/>
    <n v="50"/>
    <n v="14085.269999999999"/>
    <n v="38796.269999999997"/>
    <n v="4695.09"/>
    <n v="0"/>
    <x v="0"/>
    <s v="LOW"/>
    <n v="39125.75"/>
    <n v="0.19"/>
    <s v="HIGH RISK"/>
  </r>
  <r>
    <s v="L0764"/>
    <x v="366"/>
    <s v="B0764"/>
    <x v="3"/>
    <n v="27122"/>
    <n v="7.1"/>
    <n v="60"/>
    <x v="0"/>
    <x v="5"/>
    <x v="1"/>
    <n v="88160"/>
    <s v="RENT"/>
    <n v="0.27"/>
    <n v="0.62"/>
    <n v="29047.66"/>
    <n v="0"/>
    <n v="43"/>
    <n v="9628.31"/>
    <n v="36750.31"/>
    <n v="1925.6599999999999"/>
    <n v="0"/>
    <x v="0"/>
    <s v="MEDIUM"/>
    <n v="16047.183300000001"/>
    <n v="7.0999926259125434E-2"/>
    <s v="NORMAL"/>
  </r>
  <r>
    <s v="L0765"/>
    <x v="280"/>
    <s v="B0765"/>
    <x v="5"/>
    <n v="10160"/>
    <n v="13"/>
    <n v="60"/>
    <x v="1"/>
    <x v="0"/>
    <x v="2"/>
    <n v="123332"/>
    <s v="RENT"/>
    <n v="0.35"/>
    <n v="0.68"/>
    <n v="1593.02"/>
    <n v="0"/>
    <n v="45"/>
    <n v="6604"/>
    <n v="16764"/>
    <n v="-8566.98"/>
    <n v="0"/>
    <x v="1"/>
    <s v="LOW"/>
    <n v="11006.6667"/>
    <n v="-0.84320669291338579"/>
    <s v="NORMAL"/>
  </r>
  <r>
    <s v="L0766"/>
    <x v="558"/>
    <s v="B0766"/>
    <x v="4"/>
    <n v="28213"/>
    <n v="19.5"/>
    <n v="60"/>
    <x v="1"/>
    <x v="4"/>
    <x v="0"/>
    <n v="53666"/>
    <s v="MORTGAGE"/>
    <n v="0.39"/>
    <n v="0.92"/>
    <n v="5075.51"/>
    <n v="0"/>
    <n v="32"/>
    <n v="27507.674999999999"/>
    <n v="55720.675000000003"/>
    <n v="-23137.489999999998"/>
    <n v="0"/>
    <x v="1"/>
    <s v="LOW"/>
    <n v="45846.125"/>
    <n v="-0.82010030836848258"/>
    <s v="HIGH RISK"/>
  </r>
  <r>
    <s v="L0767"/>
    <x v="341"/>
    <s v="B0767"/>
    <x v="6"/>
    <n v="8421"/>
    <n v="10.6"/>
    <n v="36"/>
    <x v="0"/>
    <x v="4"/>
    <x v="2"/>
    <n v="88817"/>
    <s v="MORTGAGE"/>
    <n v="0.25"/>
    <n v="0.65"/>
    <n v="9313.6299999999992"/>
    <n v="0"/>
    <n v="33"/>
    <n v="2677.8779999999997"/>
    <n v="11098.878000000001"/>
    <n v="892.6299999999992"/>
    <n v="0"/>
    <x v="0"/>
    <s v="LOW"/>
    <n v="7438.55"/>
    <n v="0.10600047500296868"/>
    <s v="NORMAL"/>
  </r>
  <r>
    <s v="L0768"/>
    <x v="55"/>
    <s v="B0768"/>
    <x v="1"/>
    <n v="22400"/>
    <n v="18.7"/>
    <n v="36"/>
    <x v="1"/>
    <x v="5"/>
    <x v="0"/>
    <n v="121198"/>
    <s v="RENT"/>
    <n v="0.16"/>
    <n v="0.91"/>
    <n v="10574.92"/>
    <n v="0"/>
    <n v="53"/>
    <n v="12566.400000000001"/>
    <n v="34966.400000000001"/>
    <n v="-11825.08"/>
    <n v="0"/>
    <x v="1"/>
    <s v="MEDIUM"/>
    <n v="34906.666700000002"/>
    <n v="-0.52790535714285713"/>
    <s v="HIGH RISK"/>
  </r>
  <r>
    <s v="L0769"/>
    <x v="200"/>
    <s v="B0769"/>
    <x v="8"/>
    <n v="34537"/>
    <n v="5.5"/>
    <n v="36"/>
    <x v="1"/>
    <x v="0"/>
    <x v="2"/>
    <n v="140695"/>
    <s v="RENT"/>
    <n v="0.18"/>
    <n v="0.94"/>
    <n v="14559.15"/>
    <n v="0"/>
    <n v="36"/>
    <n v="5698.6050000000005"/>
    <n v="40235.605000000003"/>
    <n v="-19977.849999999999"/>
    <n v="0"/>
    <x v="1"/>
    <s v="LOW"/>
    <n v="15829.478300000001"/>
    <n v="-0.5784477516865969"/>
    <s v="HIGH RISK"/>
  </r>
  <r>
    <s v="L0770"/>
    <x v="559"/>
    <s v="B0770"/>
    <x v="6"/>
    <n v="18727"/>
    <n v="11.1"/>
    <n v="60"/>
    <x v="1"/>
    <x v="6"/>
    <x v="3"/>
    <n v="64642"/>
    <s v="MORTGAGE"/>
    <n v="0.23"/>
    <n v="0.8"/>
    <n v="6816.79"/>
    <n v="0"/>
    <n v="38"/>
    <n v="10393.484999999999"/>
    <n v="29120.485000000001"/>
    <n v="-11910.21"/>
    <n v="0"/>
    <x v="1"/>
    <s v="VERY HIGH"/>
    <n v="17322.474999999999"/>
    <n v="-0.63599134938858326"/>
    <s v="NORMAL"/>
  </r>
  <r>
    <s v="L0771"/>
    <x v="260"/>
    <s v="B0771"/>
    <x v="0"/>
    <n v="5358"/>
    <n v="16"/>
    <n v="60"/>
    <x v="1"/>
    <x v="5"/>
    <x v="0"/>
    <n v="71830"/>
    <s v="RENT"/>
    <n v="0.35"/>
    <n v="0.87"/>
    <n v="466.17"/>
    <n v="0"/>
    <n v="62"/>
    <n v="4286.3999999999996"/>
    <n v="9644.4"/>
    <n v="-4891.83"/>
    <n v="0"/>
    <x v="1"/>
    <s v="MEDIUM"/>
    <n v="7144"/>
    <n v="-0.91299552071668533"/>
    <s v="HIGH RISK"/>
  </r>
  <r>
    <s v="L0772"/>
    <x v="353"/>
    <s v="B0772"/>
    <x v="4"/>
    <n v="29482"/>
    <n v="17.600000000000001"/>
    <n v="60"/>
    <x v="0"/>
    <x v="1"/>
    <x v="1"/>
    <n v="133067"/>
    <s v="RENT"/>
    <n v="0.26"/>
    <n v="0.84"/>
    <n v="34670.83"/>
    <n v="0"/>
    <n v="34"/>
    <n v="25944.160000000003"/>
    <n v="55426.16"/>
    <n v="5188.8300000000017"/>
    <n v="0"/>
    <x v="0"/>
    <s v="HIGH"/>
    <n v="43240.2667"/>
    <n v="0.17599993216199722"/>
    <s v="HIGH RISK"/>
  </r>
  <r>
    <s v="L0773"/>
    <x v="505"/>
    <s v="B0773"/>
    <x v="3"/>
    <n v="33117"/>
    <n v="16.5"/>
    <n v="60"/>
    <x v="3"/>
    <x v="1"/>
    <x v="3"/>
    <n v="40234"/>
    <s v="OWN"/>
    <n v="0.1"/>
    <n v="0.81"/>
    <n v="7467.2"/>
    <n v="5237.4799999999996"/>
    <n v="60"/>
    <n v="27321.525000000005"/>
    <n v="60438.525000000009"/>
    <n v="-20412.32"/>
    <n v="1"/>
    <x v="2"/>
    <s v="HIGH"/>
    <n v="45535.875"/>
    <n v="-0.61636984026330888"/>
    <s v="HIGH RISK"/>
  </r>
  <r>
    <s v="L0774"/>
    <x v="536"/>
    <s v="B0774"/>
    <x v="1"/>
    <n v="24164"/>
    <n v="19"/>
    <n v="36"/>
    <x v="0"/>
    <x v="4"/>
    <x v="2"/>
    <n v="87616"/>
    <s v="MORTGAGE"/>
    <n v="0.31"/>
    <n v="0.64"/>
    <n v="28755.16"/>
    <n v="0"/>
    <n v="43"/>
    <n v="13773.480000000001"/>
    <n v="37937.480000000003"/>
    <n v="4591.16"/>
    <n v="0"/>
    <x v="0"/>
    <s v="LOW"/>
    <n v="38259.666700000002"/>
    <n v="0.19"/>
    <s v="NORMAL"/>
  </r>
  <r>
    <s v="L0775"/>
    <x v="560"/>
    <s v="B0775"/>
    <x v="1"/>
    <n v="32910"/>
    <n v="5.0999999999999996"/>
    <n v="36"/>
    <x v="0"/>
    <x v="5"/>
    <x v="0"/>
    <n v="39221"/>
    <s v="OWN"/>
    <n v="0.47"/>
    <n v="0.53"/>
    <n v="34588.410000000003"/>
    <n v="0"/>
    <n v="58"/>
    <n v="5035.2300000000005"/>
    <n v="37945.230000000003"/>
    <n v="1678.4100000000035"/>
    <n v="0"/>
    <x v="0"/>
    <s v="MEDIUM"/>
    <n v="13986.7906"/>
    <n v="5.1000000000000108E-2"/>
    <s v="HIGH RISK"/>
  </r>
  <r>
    <s v="L0776"/>
    <x v="34"/>
    <s v="B0776"/>
    <x v="5"/>
    <n v="33496"/>
    <n v="7"/>
    <n v="36"/>
    <x v="1"/>
    <x v="2"/>
    <x v="3"/>
    <n v="41410"/>
    <s v="OWN"/>
    <n v="0.42"/>
    <n v="0.65"/>
    <n v="10105.27"/>
    <n v="0"/>
    <n v="42"/>
    <n v="7034.16"/>
    <n v="40530.160000000003"/>
    <n v="-23390.73"/>
    <n v="0"/>
    <x v="1"/>
    <s v="VERY HIGH"/>
    <n v="19539.334599999998"/>
    <n v="-0.69831412705994744"/>
    <s v="HIGH RISK"/>
  </r>
  <r>
    <s v="L0777"/>
    <x v="360"/>
    <s v="B0777"/>
    <x v="8"/>
    <n v="30371"/>
    <n v="22.4"/>
    <n v="36"/>
    <x v="0"/>
    <x v="1"/>
    <x v="1"/>
    <n v="110055"/>
    <s v="MORTGAGE"/>
    <n v="0.43"/>
    <n v="0.8"/>
    <n v="37174.1"/>
    <n v="0"/>
    <n v="27"/>
    <n v="20409.311999999998"/>
    <n v="50780.311999999998"/>
    <n v="6803.0999999999985"/>
    <n v="0"/>
    <x v="0"/>
    <s v="HIGH"/>
    <n v="56692.533300000003"/>
    <n v="0.22399986829541335"/>
    <s v="HIGH RISK"/>
  </r>
  <r>
    <s v="L0778"/>
    <x v="561"/>
    <s v="B0778"/>
    <x v="2"/>
    <n v="39467"/>
    <n v="18.600000000000001"/>
    <n v="60"/>
    <x v="0"/>
    <x v="3"/>
    <x v="0"/>
    <n v="91413"/>
    <s v="OWN"/>
    <n v="0.42"/>
    <n v="0.55000000000000004"/>
    <n v="46807.86"/>
    <n v="0"/>
    <n v="59"/>
    <n v="36704.310000000005"/>
    <n v="76171.31"/>
    <n v="7340.8600000000006"/>
    <n v="0"/>
    <x v="0"/>
    <s v="VERY HIGH"/>
    <n v="61173.85"/>
    <n v="0.18599994932475233"/>
    <s v="HIGH RISK"/>
  </r>
  <r>
    <s v="L0779"/>
    <x v="50"/>
    <s v="B0779"/>
    <x v="0"/>
    <n v="18625"/>
    <n v="7.3"/>
    <n v="60"/>
    <x v="1"/>
    <x v="1"/>
    <x v="3"/>
    <n v="31051"/>
    <s v="RENT"/>
    <n v="0.23"/>
    <n v="0.51"/>
    <n v="2501.9899999999998"/>
    <n v="0"/>
    <n v="49"/>
    <n v="6798.125"/>
    <n v="25423.125"/>
    <n v="-16123.01"/>
    <n v="0"/>
    <x v="1"/>
    <s v="HIGH"/>
    <n v="11330.2083"/>
    <n v="-0.86566496644295299"/>
    <s v="NORMAL"/>
  </r>
  <r>
    <s v="L0780"/>
    <x v="59"/>
    <s v="B0780"/>
    <x v="6"/>
    <n v="34893"/>
    <n v="21.8"/>
    <n v="60"/>
    <x v="1"/>
    <x v="0"/>
    <x v="3"/>
    <n v="140529"/>
    <s v="OWN"/>
    <n v="0.41"/>
    <n v="0.56000000000000005"/>
    <n v="8782.64"/>
    <n v="0"/>
    <n v="52"/>
    <n v="38033.370000000003"/>
    <n v="72926.37"/>
    <n v="-26110.36"/>
    <n v="0"/>
    <x v="1"/>
    <s v="LOW"/>
    <n v="63388.95"/>
    <n v="-0.7482979394147824"/>
    <s v="HIGH RISK"/>
  </r>
  <r>
    <s v="L0781"/>
    <x v="562"/>
    <s v="B0781"/>
    <x v="9"/>
    <n v="11793"/>
    <n v="9.8000000000000007"/>
    <n v="36"/>
    <x v="1"/>
    <x v="0"/>
    <x v="3"/>
    <n v="105301"/>
    <s v="MORTGAGE"/>
    <n v="0.16"/>
    <n v="0.82"/>
    <n v="3779.2"/>
    <n v="0"/>
    <n v="42"/>
    <n v="3467.1420000000003"/>
    <n v="15260.142"/>
    <n v="-8013.8"/>
    <n v="0"/>
    <x v="1"/>
    <s v="LOW"/>
    <n v="9630.9500000000007"/>
    <n v="-0.67953870940388372"/>
    <s v="HIGH RISK"/>
  </r>
  <r>
    <s v="L0782"/>
    <x v="563"/>
    <s v="B0782"/>
    <x v="9"/>
    <n v="32007"/>
    <n v="14.6"/>
    <n v="36"/>
    <x v="1"/>
    <x v="5"/>
    <x v="4"/>
    <n v="106918"/>
    <s v="RENT"/>
    <n v="0.36"/>
    <n v="0.94"/>
    <n v="6315.61"/>
    <n v="0"/>
    <n v="36"/>
    <n v="14019.065999999999"/>
    <n v="46026.065999999999"/>
    <n v="-25691.39"/>
    <n v="0"/>
    <x v="1"/>
    <s v="MEDIUM"/>
    <n v="38941.85"/>
    <n v="-0.80268035117318082"/>
    <s v="HIGH RISK"/>
  </r>
  <r>
    <s v="L0783"/>
    <x v="564"/>
    <s v="B0783"/>
    <x v="1"/>
    <n v="26766"/>
    <n v="7.9"/>
    <n v="60"/>
    <x v="0"/>
    <x v="4"/>
    <x v="2"/>
    <n v="108116"/>
    <s v="RENT"/>
    <n v="0.36"/>
    <n v="0.94"/>
    <n v="28880.51"/>
    <n v="0"/>
    <n v="48"/>
    <n v="10572.570000000002"/>
    <n v="37338.57"/>
    <n v="2114.5099999999984"/>
    <n v="0"/>
    <x v="0"/>
    <s v="LOW"/>
    <n v="17620.95"/>
    <n v="7.8999850556676326E-2"/>
    <s v="HIGH RISK"/>
  </r>
  <r>
    <s v="L0784"/>
    <x v="434"/>
    <s v="B0784"/>
    <x v="5"/>
    <n v="13323"/>
    <n v="19.2"/>
    <n v="60"/>
    <x v="0"/>
    <x v="4"/>
    <x v="0"/>
    <n v="86563"/>
    <s v="RENT"/>
    <n v="0.11"/>
    <n v="0.72"/>
    <n v="15881.02"/>
    <n v="0"/>
    <n v="28"/>
    <n v="12790.079999999996"/>
    <n v="26113.079999999994"/>
    <n v="2558.0200000000004"/>
    <n v="0"/>
    <x v="0"/>
    <s v="LOW"/>
    <n v="21316.799999999999"/>
    <n v="0.19200030023268036"/>
    <s v="NORMAL"/>
  </r>
  <r>
    <s v="L0785"/>
    <x v="250"/>
    <s v="B0785"/>
    <x v="7"/>
    <n v="8843"/>
    <n v="18.3"/>
    <n v="36"/>
    <x v="1"/>
    <x v="6"/>
    <x v="0"/>
    <n v="127859"/>
    <s v="RENT"/>
    <n v="0.42"/>
    <n v="0.89"/>
    <n v="3549.8"/>
    <n v="0"/>
    <n v="43"/>
    <n v="4854.8069999999998"/>
    <n v="13697.807000000001"/>
    <n v="-5293.2"/>
    <n v="0"/>
    <x v="1"/>
    <s v="VERY HIGH"/>
    <n v="13485.575000000001"/>
    <n v="-0.59857514418183877"/>
    <s v="HIGH RISK"/>
  </r>
  <r>
    <s v="L0786"/>
    <x v="565"/>
    <s v="B0786"/>
    <x v="1"/>
    <n v="15210"/>
    <n v="9.1999999999999993"/>
    <n v="60"/>
    <x v="0"/>
    <x v="4"/>
    <x v="0"/>
    <n v="74757"/>
    <s v="OWN"/>
    <n v="0.46"/>
    <n v="0.83"/>
    <n v="16609.32"/>
    <n v="0"/>
    <n v="57"/>
    <n v="6996.5999999999995"/>
    <n v="22206.6"/>
    <n v="1399.3199999999997"/>
    <n v="0"/>
    <x v="0"/>
    <s v="LOW"/>
    <n v="11661"/>
    <n v="9.1999999999999985E-2"/>
    <s v="HIGH RISK"/>
  </r>
  <r>
    <s v="L0787"/>
    <x v="216"/>
    <s v="B0787"/>
    <x v="9"/>
    <n v="17456"/>
    <n v="22.3"/>
    <n v="36"/>
    <x v="1"/>
    <x v="4"/>
    <x v="3"/>
    <n v="107475"/>
    <s v="OWN"/>
    <n v="0.21"/>
    <n v="0.73"/>
    <n v="7474.7"/>
    <n v="0"/>
    <n v="29"/>
    <n v="11678.064"/>
    <n v="29134.063999999998"/>
    <n v="-9981.2999999999993"/>
    <n v="0"/>
    <x v="1"/>
    <s v="LOW"/>
    <n v="32439.066699999999"/>
    <n v="-0.57179766269477539"/>
    <s v="NORMAL"/>
  </r>
  <r>
    <s v="L0788"/>
    <x v="566"/>
    <s v="B0788"/>
    <x v="9"/>
    <n v="32367"/>
    <n v="13"/>
    <n v="36"/>
    <x v="0"/>
    <x v="6"/>
    <x v="2"/>
    <n v="81257"/>
    <s v="RENT"/>
    <n v="0.42"/>
    <n v="0.76"/>
    <n v="36574.71"/>
    <n v="0"/>
    <n v="40"/>
    <n v="12623.13"/>
    <n v="44990.13"/>
    <n v="4207.7099999999991"/>
    <n v="0"/>
    <x v="0"/>
    <s v="VERY HIGH"/>
    <n v="35064.25"/>
    <n v="0.12999999999999998"/>
    <s v="HIGH RISK"/>
  </r>
  <r>
    <s v="L0789"/>
    <x v="514"/>
    <s v="B0789"/>
    <x v="0"/>
    <n v="11106"/>
    <n v="10.9"/>
    <n v="36"/>
    <x v="0"/>
    <x v="6"/>
    <x v="1"/>
    <n v="125500"/>
    <s v="MORTGAGE"/>
    <n v="0.13"/>
    <n v="0.56000000000000005"/>
    <n v="12316.55"/>
    <n v="0"/>
    <n v="57"/>
    <n v="3631.6620000000003"/>
    <n v="14737.662"/>
    <n v="1210.5499999999993"/>
    <n v="0"/>
    <x v="0"/>
    <s v="VERY HIGH"/>
    <n v="10087.950000000001"/>
    <n v="0.10899963983432372"/>
    <s v="NORMAL"/>
  </r>
  <r>
    <s v="L0790"/>
    <x v="567"/>
    <s v="B0790"/>
    <x v="3"/>
    <n v="38957"/>
    <n v="8"/>
    <n v="60"/>
    <x v="0"/>
    <x v="4"/>
    <x v="0"/>
    <n v="30307"/>
    <s v="RENT"/>
    <n v="0.34"/>
    <n v="0.92"/>
    <n v="42073.56"/>
    <n v="0"/>
    <n v="29"/>
    <n v="15582.800000000001"/>
    <n v="54539.8"/>
    <n v="3116.5599999999977"/>
    <n v="0"/>
    <x v="0"/>
    <s v="LOW"/>
    <n v="25971.333299999998"/>
    <n v="7.9999999999999946E-2"/>
    <s v="HIGH RISK"/>
  </r>
  <r>
    <s v="L0791"/>
    <x v="91"/>
    <s v="B0791"/>
    <x v="7"/>
    <n v="3472"/>
    <n v="10.3"/>
    <n v="60"/>
    <x v="1"/>
    <x v="6"/>
    <x v="2"/>
    <n v="86889"/>
    <s v="OWN"/>
    <n v="0.28999999999999998"/>
    <n v="0.66"/>
    <n v="679.21"/>
    <n v="0"/>
    <n v="46"/>
    <n v="1788.0800000000002"/>
    <n v="5260.08"/>
    <n v="-2792.79"/>
    <n v="0"/>
    <x v="1"/>
    <s v="VERY HIGH"/>
    <n v="2980.1333"/>
    <n v="-0.80437499999999995"/>
    <s v="NORMAL"/>
  </r>
  <r>
    <s v="L0792"/>
    <x v="568"/>
    <s v="B0792"/>
    <x v="1"/>
    <n v="7704"/>
    <n v="5.4"/>
    <n v="36"/>
    <x v="0"/>
    <x v="6"/>
    <x v="2"/>
    <n v="98895"/>
    <s v="RENT"/>
    <n v="0.32"/>
    <n v="0.7"/>
    <n v="8120.02"/>
    <n v="0"/>
    <n v="35"/>
    <n v="1248.0480000000002"/>
    <n v="8952.0480000000007"/>
    <n v="416.02000000000044"/>
    <n v="0"/>
    <x v="0"/>
    <s v="VERY HIGH"/>
    <n v="3466.8054000000002"/>
    <n v="5.4000519210799638E-2"/>
    <s v="NORMAL"/>
  </r>
  <r>
    <s v="L0793"/>
    <x v="181"/>
    <s v="B0793"/>
    <x v="0"/>
    <n v="4713"/>
    <n v="16.7"/>
    <n v="60"/>
    <x v="0"/>
    <x v="4"/>
    <x v="4"/>
    <n v="125184"/>
    <s v="OWN"/>
    <n v="0.47"/>
    <n v="0.8"/>
    <n v="5500.07"/>
    <n v="0"/>
    <n v="59"/>
    <n v="3935.3549999999996"/>
    <n v="8648.3549999999996"/>
    <n v="787.06999999999971"/>
    <n v="0"/>
    <x v="0"/>
    <s v="LOW"/>
    <n v="6558.9250000000002"/>
    <n v="0.16699978782092079"/>
    <s v="HIGH RISK"/>
  </r>
  <r>
    <s v="L0794"/>
    <x v="231"/>
    <s v="B0794"/>
    <x v="5"/>
    <n v="6051"/>
    <n v="21.8"/>
    <n v="36"/>
    <x v="0"/>
    <x v="0"/>
    <x v="0"/>
    <n v="65944"/>
    <s v="RENT"/>
    <n v="0.45"/>
    <n v="0.65"/>
    <n v="7370.12"/>
    <n v="0"/>
    <n v="27"/>
    <n v="3957.3540000000007"/>
    <n v="10008.354000000001"/>
    <n v="1319.12"/>
    <n v="0"/>
    <x v="0"/>
    <s v="LOW"/>
    <n v="10992.65"/>
    <n v="0.21800033052388032"/>
    <s v="HIGH RISK"/>
  </r>
  <r>
    <s v="L0795"/>
    <x v="149"/>
    <s v="B0795"/>
    <x v="0"/>
    <n v="11756"/>
    <n v="16"/>
    <n v="36"/>
    <x v="0"/>
    <x v="0"/>
    <x v="3"/>
    <n v="129555"/>
    <s v="MORTGAGE"/>
    <n v="0.41"/>
    <n v="0.61"/>
    <n v="13636.96"/>
    <n v="0"/>
    <n v="56"/>
    <n v="5642.88"/>
    <n v="17398.88"/>
    <n v="1880.9599999999991"/>
    <n v="0"/>
    <x v="0"/>
    <s v="LOW"/>
    <n v="15674.6667"/>
    <n v="0.15999999999999992"/>
    <s v="HIGH RISK"/>
  </r>
  <r>
    <s v="L0796"/>
    <x v="569"/>
    <s v="B0796"/>
    <x v="1"/>
    <n v="3475"/>
    <n v="9.4"/>
    <n v="36"/>
    <x v="0"/>
    <x v="5"/>
    <x v="2"/>
    <n v="68134"/>
    <s v="RENT"/>
    <n v="0.21"/>
    <n v="0.78"/>
    <n v="3801.65"/>
    <n v="0"/>
    <n v="43"/>
    <n v="979.94999999999993"/>
    <n v="4454.95"/>
    <n v="326.65000000000009"/>
    <n v="0"/>
    <x v="0"/>
    <s v="MEDIUM"/>
    <n v="2722.0832999999998"/>
    <n v="9.4000000000000028E-2"/>
    <s v="NORMAL"/>
  </r>
  <r>
    <s v="L0797"/>
    <x v="570"/>
    <s v="B0797"/>
    <x v="4"/>
    <n v="37378"/>
    <n v="5.7"/>
    <n v="36"/>
    <x v="0"/>
    <x v="4"/>
    <x v="2"/>
    <n v="57323"/>
    <s v="MORTGAGE"/>
    <n v="0.46"/>
    <n v="0.51"/>
    <n v="39508.550000000003"/>
    <n v="0"/>
    <n v="49"/>
    <n v="6391.6380000000017"/>
    <n v="43769.637999999999"/>
    <n v="2130.5500000000029"/>
    <n v="0"/>
    <x v="0"/>
    <s v="LOW"/>
    <n v="17754.564900000001"/>
    <n v="5.7000107014821631E-2"/>
    <s v="HIGH RISK"/>
  </r>
  <r>
    <s v="L0798"/>
    <x v="571"/>
    <s v="B0798"/>
    <x v="2"/>
    <n v="5255"/>
    <n v="9.3000000000000007"/>
    <n v="60"/>
    <x v="0"/>
    <x v="3"/>
    <x v="1"/>
    <n v="146205"/>
    <s v="MORTGAGE"/>
    <n v="0.14000000000000001"/>
    <n v="0.82"/>
    <n v="5743.72"/>
    <n v="0"/>
    <n v="44"/>
    <n v="2443.5750000000003"/>
    <n v="7698.5750000000007"/>
    <n v="488.72000000000025"/>
    <n v="0"/>
    <x v="0"/>
    <s v="VERY HIGH"/>
    <n v="4072.625"/>
    <n v="9.3000951474785973E-2"/>
    <s v="HIGH RISK"/>
  </r>
  <r>
    <s v="L0799"/>
    <x v="107"/>
    <s v="B0799"/>
    <x v="1"/>
    <n v="15484"/>
    <n v="13.3"/>
    <n v="36"/>
    <x v="0"/>
    <x v="1"/>
    <x v="4"/>
    <n v="101762"/>
    <s v="RENT"/>
    <n v="0.44"/>
    <n v="0.73"/>
    <n v="17543.37"/>
    <n v="0"/>
    <n v="28"/>
    <n v="6178.1160000000009"/>
    <n v="21662.116000000002"/>
    <n v="2059.369999999999"/>
    <n v="0"/>
    <x v="0"/>
    <s v="HIGH"/>
    <n v="17161.433300000001"/>
    <n v="0.13299987083440964"/>
    <s v="HIGH RISK"/>
  </r>
  <r>
    <s v="L0800"/>
    <x v="572"/>
    <s v="B0800"/>
    <x v="8"/>
    <n v="35503"/>
    <n v="20.2"/>
    <n v="36"/>
    <x v="0"/>
    <x v="1"/>
    <x v="2"/>
    <n v="117225"/>
    <s v="MORTGAGE"/>
    <n v="0.23"/>
    <n v="0.77"/>
    <n v="42674.61"/>
    <n v="0"/>
    <n v="46"/>
    <n v="21514.817999999999"/>
    <n v="57017.817999999999"/>
    <n v="7171.6100000000006"/>
    <n v="0"/>
    <x v="0"/>
    <s v="HIGH"/>
    <n v="59763.383300000001"/>
    <n v="0.20200011266653523"/>
    <s v="NORMAL"/>
  </r>
  <r>
    <s v="L0801"/>
    <x v="573"/>
    <s v="B0801"/>
    <x v="9"/>
    <n v="9258"/>
    <n v="8.8000000000000007"/>
    <n v="60"/>
    <x v="1"/>
    <x v="2"/>
    <x v="2"/>
    <n v="126507"/>
    <s v="MORTGAGE"/>
    <n v="0.12"/>
    <n v="0.78"/>
    <n v="3956.83"/>
    <n v="0"/>
    <n v="32"/>
    <n v="4073.5200000000004"/>
    <n v="13331.52"/>
    <n v="-5301.17"/>
    <n v="0"/>
    <x v="1"/>
    <s v="VERY HIGH"/>
    <n v="6789.2"/>
    <n v="-0.57260423417584794"/>
    <s v="NORMAL"/>
  </r>
  <r>
    <s v="L0802"/>
    <x v="574"/>
    <s v="B0802"/>
    <x v="7"/>
    <n v="36196"/>
    <n v="19.399999999999999"/>
    <n v="36"/>
    <x v="3"/>
    <x v="2"/>
    <x v="3"/>
    <n v="55954"/>
    <s v="OWN"/>
    <n v="0.37"/>
    <n v="0.74"/>
    <n v="4744.32"/>
    <n v="13544.73"/>
    <n v="48"/>
    <n v="21066.071999999996"/>
    <n v="57262.072"/>
    <n v="-17906.95"/>
    <n v="1"/>
    <x v="2"/>
    <s v="VERY HIGH"/>
    <n v="58516.866699999999"/>
    <n v="-0.49472179246325565"/>
    <s v="NORMAL"/>
  </r>
  <r>
    <s v="L0803"/>
    <x v="575"/>
    <s v="B0803"/>
    <x v="7"/>
    <n v="9533"/>
    <n v="22.3"/>
    <n v="36"/>
    <x v="0"/>
    <x v="4"/>
    <x v="3"/>
    <n v="85021"/>
    <s v="OWN"/>
    <n v="0.19"/>
    <n v="0.76"/>
    <n v="11658.86"/>
    <n v="0"/>
    <n v="57"/>
    <n v="6377.5770000000002"/>
    <n v="15910.577000000001"/>
    <n v="2125.8600000000006"/>
    <n v="0"/>
    <x v="0"/>
    <s v="LOW"/>
    <n v="17715.491699999999"/>
    <n v="0.22300010489877276"/>
    <s v="NORMAL"/>
  </r>
  <r>
    <s v="L0804"/>
    <x v="576"/>
    <s v="B0804"/>
    <x v="3"/>
    <n v="33581"/>
    <n v="14.1"/>
    <n v="60"/>
    <x v="0"/>
    <x v="0"/>
    <x v="1"/>
    <n v="119959"/>
    <s v="MORTGAGE"/>
    <n v="0.2"/>
    <n v="0.81"/>
    <n v="38315.919999999998"/>
    <n v="0"/>
    <n v="44"/>
    <n v="23674.604999999996"/>
    <n v="57255.604999999996"/>
    <n v="4734.9199999999983"/>
    <n v="0"/>
    <x v="0"/>
    <s v="LOW"/>
    <n v="39457.675000000003"/>
    <n v="0.14099997022125602"/>
    <s v="HIGH RISK"/>
  </r>
  <r>
    <s v="L0805"/>
    <x v="112"/>
    <s v="B0805"/>
    <x v="2"/>
    <n v="6249"/>
    <n v="21.4"/>
    <n v="60"/>
    <x v="0"/>
    <x v="1"/>
    <x v="1"/>
    <n v="125927"/>
    <s v="RENT"/>
    <n v="0.22"/>
    <n v="0.84"/>
    <n v="7586.29"/>
    <n v="0"/>
    <n v="29"/>
    <n v="6686.4299999999994"/>
    <n v="12935.43"/>
    <n v="1337.29"/>
    <n v="0"/>
    <x v="0"/>
    <s v="HIGH"/>
    <n v="11144.05"/>
    <n v="0.21400064010241637"/>
    <s v="HIGH RISK"/>
  </r>
  <r>
    <s v="L0806"/>
    <x v="288"/>
    <s v="B0806"/>
    <x v="8"/>
    <n v="20201"/>
    <n v="16.100000000000001"/>
    <n v="60"/>
    <x v="1"/>
    <x v="4"/>
    <x v="1"/>
    <n v="109866"/>
    <s v="MORTGAGE"/>
    <n v="0.13"/>
    <n v="0.83"/>
    <n v="8625.3799999999992"/>
    <n v="0"/>
    <n v="29"/>
    <n v="16261.805000000002"/>
    <n v="36462.805"/>
    <n v="-11575.62"/>
    <n v="0"/>
    <x v="1"/>
    <s v="LOW"/>
    <n v="27103.008300000001"/>
    <n v="-0.57302212761744475"/>
    <s v="HIGH RISK"/>
  </r>
  <r>
    <s v="L0807"/>
    <x v="577"/>
    <s v="B0807"/>
    <x v="9"/>
    <n v="10686"/>
    <n v="17.7"/>
    <n v="36"/>
    <x v="0"/>
    <x v="5"/>
    <x v="3"/>
    <n v="100427"/>
    <s v="RENT"/>
    <n v="0.17"/>
    <n v="0.89"/>
    <n v="12577.42"/>
    <n v="0"/>
    <n v="31"/>
    <n v="5674.2659999999996"/>
    <n v="16360.266"/>
    <n v="1891.42"/>
    <n v="0"/>
    <x v="0"/>
    <s v="MEDIUM"/>
    <n v="15761.85"/>
    <n v="0.17699981283922891"/>
    <s v="HIGH RISK"/>
  </r>
  <r>
    <s v="L0808"/>
    <x v="79"/>
    <s v="B0808"/>
    <x v="7"/>
    <n v="33007"/>
    <n v="15.5"/>
    <n v="60"/>
    <x v="0"/>
    <x v="1"/>
    <x v="3"/>
    <n v="34992"/>
    <s v="OWN"/>
    <n v="0.1"/>
    <n v="0.59"/>
    <n v="38123.08"/>
    <n v="0"/>
    <n v="53"/>
    <n v="25580.424999999999"/>
    <n v="58587.425000000003"/>
    <n v="5116.0800000000017"/>
    <n v="0"/>
    <x v="0"/>
    <s v="HIGH"/>
    <n v="42634.041700000002"/>
    <n v="0.15499984851698129"/>
    <s v="NORMAL"/>
  </r>
  <r>
    <s v="L0809"/>
    <x v="578"/>
    <s v="B0809"/>
    <x v="8"/>
    <n v="1661"/>
    <n v="14.3"/>
    <n v="60"/>
    <x v="1"/>
    <x v="2"/>
    <x v="4"/>
    <n v="31961"/>
    <s v="RENT"/>
    <n v="0.28000000000000003"/>
    <n v="0.68"/>
    <n v="197.22"/>
    <n v="0"/>
    <n v="56"/>
    <n v="1187.615"/>
    <n v="2848.6149999999998"/>
    <n v="-1463.78"/>
    <n v="0"/>
    <x v="1"/>
    <s v="VERY HIGH"/>
    <n v="1979.3583000000001"/>
    <n v="-0.88126429861529199"/>
    <s v="NORMAL"/>
  </r>
  <r>
    <s v="L0810"/>
    <x v="579"/>
    <s v="B0810"/>
    <x v="0"/>
    <n v="31137"/>
    <n v="9.6999999999999993"/>
    <n v="36"/>
    <x v="0"/>
    <x v="4"/>
    <x v="0"/>
    <n v="42497"/>
    <s v="MORTGAGE"/>
    <n v="0.13"/>
    <n v="0.93"/>
    <n v="34157.29"/>
    <n v="0"/>
    <n v="42"/>
    <n v="9060.8670000000002"/>
    <n v="40197.866999999998"/>
    <n v="3020.2900000000009"/>
    <n v="0"/>
    <x v="0"/>
    <s v="LOW"/>
    <n v="25169.075000000001"/>
    <n v="9.7000032116131965E-2"/>
    <s v="HIGH RISK"/>
  </r>
  <r>
    <s v="L0811"/>
    <x v="580"/>
    <s v="B0811"/>
    <x v="3"/>
    <n v="11526"/>
    <n v="11.1"/>
    <n v="36"/>
    <x v="1"/>
    <x v="6"/>
    <x v="0"/>
    <n v="147551"/>
    <s v="MORTGAGE"/>
    <n v="0.37"/>
    <n v="0.68"/>
    <n v="1006.42"/>
    <n v="0"/>
    <n v="45"/>
    <n v="3838.1579999999999"/>
    <n v="15364.157999999999"/>
    <n v="-10519.58"/>
    <n v="0"/>
    <x v="1"/>
    <s v="VERY HIGH"/>
    <n v="10661.55"/>
    <n v="-0.91268263057435361"/>
    <s v="NORMAL"/>
  </r>
  <r>
    <s v="L0812"/>
    <x v="581"/>
    <s v="B0812"/>
    <x v="1"/>
    <n v="4374"/>
    <n v="10.8"/>
    <n v="36"/>
    <x v="0"/>
    <x v="4"/>
    <x v="4"/>
    <n v="62551"/>
    <s v="MORTGAGE"/>
    <n v="0.19"/>
    <n v="0.56000000000000005"/>
    <n v="4846.3900000000003"/>
    <n v="0"/>
    <n v="34"/>
    <n v="1417.1760000000002"/>
    <n v="5791.1760000000004"/>
    <n v="472.39000000000033"/>
    <n v="0"/>
    <x v="0"/>
    <s v="LOW"/>
    <n v="3936.6"/>
    <n v="0.10799954275262924"/>
    <s v="NORMAL"/>
  </r>
  <r>
    <s v="L0813"/>
    <x v="10"/>
    <s v="B0813"/>
    <x v="1"/>
    <n v="26592"/>
    <n v="16.3"/>
    <n v="36"/>
    <x v="1"/>
    <x v="1"/>
    <x v="0"/>
    <n v="106384"/>
    <s v="MORTGAGE"/>
    <n v="0.48"/>
    <n v="0.74"/>
    <n v="9009.34"/>
    <n v="0"/>
    <n v="36"/>
    <n v="13003.487999999999"/>
    <n v="39595.487999999998"/>
    <n v="-17582.66"/>
    <n v="0"/>
    <x v="1"/>
    <s v="HIGH"/>
    <n v="36120.800000000003"/>
    <n v="-0.6612011131167268"/>
    <s v="HIGH RISK"/>
  </r>
  <r>
    <s v="L0814"/>
    <x v="395"/>
    <s v="B0814"/>
    <x v="4"/>
    <n v="29982"/>
    <n v="7.4"/>
    <n v="36"/>
    <x v="0"/>
    <x v="0"/>
    <x v="3"/>
    <n v="85755"/>
    <s v="MORTGAGE"/>
    <n v="0.45"/>
    <n v="0.55000000000000004"/>
    <n v="32200.67"/>
    <n v="0"/>
    <n v="35"/>
    <n v="6656.0040000000008"/>
    <n v="36638.004000000001"/>
    <n v="2218.6699999999983"/>
    <n v="0"/>
    <x v="0"/>
    <s v="LOW"/>
    <n v="18488.900600000001"/>
    <n v="7.4000066706690626E-2"/>
    <s v="HIGH RISK"/>
  </r>
  <r>
    <s v="L0815"/>
    <x v="517"/>
    <s v="B0815"/>
    <x v="9"/>
    <n v="1207"/>
    <n v="23.3"/>
    <n v="60"/>
    <x v="3"/>
    <x v="6"/>
    <x v="0"/>
    <n v="43255"/>
    <s v="RENT"/>
    <n v="0.22"/>
    <n v="0.59"/>
    <n v="291.58999999999997"/>
    <n v="508.63"/>
    <n v="55"/>
    <n v="1406.155"/>
    <n v="2613.1549999999997"/>
    <n v="-406.78"/>
    <n v="1"/>
    <x v="2"/>
    <s v="VERY HIGH"/>
    <n v="2343.5916999999999"/>
    <n v="-0.33701739850869922"/>
    <s v="NORMAL"/>
  </r>
  <r>
    <s v="L0816"/>
    <x v="582"/>
    <s v="B0816"/>
    <x v="8"/>
    <n v="36433"/>
    <n v="19.399999999999999"/>
    <n v="60"/>
    <x v="1"/>
    <x v="0"/>
    <x v="3"/>
    <n v="34567"/>
    <s v="MORTGAGE"/>
    <n v="0.41"/>
    <n v="0.95"/>
    <n v="16706.38"/>
    <n v="0"/>
    <n v="55"/>
    <n v="35340.01"/>
    <n v="71773.010000000009"/>
    <n v="-19726.62"/>
    <n v="0"/>
    <x v="1"/>
    <s v="LOW"/>
    <n v="58900.0167"/>
    <n v="-0.54144923558312519"/>
    <s v="HIGH RISK"/>
  </r>
  <r>
    <s v="L0817"/>
    <x v="356"/>
    <s v="B0817"/>
    <x v="6"/>
    <n v="24197"/>
    <n v="13"/>
    <n v="60"/>
    <x v="0"/>
    <x v="1"/>
    <x v="4"/>
    <n v="78847"/>
    <s v="OWN"/>
    <n v="0.42"/>
    <n v="0.74"/>
    <n v="27342.61"/>
    <n v="0"/>
    <n v="31"/>
    <n v="15728.050000000001"/>
    <n v="39925.050000000003"/>
    <n v="3145.6100000000006"/>
    <n v="0"/>
    <x v="0"/>
    <s v="HIGH"/>
    <n v="26213.416700000002"/>
    <n v="0.13000000000000003"/>
    <s v="HIGH RISK"/>
  </r>
  <r>
    <s v="L0818"/>
    <x v="71"/>
    <s v="B0818"/>
    <x v="7"/>
    <n v="34400"/>
    <n v="8.1999999999999993"/>
    <n v="36"/>
    <x v="0"/>
    <x v="0"/>
    <x v="1"/>
    <n v="134817"/>
    <s v="MORTGAGE"/>
    <n v="0.49"/>
    <n v="0.63"/>
    <n v="37220.800000000003"/>
    <n v="0"/>
    <n v="62"/>
    <n v="8462.4"/>
    <n v="42862.400000000001"/>
    <n v="2820.8000000000029"/>
    <n v="0"/>
    <x v="0"/>
    <s v="LOW"/>
    <n v="23506.666799999999"/>
    <n v="8.2000000000000087E-2"/>
    <s v="HIGH RISK"/>
  </r>
  <r>
    <s v="L0819"/>
    <x v="264"/>
    <s v="B0819"/>
    <x v="5"/>
    <n v="4083"/>
    <n v="22.6"/>
    <n v="36"/>
    <x v="0"/>
    <x v="4"/>
    <x v="4"/>
    <n v="78003"/>
    <s v="RENT"/>
    <n v="0.34"/>
    <n v="0.95"/>
    <n v="5005.76"/>
    <n v="0"/>
    <n v="61"/>
    <n v="2768.2739999999999"/>
    <n v="6851.2739999999994"/>
    <n v="922.76000000000022"/>
    <n v="0"/>
    <x v="0"/>
    <s v="LOW"/>
    <n v="7689.65"/>
    <n v="0.22600048983590504"/>
    <s v="HIGH RISK"/>
  </r>
  <r>
    <s v="L0820"/>
    <x v="583"/>
    <s v="B0820"/>
    <x v="5"/>
    <n v="30328"/>
    <n v="21.5"/>
    <n v="36"/>
    <x v="1"/>
    <x v="5"/>
    <x v="0"/>
    <n v="50389"/>
    <s v="MORTGAGE"/>
    <n v="0.13"/>
    <n v="0.93"/>
    <n v="6473.06"/>
    <n v="0"/>
    <n v="51"/>
    <n v="19561.560000000001"/>
    <n v="49889.56"/>
    <n v="-23854.94"/>
    <n v="0"/>
    <x v="1"/>
    <s v="MEDIUM"/>
    <n v="54337.666700000002"/>
    <n v="-0.78656489053020306"/>
    <s v="HIGH RISK"/>
  </r>
  <r>
    <s v="L0821"/>
    <x v="584"/>
    <s v="B0821"/>
    <x v="1"/>
    <n v="21103"/>
    <n v="19.399999999999999"/>
    <n v="60"/>
    <x v="1"/>
    <x v="4"/>
    <x v="3"/>
    <n v="74523"/>
    <s v="MORTGAGE"/>
    <n v="0.36"/>
    <n v="0.7"/>
    <n v="3782.05"/>
    <n v="0"/>
    <n v="34"/>
    <n v="20469.91"/>
    <n v="41572.910000000003"/>
    <n v="-17320.95"/>
    <n v="0"/>
    <x v="1"/>
    <s v="LOW"/>
    <n v="34116.5167"/>
    <n v="-0.82078140548737155"/>
    <s v="NORMAL"/>
  </r>
  <r>
    <s v="L0822"/>
    <x v="585"/>
    <s v="B0822"/>
    <x v="6"/>
    <n v="11754"/>
    <n v="10.4"/>
    <n v="60"/>
    <x v="0"/>
    <x v="0"/>
    <x v="0"/>
    <n v="91576"/>
    <s v="RENT"/>
    <n v="0.35"/>
    <n v="0.62"/>
    <n v="12976.42"/>
    <n v="0"/>
    <n v="58"/>
    <n v="6112.0800000000008"/>
    <n v="17866.080000000002"/>
    <n v="1222.42"/>
    <n v="0"/>
    <x v="0"/>
    <s v="LOW"/>
    <n v="10186.799999999999"/>
    <n v="0.10400034030968182"/>
    <s v="NORMAL"/>
  </r>
  <r>
    <s v="L0823"/>
    <x v="441"/>
    <s v="B0823"/>
    <x v="5"/>
    <n v="35447"/>
    <n v="13"/>
    <n v="36"/>
    <x v="3"/>
    <x v="4"/>
    <x v="0"/>
    <n v="73919"/>
    <s v="MORTGAGE"/>
    <n v="0.36"/>
    <n v="0.88"/>
    <n v="8869.57"/>
    <n v="8023.15"/>
    <n v="59"/>
    <n v="13824.33"/>
    <n v="49271.33"/>
    <n v="-18554.28"/>
    <n v="1"/>
    <x v="2"/>
    <s v="LOW"/>
    <n v="38400.916700000002"/>
    <n v="-0.5234372443366152"/>
    <s v="HIGH RISK"/>
  </r>
  <r>
    <s v="L0824"/>
    <x v="586"/>
    <s v="B0824"/>
    <x v="2"/>
    <n v="16901"/>
    <n v="7.1"/>
    <n v="60"/>
    <x v="0"/>
    <x v="1"/>
    <x v="1"/>
    <n v="112103"/>
    <s v="RENT"/>
    <n v="0.22"/>
    <n v="0.82"/>
    <n v="18100.97"/>
    <n v="0"/>
    <n v="42"/>
    <n v="5999.8549999999996"/>
    <n v="22900.855"/>
    <n v="1199.9700000000012"/>
    <n v="0"/>
    <x v="0"/>
    <s v="HIGH"/>
    <n v="9999.7582999999995"/>
    <n v="7.0999940831903502E-2"/>
    <s v="HIGH RISK"/>
  </r>
  <r>
    <s v="L0825"/>
    <x v="587"/>
    <s v="B0825"/>
    <x v="2"/>
    <n v="34004"/>
    <n v="8.8000000000000007"/>
    <n v="36"/>
    <x v="0"/>
    <x v="1"/>
    <x v="0"/>
    <n v="33358"/>
    <s v="MORTGAGE"/>
    <n v="0.44"/>
    <n v="0.81"/>
    <n v="36996.35"/>
    <n v="0"/>
    <n v="37"/>
    <n v="8977.0560000000005"/>
    <n v="42981.055999999997"/>
    <n v="2992.3499999999985"/>
    <n v="0"/>
    <x v="0"/>
    <s v="HIGH"/>
    <n v="24936.2667"/>
    <n v="8.7999941183390148E-2"/>
    <s v="HIGH RISK"/>
  </r>
  <r>
    <s v="L0826"/>
    <x v="487"/>
    <s v="B0826"/>
    <x v="9"/>
    <n v="8446"/>
    <n v="20.7"/>
    <n v="60"/>
    <x v="3"/>
    <x v="0"/>
    <x v="1"/>
    <n v="118535"/>
    <s v="OWN"/>
    <n v="0.48"/>
    <n v="0.9"/>
    <n v="1999.88"/>
    <n v="1314.2"/>
    <n v="36"/>
    <n v="8741.6099999999988"/>
    <n v="17187.61"/>
    <n v="-5131.92"/>
    <n v="1"/>
    <x v="2"/>
    <s v="LOW"/>
    <n v="14569.35"/>
    <n v="-0.60761543926118877"/>
    <s v="HIGH RISK"/>
  </r>
  <r>
    <s v="L0827"/>
    <x v="468"/>
    <s v="B0827"/>
    <x v="6"/>
    <n v="38211"/>
    <n v="19.3"/>
    <n v="60"/>
    <x v="1"/>
    <x v="1"/>
    <x v="3"/>
    <n v="137894"/>
    <s v="MORTGAGE"/>
    <n v="0.19"/>
    <n v="0.81"/>
    <n v="7832.97"/>
    <n v="0"/>
    <n v="60"/>
    <n v="36873.615000000005"/>
    <n v="75084.615000000005"/>
    <n v="-30378.03"/>
    <n v="0"/>
    <x v="1"/>
    <s v="HIGH"/>
    <n v="61456.025000000001"/>
    <n v="-0.79500745858522415"/>
    <s v="HIGH RISK"/>
  </r>
  <r>
    <s v="L0828"/>
    <x v="588"/>
    <s v="B0828"/>
    <x v="2"/>
    <n v="30301"/>
    <n v="16.899999999999999"/>
    <n v="60"/>
    <x v="0"/>
    <x v="0"/>
    <x v="3"/>
    <n v="106524"/>
    <s v="RENT"/>
    <n v="0.14000000000000001"/>
    <n v="0.63"/>
    <n v="35421.870000000003"/>
    <n v="0"/>
    <n v="62"/>
    <n v="25604.344999999998"/>
    <n v="55905.345000000001"/>
    <n v="5120.8700000000026"/>
    <n v="0"/>
    <x v="0"/>
    <s v="LOW"/>
    <n v="42673.908300000003"/>
    <n v="0.16900003300221123"/>
    <s v="NORMAL"/>
  </r>
  <r>
    <s v="L0829"/>
    <x v="6"/>
    <s v="B0829"/>
    <x v="2"/>
    <n v="27116"/>
    <n v="22.9"/>
    <n v="36"/>
    <x v="1"/>
    <x v="5"/>
    <x v="1"/>
    <n v="135982"/>
    <s v="OWN"/>
    <n v="0.18"/>
    <n v="0.81"/>
    <n v="9820.9699999999993"/>
    <n v="0"/>
    <n v="33"/>
    <n v="18628.691999999999"/>
    <n v="45744.691999999995"/>
    <n v="-17295.03"/>
    <n v="0"/>
    <x v="1"/>
    <s v="MEDIUM"/>
    <n v="51746.366699999999"/>
    <n v="-0.63781641835078917"/>
    <s v="HIGH RISK"/>
  </r>
  <r>
    <s v="L0830"/>
    <x v="576"/>
    <s v="B0830"/>
    <x v="1"/>
    <n v="19752"/>
    <n v="16.7"/>
    <n v="60"/>
    <x v="2"/>
    <x v="4"/>
    <x v="4"/>
    <n v="127057"/>
    <s v="RENT"/>
    <n v="0.43"/>
    <n v="0.64"/>
    <n v="0"/>
    <n v="0"/>
    <n v="44"/>
    <n v="16492.919999999998"/>
    <n v="36244.92"/>
    <n v="-19752"/>
    <n v="0"/>
    <x v="2"/>
    <s v="LOW"/>
    <n v="27488.2"/>
    <n v="-1"/>
    <s v="HIGH RISK"/>
  </r>
  <r>
    <s v="L0831"/>
    <x v="589"/>
    <s v="B0831"/>
    <x v="5"/>
    <n v="33376"/>
    <n v="14.3"/>
    <n v="60"/>
    <x v="1"/>
    <x v="5"/>
    <x v="3"/>
    <n v="35698"/>
    <s v="MORTGAGE"/>
    <n v="0.37"/>
    <n v="0.84"/>
    <n v="13076.81"/>
    <n v="0"/>
    <n v="39"/>
    <n v="23863.84"/>
    <n v="57239.839999999997"/>
    <n v="-20299.190000000002"/>
    <n v="0"/>
    <x v="1"/>
    <s v="MEDIUM"/>
    <n v="39773.066700000003"/>
    <n v="-0.60819720757430495"/>
    <s v="HIGH RISK"/>
  </r>
  <r>
    <s v="L0832"/>
    <x v="301"/>
    <s v="B0832"/>
    <x v="9"/>
    <n v="17669"/>
    <n v="11.8"/>
    <n v="36"/>
    <x v="1"/>
    <x v="4"/>
    <x v="4"/>
    <n v="96809"/>
    <s v="OWN"/>
    <n v="0.35"/>
    <n v="0.78"/>
    <n v="7665.57"/>
    <n v="0"/>
    <n v="61"/>
    <n v="6254.826"/>
    <n v="23923.826000000001"/>
    <n v="-10003.43"/>
    <n v="0"/>
    <x v="1"/>
    <s v="LOW"/>
    <n v="17374.5167"/>
    <n v="-0.56615711132491942"/>
    <s v="NORMAL"/>
  </r>
  <r>
    <s v="L0833"/>
    <x v="395"/>
    <s v="B0833"/>
    <x v="8"/>
    <n v="33916"/>
    <n v="23.8"/>
    <n v="60"/>
    <x v="1"/>
    <x v="3"/>
    <x v="3"/>
    <n v="123079"/>
    <s v="RENT"/>
    <n v="0.26"/>
    <n v="0.53"/>
    <n v="16543.73"/>
    <n v="0"/>
    <n v="35"/>
    <n v="40360.04"/>
    <n v="74276.040000000008"/>
    <n v="-17372.27"/>
    <n v="0"/>
    <x v="1"/>
    <s v="VERY HIGH"/>
    <n v="67266.733300000007"/>
    <n v="-0.51221458898455008"/>
    <s v="NORMAL"/>
  </r>
  <r>
    <s v="L0834"/>
    <x v="167"/>
    <s v="B0834"/>
    <x v="0"/>
    <n v="14395"/>
    <n v="6.7"/>
    <n v="36"/>
    <x v="0"/>
    <x v="4"/>
    <x v="3"/>
    <n v="85805"/>
    <s v="OWN"/>
    <n v="0.33"/>
    <n v="0.73"/>
    <n v="15359.46"/>
    <n v="0"/>
    <n v="51"/>
    <n v="2893.395"/>
    <n v="17288.395"/>
    <n v="964.45999999999913"/>
    <n v="0"/>
    <x v="0"/>
    <s v="LOW"/>
    <n v="8037.2093000000004"/>
    <n v="6.6999652657172573E-2"/>
    <s v="NORMAL"/>
  </r>
  <r>
    <s v="L0835"/>
    <x v="213"/>
    <s v="B0835"/>
    <x v="7"/>
    <n v="21421"/>
    <n v="23.6"/>
    <n v="36"/>
    <x v="1"/>
    <x v="0"/>
    <x v="2"/>
    <n v="61349"/>
    <s v="OWN"/>
    <n v="0.22"/>
    <n v="0.65"/>
    <n v="3641.47"/>
    <n v="0"/>
    <n v="52"/>
    <n v="15166.068000000001"/>
    <n v="36587.067999999999"/>
    <n v="-17779.53"/>
    <n v="0"/>
    <x v="1"/>
    <s v="LOW"/>
    <n v="42127.966699999997"/>
    <n v="-0.83000466831613828"/>
    <s v="NORMAL"/>
  </r>
  <r>
    <s v="L0836"/>
    <x v="510"/>
    <s v="B0836"/>
    <x v="7"/>
    <n v="27342"/>
    <n v="21.5"/>
    <n v="36"/>
    <x v="0"/>
    <x v="4"/>
    <x v="0"/>
    <n v="106777"/>
    <s v="RENT"/>
    <n v="0.28999999999999998"/>
    <n v="0.65"/>
    <n v="33220.53"/>
    <n v="0"/>
    <n v="50"/>
    <n v="17635.59"/>
    <n v="44977.59"/>
    <n v="5878.5299999999988"/>
    <n v="0"/>
    <x v="0"/>
    <s v="LOW"/>
    <n v="48987.75"/>
    <n v="0.21499999999999997"/>
    <s v="NORMAL"/>
  </r>
  <r>
    <s v="L0837"/>
    <x v="346"/>
    <s v="B0837"/>
    <x v="3"/>
    <n v="5895"/>
    <n v="7.6"/>
    <n v="36"/>
    <x v="3"/>
    <x v="2"/>
    <x v="0"/>
    <n v="80248"/>
    <s v="OWN"/>
    <n v="0.42"/>
    <n v="0.77"/>
    <n v="1855.91"/>
    <n v="1714.08"/>
    <n v="49"/>
    <n v="1344.06"/>
    <n v="7239.0599999999995"/>
    <n v="-2325.0100000000002"/>
    <n v="1"/>
    <x v="2"/>
    <s v="VERY HIGH"/>
    <n v="3733.5001000000002"/>
    <n v="-0.39440373197625112"/>
    <s v="HIGH RISK"/>
  </r>
  <r>
    <s v="L0838"/>
    <x v="296"/>
    <s v="B0838"/>
    <x v="0"/>
    <n v="12023"/>
    <n v="16.3"/>
    <n v="36"/>
    <x v="0"/>
    <x v="1"/>
    <x v="4"/>
    <n v="105033"/>
    <s v="RENT"/>
    <n v="0.49"/>
    <n v="0.65"/>
    <n v="13982.75"/>
    <n v="0"/>
    <n v="55"/>
    <n v="5879.2470000000003"/>
    <n v="17902.246999999999"/>
    <n v="1959.75"/>
    <n v="0"/>
    <x v="0"/>
    <s v="HIGH"/>
    <n v="16331.2417"/>
    <n v="0.16300008317391665"/>
    <s v="HIGH RISK"/>
  </r>
  <r>
    <s v="L0839"/>
    <x v="590"/>
    <s v="B0839"/>
    <x v="0"/>
    <n v="11699"/>
    <n v="22.3"/>
    <n v="60"/>
    <x v="1"/>
    <x v="1"/>
    <x v="0"/>
    <n v="137411"/>
    <s v="OWN"/>
    <n v="0.47"/>
    <n v="0.85"/>
    <n v="2660.54"/>
    <n v="0"/>
    <n v="57"/>
    <n v="13044.385"/>
    <n v="24743.385000000002"/>
    <n v="-9038.4599999999991"/>
    <n v="0"/>
    <x v="1"/>
    <s v="HIGH"/>
    <n v="21740.6417"/>
    <n v="-0.77258398153688346"/>
    <s v="HIGH RISK"/>
  </r>
  <r>
    <s v="L0840"/>
    <x v="25"/>
    <s v="B0840"/>
    <x v="7"/>
    <n v="10715"/>
    <n v="16.399999999999999"/>
    <n v="36"/>
    <x v="0"/>
    <x v="2"/>
    <x v="4"/>
    <n v="128239"/>
    <s v="OWN"/>
    <n v="0.47"/>
    <n v="0.53"/>
    <n v="12472.26"/>
    <n v="0"/>
    <n v="31"/>
    <n v="5271.78"/>
    <n v="15986.779999999999"/>
    <n v="1757.2600000000002"/>
    <n v="0"/>
    <x v="0"/>
    <s v="VERY HIGH"/>
    <n v="14643.8333"/>
    <n v="0.16400000000000001"/>
    <s v="HIGH RISK"/>
  </r>
  <r>
    <s v="L0841"/>
    <x v="591"/>
    <s v="B0841"/>
    <x v="7"/>
    <n v="20169"/>
    <n v="23.1"/>
    <n v="36"/>
    <x v="0"/>
    <x v="2"/>
    <x v="3"/>
    <n v="74041"/>
    <s v="OWN"/>
    <n v="0.26"/>
    <n v="0.8"/>
    <n v="24828.04"/>
    <n v="0"/>
    <n v="30"/>
    <n v="13977.117000000004"/>
    <n v="34146.117000000006"/>
    <n v="4659.0400000000009"/>
    <n v="0"/>
    <x v="0"/>
    <s v="VERY HIGH"/>
    <n v="38825.324999999997"/>
    <n v="0.23100004958104026"/>
    <s v="NORMAL"/>
  </r>
  <r>
    <s v="L0842"/>
    <x v="216"/>
    <s v="B0842"/>
    <x v="8"/>
    <n v="17163"/>
    <n v="23.9"/>
    <n v="36"/>
    <x v="0"/>
    <x v="1"/>
    <x v="2"/>
    <n v="61954"/>
    <s v="MORTGAGE"/>
    <n v="0.28999999999999998"/>
    <n v="0.86"/>
    <n v="21264.959999999999"/>
    <n v="0"/>
    <n v="29"/>
    <n v="12305.870999999999"/>
    <n v="29468.870999999999"/>
    <n v="4101.9599999999991"/>
    <n v="0"/>
    <x v="0"/>
    <s v="HIGH"/>
    <n v="34182.974999999999"/>
    <n v="0.23900017479461627"/>
    <s v="HIGH RISK"/>
  </r>
  <r>
    <s v="L0843"/>
    <x v="236"/>
    <s v="B0843"/>
    <x v="6"/>
    <n v="6782"/>
    <n v="13.4"/>
    <n v="36"/>
    <x v="2"/>
    <x v="0"/>
    <x v="2"/>
    <n v="38002"/>
    <s v="MORTGAGE"/>
    <n v="0.38"/>
    <n v="0.8"/>
    <n v="0"/>
    <n v="0"/>
    <n v="35"/>
    <n v="2726.364"/>
    <n v="9508.3639999999996"/>
    <n v="-6782"/>
    <n v="0"/>
    <x v="2"/>
    <s v="LOW"/>
    <n v="7573.2332999999999"/>
    <n v="-1"/>
    <s v="NORMAL"/>
  </r>
  <r>
    <s v="L0844"/>
    <x v="592"/>
    <s v="B0844"/>
    <x v="6"/>
    <n v="23641"/>
    <n v="12.5"/>
    <n v="60"/>
    <x v="2"/>
    <x v="6"/>
    <x v="3"/>
    <n v="99783"/>
    <s v="RENT"/>
    <n v="0.47"/>
    <n v="0.72"/>
    <n v="0"/>
    <n v="0"/>
    <n v="40"/>
    <n v="14775.625"/>
    <n v="38416.625"/>
    <n v="-23641"/>
    <n v="0"/>
    <x v="2"/>
    <s v="VERY HIGH"/>
    <n v="24626.041700000002"/>
    <n v="-1"/>
    <s v="HIGH RISK"/>
  </r>
  <r>
    <s v="L0845"/>
    <x v="259"/>
    <s v="B0845"/>
    <x v="8"/>
    <n v="19792"/>
    <n v="23.7"/>
    <n v="36"/>
    <x v="0"/>
    <x v="0"/>
    <x v="1"/>
    <n v="137524"/>
    <s v="OWN"/>
    <n v="0.16"/>
    <n v="0.93"/>
    <n v="24482.7"/>
    <n v="0"/>
    <n v="29"/>
    <n v="14072.111999999999"/>
    <n v="33864.112000000001"/>
    <n v="4690.7000000000007"/>
    <n v="0"/>
    <x v="0"/>
    <s v="LOW"/>
    <n v="39089.199999999997"/>
    <n v="0.23699979789814071"/>
    <s v="HIGH RISK"/>
  </r>
  <r>
    <s v="L0846"/>
    <x v="593"/>
    <s v="B0846"/>
    <x v="5"/>
    <n v="36585"/>
    <n v="18.5"/>
    <n v="60"/>
    <x v="4"/>
    <x v="1"/>
    <x v="1"/>
    <n v="117234"/>
    <s v="RENT"/>
    <n v="0.22"/>
    <n v="0.63"/>
    <n v="0"/>
    <n v="0"/>
    <n v="50"/>
    <n v="33841.125"/>
    <n v="70426.125"/>
    <n v="-36585"/>
    <n v="0"/>
    <x v="2"/>
    <s v="HIGH"/>
    <n v="56401.875"/>
    <n v="-1"/>
    <s v="NORMAL"/>
  </r>
  <r>
    <s v="L0847"/>
    <x v="594"/>
    <s v="B0847"/>
    <x v="0"/>
    <n v="31682"/>
    <n v="7.3"/>
    <n v="36"/>
    <x v="1"/>
    <x v="1"/>
    <x v="0"/>
    <n v="49738"/>
    <s v="MORTGAGE"/>
    <n v="0.16"/>
    <n v="0.51"/>
    <n v="11237.19"/>
    <n v="0"/>
    <n v="29"/>
    <n v="6938.3580000000002"/>
    <n v="38620.358"/>
    <n v="-20444.809999999998"/>
    <n v="0"/>
    <x v="1"/>
    <s v="HIGH"/>
    <n v="19273.217400000001"/>
    <n v="-0.64531311154598814"/>
    <s v="NORMAL"/>
  </r>
  <r>
    <s v="L0848"/>
    <x v="595"/>
    <s v="B0848"/>
    <x v="4"/>
    <n v="19880"/>
    <n v="5.8"/>
    <n v="60"/>
    <x v="1"/>
    <x v="1"/>
    <x v="4"/>
    <n v="40703"/>
    <s v="MORTGAGE"/>
    <n v="0.34"/>
    <n v="0.69"/>
    <n v="5252.13"/>
    <n v="0"/>
    <n v="33"/>
    <n v="5765.2"/>
    <n v="25645.200000000001"/>
    <n v="-14627.869999999999"/>
    <n v="0"/>
    <x v="1"/>
    <s v="HIGH"/>
    <n v="9608.6666999999998"/>
    <n v="-0.73580835010060353"/>
    <s v="NORMAL"/>
  </r>
  <r>
    <s v="L0849"/>
    <x v="596"/>
    <s v="B0849"/>
    <x v="0"/>
    <n v="39067"/>
    <n v="16.3"/>
    <n v="36"/>
    <x v="0"/>
    <x v="5"/>
    <x v="2"/>
    <n v="143776"/>
    <s v="MORTGAGE"/>
    <n v="0.22"/>
    <n v="0.51"/>
    <n v="45434.92"/>
    <n v="0"/>
    <n v="58"/>
    <n v="19103.762999999999"/>
    <n v="58170.762999999999"/>
    <n v="6367.9199999999983"/>
    <n v="0"/>
    <x v="0"/>
    <s v="MEDIUM"/>
    <n v="53066.008300000001"/>
    <n v="0.16299997440294872"/>
    <s v="NORMAL"/>
  </r>
  <r>
    <s v="L0850"/>
    <x v="292"/>
    <s v="B0850"/>
    <x v="3"/>
    <n v="19073"/>
    <n v="23.6"/>
    <n v="36"/>
    <x v="3"/>
    <x v="1"/>
    <x v="0"/>
    <n v="79422"/>
    <s v="MORTGAGE"/>
    <n v="0.23"/>
    <n v="0.93"/>
    <n v="7593.57"/>
    <n v="6148.31"/>
    <n v="29"/>
    <n v="13503.684000000001"/>
    <n v="32576.684000000001"/>
    <n v="-5331.119999999999"/>
    <n v="1"/>
    <x v="2"/>
    <s v="HIGH"/>
    <n v="37510.2333"/>
    <n v="-0.27951135112462638"/>
    <s v="HIGH RISK"/>
  </r>
  <r>
    <s v="L0851"/>
    <x v="482"/>
    <s v="B0851"/>
    <x v="7"/>
    <n v="37035"/>
    <n v="21.9"/>
    <n v="60"/>
    <x v="1"/>
    <x v="2"/>
    <x v="3"/>
    <n v="113106"/>
    <s v="RENT"/>
    <n v="0.13"/>
    <n v="0.59"/>
    <n v="13999.45"/>
    <n v="0"/>
    <n v="42"/>
    <n v="40553.325000000004"/>
    <n v="77588.325000000012"/>
    <n v="-23035.55"/>
    <n v="0"/>
    <x v="1"/>
    <s v="VERY HIGH"/>
    <n v="67588.875"/>
    <n v="-0.62199405967328203"/>
    <s v="NORMAL"/>
  </r>
  <r>
    <s v="L0852"/>
    <x v="597"/>
    <s v="B0852"/>
    <x v="0"/>
    <n v="38174"/>
    <n v="18.5"/>
    <n v="36"/>
    <x v="3"/>
    <x v="0"/>
    <x v="2"/>
    <n v="91899"/>
    <s v="OWN"/>
    <n v="0.24"/>
    <n v="0.86"/>
    <n v="14725.52"/>
    <n v="11118.32"/>
    <n v="29"/>
    <n v="21186.57"/>
    <n v="59360.57"/>
    <n v="-12330.16"/>
    <n v="1"/>
    <x v="2"/>
    <s v="LOW"/>
    <n v="58851.583299999998"/>
    <n v="-0.3229988997747158"/>
    <s v="HIGH RISK"/>
  </r>
  <r>
    <s v="L0853"/>
    <x v="249"/>
    <s v="B0853"/>
    <x v="7"/>
    <n v="25837"/>
    <n v="7.8"/>
    <n v="60"/>
    <x v="1"/>
    <x v="4"/>
    <x v="4"/>
    <n v="42392"/>
    <s v="RENT"/>
    <n v="0.44"/>
    <n v="0.85"/>
    <n v="10999.75"/>
    <n v="0"/>
    <n v="60"/>
    <n v="10076.43"/>
    <n v="35913.43"/>
    <n v="-14837.25"/>
    <n v="0"/>
    <x v="1"/>
    <s v="LOW"/>
    <n v="16794.05"/>
    <n v="-0.57426365290087855"/>
    <s v="HIGH RISK"/>
  </r>
  <r>
    <s v="L0854"/>
    <x v="598"/>
    <s v="B0854"/>
    <x v="0"/>
    <n v="18826"/>
    <n v="10.1"/>
    <n v="36"/>
    <x v="1"/>
    <x v="5"/>
    <x v="4"/>
    <n v="74724"/>
    <s v="OWN"/>
    <n v="0.19"/>
    <n v="0.6"/>
    <n v="8590.41"/>
    <n v="0"/>
    <n v="28"/>
    <n v="5704.2780000000012"/>
    <n v="24530.278000000002"/>
    <n v="-10235.59"/>
    <n v="0"/>
    <x v="1"/>
    <s v="MEDIUM"/>
    <n v="15845.216700000001"/>
    <n v="-0.54369435886539896"/>
    <s v="NORMAL"/>
  </r>
  <r>
    <s v="L0855"/>
    <x v="599"/>
    <s v="B0855"/>
    <x v="3"/>
    <n v="25981"/>
    <n v="22.5"/>
    <n v="60"/>
    <x v="1"/>
    <x v="3"/>
    <x v="1"/>
    <n v="62299"/>
    <s v="MORTGAGE"/>
    <n v="0.38"/>
    <n v="0.78"/>
    <n v="10820.79"/>
    <n v="0"/>
    <n v="37"/>
    <n v="29228.625"/>
    <n v="55209.625"/>
    <n v="-15160.21"/>
    <n v="0"/>
    <x v="1"/>
    <s v="VERY HIGH"/>
    <n v="48714.375"/>
    <n v="-0.58351141218582803"/>
    <s v="NORMAL"/>
  </r>
  <r>
    <s v="L0856"/>
    <x v="600"/>
    <s v="B0856"/>
    <x v="5"/>
    <n v="11382"/>
    <n v="8.6999999999999993"/>
    <n v="36"/>
    <x v="0"/>
    <x v="0"/>
    <x v="0"/>
    <n v="45641"/>
    <s v="OWN"/>
    <n v="0.35"/>
    <n v="0.52"/>
    <n v="12372.23"/>
    <n v="0"/>
    <n v="35"/>
    <n v="2970.7019999999998"/>
    <n v="14352.701999999999"/>
    <n v="990.22999999999956"/>
    <n v="0"/>
    <x v="0"/>
    <s v="LOW"/>
    <n v="8251.9500000000007"/>
    <n v="8.6999648567914215E-2"/>
    <s v="NORMAL"/>
  </r>
  <r>
    <s v="L0857"/>
    <x v="574"/>
    <s v="B0857"/>
    <x v="4"/>
    <n v="5437"/>
    <n v="10.6"/>
    <n v="36"/>
    <x v="0"/>
    <x v="0"/>
    <x v="3"/>
    <n v="109534"/>
    <s v="MORTGAGE"/>
    <n v="0.45"/>
    <n v="0.72"/>
    <n v="6013.32"/>
    <n v="0"/>
    <n v="48"/>
    <n v="1728.9660000000001"/>
    <n v="7165.9660000000003"/>
    <n v="576.31999999999971"/>
    <n v="0"/>
    <x v="0"/>
    <s v="LOW"/>
    <n v="4802.6832999999997"/>
    <n v="0.10599963215008271"/>
    <s v="HIGH RISK"/>
  </r>
  <r>
    <s v="L0858"/>
    <x v="601"/>
    <s v="B0858"/>
    <x v="2"/>
    <n v="6435"/>
    <n v="7.6"/>
    <n v="60"/>
    <x v="0"/>
    <x v="0"/>
    <x v="2"/>
    <n v="36305"/>
    <s v="RENT"/>
    <n v="0.15"/>
    <n v="0.51"/>
    <n v="6924.06"/>
    <n v="0"/>
    <n v="30"/>
    <n v="2445.2999999999997"/>
    <n v="8880.2999999999993"/>
    <n v="489.0600000000004"/>
    <n v="0"/>
    <x v="0"/>
    <s v="LOW"/>
    <n v="4075.5"/>
    <n v="7.6000000000000068E-2"/>
    <s v="NORMAL"/>
  </r>
  <r>
    <s v="L0859"/>
    <x v="602"/>
    <s v="B0859"/>
    <x v="8"/>
    <n v="25819"/>
    <n v="18.5"/>
    <n v="36"/>
    <x v="0"/>
    <x v="0"/>
    <x v="4"/>
    <n v="128262"/>
    <s v="OWN"/>
    <n v="0.49"/>
    <n v="0.91"/>
    <n v="30595.52"/>
    <n v="0"/>
    <n v="35"/>
    <n v="14329.545"/>
    <n v="40148.544999999998"/>
    <n v="4776.5200000000004"/>
    <n v="0"/>
    <x v="0"/>
    <s v="LOW"/>
    <n v="39804.291700000002"/>
    <n v="0.18500019365583487"/>
    <s v="HIGH RISK"/>
  </r>
  <r>
    <s v="L0860"/>
    <x v="386"/>
    <s v="B0860"/>
    <x v="8"/>
    <n v="37875"/>
    <n v="23.9"/>
    <n v="36"/>
    <x v="1"/>
    <x v="2"/>
    <x v="2"/>
    <n v="48782"/>
    <s v="RENT"/>
    <n v="0.33"/>
    <n v="0.94"/>
    <n v="9719.5400000000009"/>
    <n v="0"/>
    <n v="28"/>
    <n v="27156.375"/>
    <n v="65031.375"/>
    <n v="-28155.46"/>
    <n v="0"/>
    <x v="1"/>
    <s v="VERY HIGH"/>
    <n v="75434.375"/>
    <n v="-0.74337848184818478"/>
    <s v="HIGH RISK"/>
  </r>
  <r>
    <s v="L0861"/>
    <x v="603"/>
    <s v="B0861"/>
    <x v="4"/>
    <n v="32982"/>
    <n v="10.4"/>
    <n v="36"/>
    <x v="1"/>
    <x v="1"/>
    <x v="3"/>
    <n v="108257"/>
    <s v="MORTGAGE"/>
    <n v="0.5"/>
    <n v="0.6"/>
    <n v="5386.12"/>
    <n v="0"/>
    <n v="43"/>
    <n v="10290.384"/>
    <n v="43272.383999999998"/>
    <n v="-27595.88"/>
    <n v="0"/>
    <x v="1"/>
    <s v="HIGH"/>
    <n v="28584.400000000001"/>
    <n v="-0.83669516706082103"/>
    <s v="HIGH RISK"/>
  </r>
  <r>
    <s v="L0862"/>
    <x v="604"/>
    <s v="B0862"/>
    <x v="0"/>
    <n v="34328"/>
    <n v="14.5"/>
    <n v="36"/>
    <x v="3"/>
    <x v="1"/>
    <x v="2"/>
    <n v="135299"/>
    <s v="RENT"/>
    <n v="0.46"/>
    <n v="0.59"/>
    <n v="7246.51"/>
    <n v="14471.77"/>
    <n v="50"/>
    <n v="14932.68"/>
    <n v="49260.68"/>
    <n v="-12609.720000000001"/>
    <n v="1"/>
    <x v="2"/>
    <s v="HIGH"/>
    <n v="41479.666700000002"/>
    <n v="-0.36733045910044282"/>
    <s v="HIGH RISK"/>
  </r>
  <r>
    <s v="L0863"/>
    <x v="267"/>
    <s v="B0863"/>
    <x v="2"/>
    <n v="13329"/>
    <n v="17.7"/>
    <n v="36"/>
    <x v="0"/>
    <x v="5"/>
    <x v="0"/>
    <n v="107963"/>
    <s v="MORTGAGE"/>
    <n v="0.19"/>
    <n v="0.84"/>
    <n v="15688.23"/>
    <n v="0"/>
    <n v="31"/>
    <n v="7077.6989999999996"/>
    <n v="20406.699000000001"/>
    <n v="2359.2299999999996"/>
    <n v="0"/>
    <x v="0"/>
    <s v="MEDIUM"/>
    <n v="19660.275000000001"/>
    <n v="0.17699977492685121"/>
    <s v="HIGH RISK"/>
  </r>
  <r>
    <s v="L0864"/>
    <x v="605"/>
    <s v="B0864"/>
    <x v="3"/>
    <n v="26169"/>
    <n v="25"/>
    <n v="36"/>
    <x v="0"/>
    <x v="6"/>
    <x v="1"/>
    <n v="142086"/>
    <s v="MORTGAGE"/>
    <n v="0.12"/>
    <n v="0.61"/>
    <n v="32711.25"/>
    <n v="0"/>
    <n v="40"/>
    <n v="19626.75"/>
    <n v="45795.75"/>
    <n v="6542.25"/>
    <n v="0"/>
    <x v="0"/>
    <s v="VERY HIGH"/>
    <n v="54518.75"/>
    <n v="0.25"/>
    <s v="NORMAL"/>
  </r>
  <r>
    <s v="L0865"/>
    <x v="606"/>
    <s v="B0865"/>
    <x v="6"/>
    <n v="22932"/>
    <n v="7.1"/>
    <n v="60"/>
    <x v="0"/>
    <x v="0"/>
    <x v="2"/>
    <n v="50566"/>
    <s v="MORTGAGE"/>
    <n v="0.2"/>
    <n v="0.9"/>
    <n v="24560.17"/>
    <n v="0"/>
    <n v="30"/>
    <n v="8140.86"/>
    <n v="31072.86"/>
    <n v="1628.1699999999983"/>
    <n v="0"/>
    <x v="0"/>
    <s v="LOW"/>
    <n v="13568.1"/>
    <n v="7.0999912785626992E-2"/>
    <s v="HIGH RISK"/>
  </r>
  <r>
    <s v="L0866"/>
    <x v="53"/>
    <s v="B0866"/>
    <x v="0"/>
    <n v="35594"/>
    <n v="15"/>
    <n v="60"/>
    <x v="0"/>
    <x v="4"/>
    <x v="1"/>
    <n v="97766"/>
    <s v="RENT"/>
    <n v="0.31"/>
    <n v="0.76"/>
    <n v="40933.1"/>
    <n v="0"/>
    <n v="55"/>
    <n v="26695.5"/>
    <n v="62289.5"/>
    <n v="5339.0999999999985"/>
    <n v="0"/>
    <x v="0"/>
    <s v="LOW"/>
    <n v="44492.5"/>
    <n v="0.14999999999999997"/>
    <s v="NORMAL"/>
  </r>
  <r>
    <s v="L0867"/>
    <x v="607"/>
    <s v="B0867"/>
    <x v="5"/>
    <n v="12421"/>
    <n v="12.7"/>
    <n v="60"/>
    <x v="0"/>
    <x v="5"/>
    <x v="3"/>
    <n v="36511"/>
    <s v="RENT"/>
    <n v="0.17"/>
    <n v="0.66"/>
    <n v="13998.47"/>
    <n v="0"/>
    <n v="52"/>
    <n v="7887.3349999999991"/>
    <n v="20308.334999999999"/>
    <n v="1577.4699999999993"/>
    <n v="0"/>
    <x v="0"/>
    <s v="MEDIUM"/>
    <n v="13145.558300000001"/>
    <n v="0.12700024152644709"/>
    <s v="NORMAL"/>
  </r>
  <r>
    <s v="L0868"/>
    <x v="277"/>
    <s v="B0868"/>
    <x v="7"/>
    <n v="8629"/>
    <n v="22.3"/>
    <n v="36"/>
    <x v="1"/>
    <x v="0"/>
    <x v="1"/>
    <n v="144816"/>
    <s v="OWN"/>
    <n v="0.17"/>
    <n v="0.87"/>
    <n v="510.03"/>
    <n v="0"/>
    <n v="58"/>
    <n v="5772.8010000000004"/>
    <n v="14401.800999999999"/>
    <n v="-8118.97"/>
    <n v="0"/>
    <x v="1"/>
    <s v="LOW"/>
    <n v="16035.558300000001"/>
    <n v="-0.94089349866728478"/>
    <s v="HIGH RISK"/>
  </r>
  <r>
    <s v="L0869"/>
    <x v="608"/>
    <s v="B0869"/>
    <x v="9"/>
    <n v="9325"/>
    <n v="14.5"/>
    <n v="60"/>
    <x v="0"/>
    <x v="4"/>
    <x v="2"/>
    <n v="137765"/>
    <s v="OWN"/>
    <n v="0.28999999999999998"/>
    <n v="0.72"/>
    <n v="10677.12"/>
    <n v="0"/>
    <n v="31"/>
    <n v="6760.625"/>
    <n v="16085.625"/>
    <n v="1352.1200000000008"/>
    <n v="0"/>
    <x v="0"/>
    <s v="LOW"/>
    <n v="11267.7083"/>
    <n v="0.1449994638069706"/>
    <s v="NORMAL"/>
  </r>
  <r>
    <s v="L0870"/>
    <x v="250"/>
    <s v="B0870"/>
    <x v="0"/>
    <n v="29495"/>
    <n v="7.2"/>
    <n v="36"/>
    <x v="1"/>
    <x v="4"/>
    <x v="2"/>
    <n v="148360"/>
    <s v="RENT"/>
    <n v="0.11"/>
    <n v="0.91"/>
    <n v="8429.58"/>
    <n v="0"/>
    <n v="43"/>
    <n v="6370.9199999999992"/>
    <n v="35865.919999999998"/>
    <n v="-21065.42"/>
    <n v="0"/>
    <x v="1"/>
    <s v="LOW"/>
    <n v="17697.000800000002"/>
    <n v="-0.71420308526868959"/>
    <s v="HIGH RISK"/>
  </r>
  <r>
    <s v="L0871"/>
    <x v="609"/>
    <s v="B0871"/>
    <x v="9"/>
    <n v="32750"/>
    <n v="17.7"/>
    <n v="36"/>
    <x v="0"/>
    <x v="0"/>
    <x v="4"/>
    <n v="56177"/>
    <s v="RENT"/>
    <n v="0.15"/>
    <n v="0.92"/>
    <n v="38546.75"/>
    <n v="0"/>
    <n v="54"/>
    <n v="17390.25"/>
    <n v="50140.25"/>
    <n v="5796.75"/>
    <n v="0"/>
    <x v="0"/>
    <s v="LOW"/>
    <n v="48306.25"/>
    <n v="0.17699999999999999"/>
    <s v="HIGH RISK"/>
  </r>
  <r>
    <s v="L0872"/>
    <x v="513"/>
    <s v="B0872"/>
    <x v="0"/>
    <n v="30619"/>
    <n v="20.399999999999999"/>
    <n v="36"/>
    <x v="3"/>
    <x v="0"/>
    <x v="2"/>
    <n v="34765"/>
    <s v="RENT"/>
    <n v="0.27"/>
    <n v="0.56999999999999995"/>
    <n v="7701.21"/>
    <n v="8440.1"/>
    <n v="44"/>
    <n v="18738.827999999998"/>
    <n v="49357.827999999994"/>
    <n v="-14477.689999999999"/>
    <n v="1"/>
    <x v="2"/>
    <s v="LOW"/>
    <n v="52052.3"/>
    <n v="-0.47283353473333545"/>
    <s v="NORMAL"/>
  </r>
  <r>
    <s v="L0873"/>
    <x v="451"/>
    <s v="B0873"/>
    <x v="4"/>
    <n v="9264"/>
    <n v="5.0999999999999996"/>
    <n v="36"/>
    <x v="1"/>
    <x v="1"/>
    <x v="1"/>
    <n v="50354"/>
    <s v="RENT"/>
    <n v="0.13"/>
    <n v="0.5"/>
    <n v="2652.86"/>
    <n v="0"/>
    <n v="60"/>
    <n v="1417.3919999999998"/>
    <n v="10681.392"/>
    <n v="-6611.1399999999994"/>
    <n v="0"/>
    <x v="1"/>
    <s v="HIGH"/>
    <n v="3937.2114000000001"/>
    <n v="-0.71363773747841097"/>
    <s v="NORMAL"/>
  </r>
  <r>
    <s v="L0874"/>
    <x v="11"/>
    <s v="B0874"/>
    <x v="9"/>
    <n v="13686"/>
    <n v="22.2"/>
    <n v="60"/>
    <x v="2"/>
    <x v="0"/>
    <x v="4"/>
    <n v="53929"/>
    <s v="MORTGAGE"/>
    <n v="0.26"/>
    <n v="0.94"/>
    <n v="0"/>
    <n v="0"/>
    <n v="49"/>
    <n v="15191.46"/>
    <n v="28877.46"/>
    <n v="-13686"/>
    <n v="0"/>
    <x v="2"/>
    <s v="LOW"/>
    <n v="25319.1"/>
    <n v="-1"/>
    <s v="HIGH RISK"/>
  </r>
  <r>
    <s v="L0875"/>
    <x v="19"/>
    <s v="B0875"/>
    <x v="0"/>
    <n v="25226"/>
    <n v="8.6999999999999993"/>
    <n v="36"/>
    <x v="3"/>
    <x v="2"/>
    <x v="2"/>
    <n v="58820"/>
    <s v="MORTGAGE"/>
    <n v="0.28999999999999998"/>
    <n v="0.91"/>
    <n v="9893.8700000000008"/>
    <n v="7297.15"/>
    <n v="46"/>
    <n v="6583.9859999999999"/>
    <n v="31809.986000000001"/>
    <n v="-8034.98"/>
    <n v="1"/>
    <x v="2"/>
    <s v="VERY HIGH"/>
    <n v="18288.8501"/>
    <n v="-0.3185197811781495"/>
    <s v="HIGH RISK"/>
  </r>
  <r>
    <s v="L0876"/>
    <x v="325"/>
    <s v="B0876"/>
    <x v="8"/>
    <n v="7721"/>
    <n v="16"/>
    <n v="60"/>
    <x v="3"/>
    <x v="0"/>
    <x v="2"/>
    <n v="141576"/>
    <s v="MORTGAGE"/>
    <n v="0.28000000000000003"/>
    <n v="0.52"/>
    <n v="2883.3"/>
    <n v="822.57"/>
    <n v="48"/>
    <n v="6176.7999999999993"/>
    <n v="13897.8"/>
    <n v="-4015.1299999999997"/>
    <n v="1"/>
    <x v="2"/>
    <s v="LOW"/>
    <n v="10294.6667"/>
    <n v="-0.52002719854941071"/>
    <s v="NORMAL"/>
  </r>
  <r>
    <s v="L0877"/>
    <x v="610"/>
    <s v="B0877"/>
    <x v="9"/>
    <n v="21609"/>
    <n v="13.3"/>
    <n v="36"/>
    <x v="3"/>
    <x v="6"/>
    <x v="3"/>
    <n v="59523"/>
    <s v="RENT"/>
    <n v="0.45"/>
    <n v="0.87"/>
    <n v="3209.24"/>
    <n v="5044.0600000000004"/>
    <n v="51"/>
    <n v="8621.991"/>
    <n v="30230.991000000002"/>
    <n v="-13355.7"/>
    <n v="1"/>
    <x v="2"/>
    <s v="VERY HIGH"/>
    <n v="23949.974999999999"/>
    <n v="-0.61806191864500903"/>
    <s v="HIGH RISK"/>
  </r>
  <r>
    <s v="L0878"/>
    <x v="190"/>
    <s v="B0878"/>
    <x v="0"/>
    <n v="8373"/>
    <n v="19.399999999999999"/>
    <n v="60"/>
    <x v="1"/>
    <x v="2"/>
    <x v="4"/>
    <n v="101088"/>
    <s v="MORTGAGE"/>
    <n v="0.31"/>
    <n v="0.71"/>
    <n v="1808.54"/>
    <n v="0"/>
    <n v="41"/>
    <n v="8121.8099999999986"/>
    <n v="16494.809999999998"/>
    <n v="-6564.46"/>
    <n v="0"/>
    <x v="1"/>
    <s v="VERY HIGH"/>
    <n v="13536.35"/>
    <n v="-0.78400334408216887"/>
    <s v="NORMAL"/>
  </r>
  <r>
    <s v="L0879"/>
    <x v="611"/>
    <s v="B0879"/>
    <x v="6"/>
    <n v="39675"/>
    <n v="12.4"/>
    <n v="60"/>
    <x v="0"/>
    <x v="2"/>
    <x v="3"/>
    <n v="96163"/>
    <s v="MORTGAGE"/>
    <n v="0.28999999999999998"/>
    <n v="0.62"/>
    <n v="44594.7"/>
    <n v="0"/>
    <n v="31"/>
    <n v="24598.5"/>
    <n v="64273.5"/>
    <n v="4919.6999999999971"/>
    <n v="0"/>
    <x v="0"/>
    <s v="VERY HIGH"/>
    <n v="40997.5"/>
    <n v="0.12399999999999993"/>
    <s v="NORMAL"/>
  </r>
  <r>
    <s v="L0880"/>
    <x v="157"/>
    <s v="B0880"/>
    <x v="7"/>
    <n v="29937"/>
    <n v="22.4"/>
    <n v="60"/>
    <x v="0"/>
    <x v="6"/>
    <x v="3"/>
    <n v="107525"/>
    <s v="OWN"/>
    <n v="0.26"/>
    <n v="0.9"/>
    <n v="36642.89"/>
    <n v="0"/>
    <n v="31"/>
    <n v="33529.439999999995"/>
    <n v="63466.439999999995"/>
    <n v="6705.8899999999994"/>
    <n v="0"/>
    <x v="0"/>
    <s v="VERY HIGH"/>
    <n v="55882.400000000001"/>
    <n v="0.22400006680696127"/>
    <s v="HIGH RISK"/>
  </r>
  <r>
    <s v="L0881"/>
    <x v="377"/>
    <s v="B0881"/>
    <x v="6"/>
    <n v="6656"/>
    <n v="19.600000000000001"/>
    <n v="60"/>
    <x v="0"/>
    <x v="4"/>
    <x v="3"/>
    <n v="43780"/>
    <s v="OWN"/>
    <n v="0.43"/>
    <n v="0.59"/>
    <n v="7960.58"/>
    <n v="0"/>
    <n v="33"/>
    <n v="6522.88"/>
    <n v="13178.880000000001"/>
    <n v="1304.58"/>
    <n v="0"/>
    <x v="0"/>
    <s v="LOW"/>
    <n v="10871.466700000001"/>
    <n v="0.19600060096153846"/>
    <s v="HIGH RISK"/>
  </r>
  <r>
    <s v="L0882"/>
    <x v="449"/>
    <s v="B0882"/>
    <x v="2"/>
    <n v="9984"/>
    <n v="18"/>
    <n v="60"/>
    <x v="1"/>
    <x v="4"/>
    <x v="0"/>
    <n v="36589"/>
    <s v="MORTGAGE"/>
    <n v="0.46"/>
    <n v="0.93"/>
    <n v="2403.9499999999998"/>
    <n v="0"/>
    <n v="37"/>
    <n v="8985.6"/>
    <n v="18969.599999999999"/>
    <n v="-7580.05"/>
    <n v="0"/>
    <x v="1"/>
    <s v="LOW"/>
    <n v="14976"/>
    <n v="-0.75921975160256416"/>
    <s v="HIGH RISK"/>
  </r>
  <r>
    <s v="L0883"/>
    <x v="131"/>
    <s v="B0883"/>
    <x v="0"/>
    <n v="30984"/>
    <n v="20.9"/>
    <n v="60"/>
    <x v="0"/>
    <x v="4"/>
    <x v="3"/>
    <n v="64812"/>
    <s v="MORTGAGE"/>
    <n v="0.44"/>
    <n v="0.59"/>
    <n v="37459.660000000003"/>
    <n v="0"/>
    <n v="40"/>
    <n v="32378.28"/>
    <n v="63362.28"/>
    <n v="6475.6600000000035"/>
    <n v="0"/>
    <x v="0"/>
    <s v="LOW"/>
    <n v="53963.8"/>
    <n v="0.20900012909888988"/>
    <s v="HIGH RISK"/>
  </r>
  <r>
    <s v="L0884"/>
    <x v="515"/>
    <s v="B0884"/>
    <x v="1"/>
    <n v="9286"/>
    <n v="20.100000000000001"/>
    <n v="36"/>
    <x v="3"/>
    <x v="0"/>
    <x v="1"/>
    <n v="123664"/>
    <s v="MORTGAGE"/>
    <n v="0.37"/>
    <n v="0.78"/>
    <n v="1932.97"/>
    <n v="2167.4899999999998"/>
    <n v="61"/>
    <n v="5599.4579999999996"/>
    <n v="14885.457999999999"/>
    <n v="-5185.54"/>
    <n v="1"/>
    <x v="2"/>
    <s v="LOW"/>
    <n v="15554.05"/>
    <n v="-0.55842558690501831"/>
    <s v="NORMAL"/>
  </r>
  <r>
    <s v="L0885"/>
    <x v="128"/>
    <s v="B0885"/>
    <x v="5"/>
    <n v="6901"/>
    <n v="5.7"/>
    <n v="60"/>
    <x v="2"/>
    <x v="0"/>
    <x v="2"/>
    <n v="75939"/>
    <s v="RENT"/>
    <n v="0.15"/>
    <n v="0.6"/>
    <n v="0"/>
    <n v="0"/>
    <n v="39"/>
    <n v="1966.7850000000001"/>
    <n v="8867.7849999999999"/>
    <n v="-6901"/>
    <n v="0"/>
    <x v="2"/>
    <s v="LOW"/>
    <n v="3277.9749999999999"/>
    <n v="-1"/>
    <s v="NORMAL"/>
  </r>
  <r>
    <s v="L0886"/>
    <x v="345"/>
    <s v="B0886"/>
    <x v="6"/>
    <n v="32552"/>
    <n v="12.9"/>
    <n v="36"/>
    <x v="0"/>
    <x v="6"/>
    <x v="0"/>
    <n v="81493"/>
    <s v="OWN"/>
    <n v="0.21"/>
    <n v="0.75"/>
    <n v="36751.21"/>
    <n v="0"/>
    <n v="56"/>
    <n v="12597.623999999998"/>
    <n v="45149.623999999996"/>
    <n v="4199.2099999999991"/>
    <n v="0"/>
    <x v="0"/>
    <s v="VERY HIGH"/>
    <n v="34993.4"/>
    <n v="0.12900006144015727"/>
    <s v="NORMAL"/>
  </r>
  <r>
    <s v="L0887"/>
    <x v="316"/>
    <s v="B0887"/>
    <x v="9"/>
    <n v="26709"/>
    <n v="23.6"/>
    <n v="60"/>
    <x v="0"/>
    <x v="5"/>
    <x v="3"/>
    <n v="134188"/>
    <s v="OWN"/>
    <n v="0.12"/>
    <n v="0.81"/>
    <n v="33012.32"/>
    <n v="0"/>
    <n v="53"/>
    <n v="31516.620000000006"/>
    <n v="58225.62000000001"/>
    <n v="6303.32"/>
    <n v="0"/>
    <x v="0"/>
    <s v="MEDIUM"/>
    <n v="52527.7"/>
    <n v="0.23599985023774755"/>
    <s v="HIGH RISK"/>
  </r>
  <r>
    <s v="L0888"/>
    <x v="428"/>
    <s v="B0888"/>
    <x v="4"/>
    <n v="32055"/>
    <n v="7.5"/>
    <n v="36"/>
    <x v="2"/>
    <x v="5"/>
    <x v="2"/>
    <n v="123326"/>
    <s v="OWN"/>
    <n v="0.47"/>
    <n v="0.59"/>
    <n v="0"/>
    <n v="0"/>
    <n v="60"/>
    <n v="7212.375"/>
    <n v="39267.375"/>
    <n v="-32055"/>
    <n v="0"/>
    <x v="2"/>
    <s v="MEDIUM"/>
    <n v="20034.375499999998"/>
    <n v="-1"/>
    <s v="HIGH RISK"/>
  </r>
  <r>
    <s v="L0889"/>
    <x v="256"/>
    <s v="B0889"/>
    <x v="5"/>
    <n v="38685"/>
    <n v="19.7"/>
    <n v="60"/>
    <x v="0"/>
    <x v="2"/>
    <x v="4"/>
    <n v="70953"/>
    <s v="MORTGAGE"/>
    <n v="0.36"/>
    <n v="0.73"/>
    <n v="46305.94"/>
    <n v="0"/>
    <n v="29"/>
    <n v="38104.724999999999"/>
    <n v="76789.725000000006"/>
    <n v="7620.9400000000023"/>
    <n v="0"/>
    <x v="0"/>
    <s v="VERY HIGH"/>
    <n v="63507.875"/>
    <n v="0.19699987075093711"/>
    <s v="NORMAL"/>
  </r>
  <r>
    <s v="L0890"/>
    <x v="523"/>
    <s v="B0890"/>
    <x v="1"/>
    <n v="9429"/>
    <n v="24.5"/>
    <n v="60"/>
    <x v="1"/>
    <x v="1"/>
    <x v="4"/>
    <n v="95785"/>
    <s v="RENT"/>
    <n v="0.4"/>
    <n v="0.71"/>
    <n v="3859.51"/>
    <n v="0"/>
    <n v="40"/>
    <n v="11550.525"/>
    <n v="20979.525000000001"/>
    <n v="-5569.49"/>
    <n v="0"/>
    <x v="1"/>
    <s v="HIGH"/>
    <n v="19250.875"/>
    <n v="-0.59067663591048891"/>
    <s v="NORMAL"/>
  </r>
  <r>
    <s v="L0891"/>
    <x v="507"/>
    <s v="B0891"/>
    <x v="3"/>
    <n v="15716"/>
    <n v="6"/>
    <n v="36"/>
    <x v="0"/>
    <x v="1"/>
    <x v="2"/>
    <n v="49309"/>
    <s v="OWN"/>
    <n v="0.22"/>
    <n v="0.53"/>
    <n v="16658.96"/>
    <n v="0"/>
    <n v="40"/>
    <n v="2828.8799999999997"/>
    <n v="18544.88"/>
    <n v="942.95999999999913"/>
    <n v="0"/>
    <x v="0"/>
    <s v="HIGH"/>
    <n v="7858.0036"/>
    <n v="5.9999999999999942E-2"/>
    <s v="NORMAL"/>
  </r>
  <r>
    <s v="L0892"/>
    <x v="612"/>
    <s v="B0892"/>
    <x v="0"/>
    <n v="12138"/>
    <n v="18.600000000000001"/>
    <n v="60"/>
    <x v="1"/>
    <x v="6"/>
    <x v="1"/>
    <n v="84195"/>
    <s v="OWN"/>
    <n v="0.44"/>
    <n v="0.87"/>
    <n v="3469.25"/>
    <n v="0"/>
    <n v="57"/>
    <n v="11288.340000000002"/>
    <n v="23426.340000000004"/>
    <n v="-8668.75"/>
    <n v="0"/>
    <x v="1"/>
    <s v="VERY HIGH"/>
    <n v="18813.900000000001"/>
    <n v="-0.71418273191629589"/>
    <s v="HIGH RISK"/>
  </r>
  <r>
    <s v="L0893"/>
    <x v="206"/>
    <s v="B0893"/>
    <x v="4"/>
    <n v="36298"/>
    <n v="14.4"/>
    <n v="60"/>
    <x v="0"/>
    <x v="0"/>
    <x v="2"/>
    <n v="145662"/>
    <s v="RENT"/>
    <n v="0.2"/>
    <n v="0.65"/>
    <n v="41524.910000000003"/>
    <n v="0"/>
    <n v="27"/>
    <n v="26134.560000000001"/>
    <n v="62432.56"/>
    <n v="5226.9100000000035"/>
    <n v="0"/>
    <x v="0"/>
    <s v="LOW"/>
    <n v="43557.599999999999"/>
    <n v="0.14399994490054557"/>
    <s v="NORMAL"/>
  </r>
  <r>
    <s v="L0894"/>
    <x v="613"/>
    <s v="B0894"/>
    <x v="0"/>
    <n v="24429"/>
    <n v="16.600000000000001"/>
    <n v="60"/>
    <x v="3"/>
    <x v="4"/>
    <x v="2"/>
    <n v="55901"/>
    <s v="MORTGAGE"/>
    <n v="0.1"/>
    <n v="0.76"/>
    <n v="6635.65"/>
    <n v="6328.17"/>
    <n v="30"/>
    <n v="20276.070000000003"/>
    <n v="44705.070000000007"/>
    <n v="-11465.18"/>
    <n v="1"/>
    <x v="2"/>
    <s v="LOW"/>
    <n v="33793.449999999997"/>
    <n v="-0.46932662000081871"/>
    <s v="NORMAL"/>
  </r>
  <r>
    <s v="L0895"/>
    <x v="321"/>
    <s v="B0895"/>
    <x v="2"/>
    <n v="6772"/>
    <n v="6.7"/>
    <n v="36"/>
    <x v="1"/>
    <x v="3"/>
    <x v="0"/>
    <n v="53576"/>
    <s v="MORTGAGE"/>
    <n v="0.25"/>
    <n v="0.73"/>
    <n v="2938.07"/>
    <n v="0"/>
    <n v="34"/>
    <n v="1361.172"/>
    <n v="8133.1720000000005"/>
    <n v="-3833.93"/>
    <n v="0"/>
    <x v="1"/>
    <s v="VERY HIGH"/>
    <n v="3781.0338000000002"/>
    <n v="-0.56614441819255756"/>
    <s v="NORMAL"/>
  </r>
  <r>
    <s v="L0896"/>
    <x v="430"/>
    <s v="B0896"/>
    <x v="1"/>
    <n v="36732"/>
    <n v="5.9"/>
    <n v="60"/>
    <x v="0"/>
    <x v="2"/>
    <x v="4"/>
    <n v="61508"/>
    <s v="OWN"/>
    <n v="0.33"/>
    <n v="0.73"/>
    <n v="38899.19"/>
    <n v="0"/>
    <n v="39"/>
    <n v="10835.94"/>
    <n v="47567.94"/>
    <n v="2167.1900000000023"/>
    <n v="0"/>
    <x v="0"/>
    <s v="VERY HIGH"/>
    <n v="18059.900000000001"/>
    <n v="5.9000054448437395E-2"/>
    <s v="NORMAL"/>
  </r>
  <r>
    <s v="L0897"/>
    <x v="614"/>
    <s v="B0897"/>
    <x v="0"/>
    <n v="18347"/>
    <n v="18.3"/>
    <n v="36"/>
    <x v="0"/>
    <x v="2"/>
    <x v="4"/>
    <n v="104711"/>
    <s v="OWN"/>
    <n v="0.28999999999999998"/>
    <n v="0.55000000000000004"/>
    <n v="21704.5"/>
    <n v="0"/>
    <n v="57"/>
    <n v="10072.503000000001"/>
    <n v="28419.503000000001"/>
    <n v="3357.5"/>
    <n v="0"/>
    <x v="0"/>
    <s v="VERY HIGH"/>
    <n v="27979.174999999999"/>
    <n v="0.18299994549517631"/>
    <s v="NORMAL"/>
  </r>
  <r>
    <s v="L0898"/>
    <x v="615"/>
    <s v="B0898"/>
    <x v="9"/>
    <n v="17920"/>
    <n v="21.5"/>
    <n v="60"/>
    <x v="0"/>
    <x v="5"/>
    <x v="3"/>
    <n v="55464"/>
    <s v="RENT"/>
    <n v="0.44"/>
    <n v="0.69"/>
    <n v="21772.799999999999"/>
    <n v="0"/>
    <n v="51"/>
    <n v="19264"/>
    <n v="37184"/>
    <n v="3852.7999999999993"/>
    <n v="0"/>
    <x v="0"/>
    <s v="MEDIUM"/>
    <n v="32106.666700000002"/>
    <n v="0.21499999999999997"/>
    <s v="HIGH RISK"/>
  </r>
  <r>
    <s v="L0899"/>
    <x v="383"/>
    <s v="B0899"/>
    <x v="2"/>
    <n v="32822"/>
    <n v="20.6"/>
    <n v="60"/>
    <x v="2"/>
    <x v="6"/>
    <x v="2"/>
    <n v="90281"/>
    <s v="OWN"/>
    <n v="0.14000000000000001"/>
    <n v="0.7"/>
    <n v="0"/>
    <n v="0"/>
    <n v="46"/>
    <n v="33806.660000000003"/>
    <n v="66628.66"/>
    <n v="-32822"/>
    <n v="0"/>
    <x v="2"/>
    <s v="VERY HIGH"/>
    <n v="56344.433299999997"/>
    <n v="-1"/>
    <s v="NORMAL"/>
  </r>
  <r>
    <s v="L0900"/>
    <x v="75"/>
    <s v="B0900"/>
    <x v="8"/>
    <n v="24563"/>
    <n v="15.9"/>
    <n v="36"/>
    <x v="1"/>
    <x v="0"/>
    <x v="2"/>
    <n v="46260"/>
    <s v="RENT"/>
    <n v="0.32"/>
    <n v="0.83"/>
    <n v="10136.36"/>
    <n v="0"/>
    <n v="26"/>
    <n v="11716.551000000001"/>
    <n v="36279.550999999999"/>
    <n v="-14426.64"/>
    <n v="0"/>
    <x v="1"/>
    <s v="LOW"/>
    <n v="32545.974999999999"/>
    <n v="-0.58733216626633555"/>
    <s v="HIGH RISK"/>
  </r>
  <r>
    <s v="L0901"/>
    <x v="616"/>
    <s v="B0901"/>
    <x v="3"/>
    <n v="8967"/>
    <n v="7"/>
    <n v="60"/>
    <x v="0"/>
    <x v="0"/>
    <x v="1"/>
    <n v="65440"/>
    <s v="OWN"/>
    <n v="0.31"/>
    <n v="0.88"/>
    <n v="9594.69"/>
    <n v="0"/>
    <n v="44"/>
    <n v="3138.4500000000003"/>
    <n v="12105.45"/>
    <n v="627.69000000000051"/>
    <n v="0"/>
    <x v="0"/>
    <s v="LOW"/>
    <n v="5230.75"/>
    <n v="7.0000000000000062E-2"/>
    <s v="HIGH RISK"/>
  </r>
  <r>
    <s v="L0902"/>
    <x v="617"/>
    <s v="B0902"/>
    <x v="1"/>
    <n v="12871"/>
    <n v="18.8"/>
    <n v="60"/>
    <x v="0"/>
    <x v="4"/>
    <x v="4"/>
    <n v="125082"/>
    <s v="OWN"/>
    <n v="0.21"/>
    <n v="0.75"/>
    <n v="15290.75"/>
    <n v="0"/>
    <n v="51"/>
    <n v="12098.74"/>
    <n v="24969.739999999998"/>
    <n v="2419.75"/>
    <n v="0"/>
    <x v="0"/>
    <s v="LOW"/>
    <n v="20164.566699999999"/>
    <n v="0.18800015538808174"/>
    <s v="NORMAL"/>
  </r>
  <r>
    <s v="L0903"/>
    <x v="448"/>
    <s v="B0903"/>
    <x v="7"/>
    <n v="29763"/>
    <n v="9.8000000000000007"/>
    <n v="36"/>
    <x v="0"/>
    <x v="5"/>
    <x v="1"/>
    <n v="135583"/>
    <s v="OWN"/>
    <n v="0.43"/>
    <n v="0.54"/>
    <n v="32679.77"/>
    <n v="0"/>
    <n v="30"/>
    <n v="8750.3220000000019"/>
    <n v="38513.322"/>
    <n v="2916.7700000000004"/>
    <n v="0"/>
    <x v="0"/>
    <s v="MEDIUM"/>
    <n v="24306.45"/>
    <n v="9.7999865604945752E-2"/>
    <s v="HIGH RISK"/>
  </r>
  <r>
    <s v="L0904"/>
    <x v="618"/>
    <s v="B0904"/>
    <x v="4"/>
    <n v="12916"/>
    <n v="23.2"/>
    <n v="60"/>
    <x v="1"/>
    <x v="4"/>
    <x v="0"/>
    <n v="86683"/>
    <s v="MORTGAGE"/>
    <n v="0.4"/>
    <n v="0.61"/>
    <n v="1414.24"/>
    <n v="0"/>
    <n v="55"/>
    <n v="14982.56"/>
    <n v="27898.559999999998"/>
    <n v="-11501.76"/>
    <n v="0"/>
    <x v="1"/>
    <s v="LOW"/>
    <n v="24970.933300000001"/>
    <n v="-0.89050480024775469"/>
    <s v="NORMAL"/>
  </r>
  <r>
    <s v="L0905"/>
    <x v="452"/>
    <s v="B0905"/>
    <x v="6"/>
    <n v="9734"/>
    <n v="21.8"/>
    <n v="36"/>
    <x v="1"/>
    <x v="4"/>
    <x v="3"/>
    <n v="71430"/>
    <s v="RENT"/>
    <n v="0.39"/>
    <n v="0.56999999999999995"/>
    <n v="3613.86"/>
    <n v="0"/>
    <n v="48"/>
    <n v="6366.0360000000001"/>
    <n v="16100.036"/>
    <n v="-6120.1399999999994"/>
    <n v="0"/>
    <x v="1"/>
    <s v="LOW"/>
    <n v="17683.433300000001"/>
    <n v="-0.6287384425724265"/>
    <s v="NORMAL"/>
  </r>
  <r>
    <s v="L0906"/>
    <x v="133"/>
    <s v="B0906"/>
    <x v="0"/>
    <n v="34613"/>
    <n v="19.2"/>
    <n v="36"/>
    <x v="0"/>
    <x v="0"/>
    <x v="1"/>
    <n v="31987"/>
    <s v="RENT"/>
    <n v="0.45"/>
    <n v="0.56000000000000005"/>
    <n v="41258.699999999997"/>
    <n v="0"/>
    <n v="31"/>
    <n v="19937.088"/>
    <n v="54550.088000000003"/>
    <n v="6645.6999999999971"/>
    <n v="0"/>
    <x v="0"/>
    <s v="LOW"/>
    <n v="55380.800000000003"/>
    <n v="0.19200011556351651"/>
    <s v="HIGH RISK"/>
  </r>
  <r>
    <s v="L0907"/>
    <x v="619"/>
    <s v="B0907"/>
    <x v="4"/>
    <n v="29179"/>
    <n v="24"/>
    <n v="36"/>
    <x v="1"/>
    <x v="5"/>
    <x v="4"/>
    <n v="144778"/>
    <s v="MORTGAGE"/>
    <n v="0.39"/>
    <n v="0.66"/>
    <n v="7176.47"/>
    <n v="0"/>
    <n v="38"/>
    <n v="21008.880000000001"/>
    <n v="50187.880000000005"/>
    <n v="-22002.53"/>
    <n v="0"/>
    <x v="1"/>
    <s v="MEDIUM"/>
    <n v="58358"/>
    <n v="-0.7540536001919188"/>
    <s v="NORMAL"/>
  </r>
  <r>
    <s v="L0908"/>
    <x v="620"/>
    <s v="B0908"/>
    <x v="4"/>
    <n v="36262"/>
    <n v="5.6"/>
    <n v="60"/>
    <x v="1"/>
    <x v="6"/>
    <x v="0"/>
    <n v="55105"/>
    <s v="MORTGAGE"/>
    <n v="0.19"/>
    <n v="0.6"/>
    <n v="6621.15"/>
    <n v="0"/>
    <n v="61"/>
    <n v="10153.359999999999"/>
    <n v="46415.360000000001"/>
    <n v="-29640.85"/>
    <n v="0"/>
    <x v="1"/>
    <s v="VERY HIGH"/>
    <n v="16922.2667"/>
    <n v="-0.81740803044509402"/>
    <s v="NORMAL"/>
  </r>
  <r>
    <s v="L0909"/>
    <x v="621"/>
    <s v="B0909"/>
    <x v="7"/>
    <n v="13677"/>
    <n v="19.7"/>
    <n v="36"/>
    <x v="2"/>
    <x v="1"/>
    <x v="2"/>
    <n v="108484"/>
    <s v="MORTGAGE"/>
    <n v="0.38"/>
    <n v="0.6"/>
    <n v="0"/>
    <n v="0"/>
    <n v="40"/>
    <n v="8083.1069999999991"/>
    <n v="21760.107"/>
    <n v="-13677"/>
    <n v="0"/>
    <x v="2"/>
    <s v="HIGH"/>
    <n v="22453.075000000001"/>
    <n v="-1"/>
    <s v="NORMAL"/>
  </r>
  <r>
    <s v="L0910"/>
    <x v="316"/>
    <s v="B0910"/>
    <x v="7"/>
    <n v="19268"/>
    <n v="11.6"/>
    <n v="36"/>
    <x v="3"/>
    <x v="0"/>
    <x v="0"/>
    <n v="148747"/>
    <s v="RENT"/>
    <n v="0.22"/>
    <n v="0.52"/>
    <n v="2215.9299999999998"/>
    <n v="9626.5400000000009"/>
    <n v="53"/>
    <n v="6705.2639999999992"/>
    <n v="25973.263999999999"/>
    <n v="-7425.5299999999988"/>
    <n v="1"/>
    <x v="2"/>
    <s v="LOW"/>
    <n v="18625.7333"/>
    <n v="-0.38538146149055424"/>
    <s v="NORMAL"/>
  </r>
  <r>
    <s v="L0911"/>
    <x v="622"/>
    <s v="B0911"/>
    <x v="2"/>
    <n v="13330"/>
    <n v="23.1"/>
    <n v="60"/>
    <x v="1"/>
    <x v="5"/>
    <x v="1"/>
    <n v="43026"/>
    <s v="OWN"/>
    <n v="0.2"/>
    <n v="0.51"/>
    <n v="3589.27"/>
    <n v="0"/>
    <n v="48"/>
    <n v="15396.15"/>
    <n v="28726.15"/>
    <n v="-9740.73"/>
    <n v="0"/>
    <x v="1"/>
    <s v="MEDIUM"/>
    <n v="25660.25"/>
    <n v="-0.73073743435858962"/>
    <s v="NORMAL"/>
  </r>
  <r>
    <s v="L0912"/>
    <x v="623"/>
    <s v="B0912"/>
    <x v="1"/>
    <n v="21733"/>
    <n v="10.3"/>
    <n v="36"/>
    <x v="1"/>
    <x v="1"/>
    <x v="4"/>
    <n v="98309"/>
    <s v="MORTGAGE"/>
    <n v="0.13"/>
    <n v="0.55000000000000004"/>
    <n v="4562.7700000000004"/>
    <n v="0"/>
    <n v="53"/>
    <n v="6715.4970000000003"/>
    <n v="28448.496999999999"/>
    <n v="-17170.23"/>
    <n v="0"/>
    <x v="1"/>
    <s v="HIGH"/>
    <n v="18654.158299999999"/>
    <n v="-0.79005337505176454"/>
    <s v="NORMAL"/>
  </r>
  <r>
    <s v="L0913"/>
    <x v="344"/>
    <s v="B0913"/>
    <x v="9"/>
    <n v="38947"/>
    <n v="19.5"/>
    <n v="60"/>
    <x v="0"/>
    <x v="5"/>
    <x v="1"/>
    <n v="75927"/>
    <s v="MORTGAGE"/>
    <n v="0.4"/>
    <n v="0.57999999999999996"/>
    <n v="46541.66"/>
    <n v="0"/>
    <n v="28"/>
    <n v="37973.325000000004"/>
    <n v="76920.325000000012"/>
    <n v="7594.6600000000035"/>
    <n v="0"/>
    <x v="0"/>
    <s v="MEDIUM"/>
    <n v="63288.875"/>
    <n v="0.1949998716204073"/>
    <s v="NORMAL"/>
  </r>
  <r>
    <s v="L0914"/>
    <x v="221"/>
    <s v="B0914"/>
    <x v="3"/>
    <n v="28286"/>
    <n v="22.6"/>
    <n v="60"/>
    <x v="1"/>
    <x v="4"/>
    <x v="2"/>
    <n v="105414"/>
    <s v="MORTGAGE"/>
    <n v="0.38"/>
    <n v="0.69"/>
    <n v="4615.7299999999996"/>
    <n v="0"/>
    <n v="62"/>
    <n v="31963.180000000008"/>
    <n v="60249.180000000008"/>
    <n v="-23670.27"/>
    <n v="0"/>
    <x v="1"/>
    <s v="LOW"/>
    <n v="53271.966699999997"/>
    <n v="-0.83681927455278227"/>
    <s v="NORMAL"/>
  </r>
  <r>
    <s v="L0915"/>
    <x v="304"/>
    <s v="B0915"/>
    <x v="7"/>
    <n v="7610"/>
    <n v="5.8"/>
    <n v="60"/>
    <x v="0"/>
    <x v="5"/>
    <x v="2"/>
    <n v="87535"/>
    <s v="OWN"/>
    <n v="0.19"/>
    <n v="0.73"/>
    <n v="8051.38"/>
    <n v="0"/>
    <n v="37"/>
    <n v="2206.9"/>
    <n v="9816.9"/>
    <n v="441.38000000000011"/>
    <n v="0"/>
    <x v="0"/>
    <s v="MEDIUM"/>
    <n v="3678.1667000000002"/>
    <n v="5.8000000000000017E-2"/>
    <s v="NORMAL"/>
  </r>
  <r>
    <s v="L0916"/>
    <x v="624"/>
    <s v="B0916"/>
    <x v="7"/>
    <n v="7430"/>
    <n v="13"/>
    <n v="60"/>
    <x v="0"/>
    <x v="3"/>
    <x v="4"/>
    <n v="72946"/>
    <s v="OWN"/>
    <n v="0.4"/>
    <n v="0.56000000000000005"/>
    <n v="8395.9"/>
    <n v="0"/>
    <n v="43"/>
    <n v="4829.5"/>
    <n v="12259.5"/>
    <n v="965.89999999999964"/>
    <n v="0"/>
    <x v="0"/>
    <s v="VERY HIGH"/>
    <n v="8049.1666999999998"/>
    <n v="0.12999999999999995"/>
    <s v="NORMAL"/>
  </r>
  <r>
    <s v="L0917"/>
    <x v="625"/>
    <s v="B0917"/>
    <x v="6"/>
    <n v="14828"/>
    <n v="20.2"/>
    <n v="36"/>
    <x v="0"/>
    <x v="0"/>
    <x v="3"/>
    <n v="86561"/>
    <s v="MORTGAGE"/>
    <n v="0.47"/>
    <n v="0.69"/>
    <n v="17823.259999999998"/>
    <n v="0"/>
    <n v="29"/>
    <n v="8985.768"/>
    <n v="23813.768"/>
    <n v="2995.2599999999984"/>
    <n v="0"/>
    <x v="0"/>
    <s v="LOW"/>
    <n v="24960.466700000001"/>
    <n v="0.20200026975991356"/>
    <s v="HIGH RISK"/>
  </r>
  <r>
    <s v="L0918"/>
    <x v="537"/>
    <s v="B0918"/>
    <x v="8"/>
    <n v="32497"/>
    <n v="14.1"/>
    <n v="36"/>
    <x v="1"/>
    <x v="4"/>
    <x v="0"/>
    <n v="40377"/>
    <s v="OWN"/>
    <n v="0.14000000000000001"/>
    <n v="0.65"/>
    <n v="11783.49"/>
    <n v="0"/>
    <n v="56"/>
    <n v="13746.231"/>
    <n v="46243.231"/>
    <n v="-20713.510000000002"/>
    <n v="0"/>
    <x v="1"/>
    <s v="LOW"/>
    <n v="38183.974999999999"/>
    <n v="-0.63739760593285544"/>
    <s v="NORMAL"/>
  </r>
  <r>
    <s v="L0919"/>
    <x v="412"/>
    <s v="B0919"/>
    <x v="7"/>
    <n v="37618"/>
    <n v="10.3"/>
    <n v="36"/>
    <x v="0"/>
    <x v="4"/>
    <x v="0"/>
    <n v="83592"/>
    <s v="MORTGAGE"/>
    <n v="0.19"/>
    <n v="0.57999999999999996"/>
    <n v="41492.65"/>
    <n v="0"/>
    <n v="46"/>
    <n v="11623.962000000001"/>
    <n v="49241.962"/>
    <n v="3874.6500000000015"/>
    <n v="0"/>
    <x v="0"/>
    <s v="LOW"/>
    <n v="32288.783299999999"/>
    <n v="0.10299989366792497"/>
    <s v="NORMAL"/>
  </r>
  <r>
    <s v="L0920"/>
    <x v="626"/>
    <s v="B0920"/>
    <x v="8"/>
    <n v="27526"/>
    <n v="9.4"/>
    <n v="36"/>
    <x v="0"/>
    <x v="5"/>
    <x v="2"/>
    <n v="37347"/>
    <s v="OWN"/>
    <n v="0.4"/>
    <n v="0.5"/>
    <n v="30113.439999999999"/>
    <n v="0"/>
    <n v="30"/>
    <n v="7762.3320000000012"/>
    <n v="35288.332000000002"/>
    <n v="2587.4399999999987"/>
    <n v="0"/>
    <x v="0"/>
    <s v="MEDIUM"/>
    <n v="21562.0334"/>
    <n v="9.399985468284526E-2"/>
    <s v="NORMAL"/>
  </r>
  <r>
    <s v="L0921"/>
    <x v="627"/>
    <s v="B0921"/>
    <x v="2"/>
    <n v="31158"/>
    <n v="7.6"/>
    <n v="36"/>
    <x v="0"/>
    <x v="0"/>
    <x v="1"/>
    <n v="63776"/>
    <s v="RENT"/>
    <n v="0.21"/>
    <n v="0.71"/>
    <n v="33526.01"/>
    <n v="0"/>
    <n v="58"/>
    <n v="7104.0240000000003"/>
    <n v="38262.023999999998"/>
    <n v="2368.010000000002"/>
    <n v="0"/>
    <x v="0"/>
    <s v="LOW"/>
    <n v="19733.400399999999"/>
    <n v="7.6000064188972399E-2"/>
    <s v="NORMAL"/>
  </r>
  <r>
    <s v="L0922"/>
    <x v="535"/>
    <s v="B0922"/>
    <x v="9"/>
    <n v="26032"/>
    <n v="22.1"/>
    <n v="60"/>
    <x v="0"/>
    <x v="0"/>
    <x v="1"/>
    <n v="33783"/>
    <s v="RENT"/>
    <n v="0.35"/>
    <n v="0.81"/>
    <n v="31785.07"/>
    <n v="0"/>
    <n v="31"/>
    <n v="28765.360000000004"/>
    <n v="54797.36"/>
    <n v="5753.07"/>
    <n v="0"/>
    <x v="0"/>
    <s v="LOW"/>
    <n v="47942.2667"/>
    <n v="0.22099992317148123"/>
    <s v="HIGH RISK"/>
  </r>
  <r>
    <s v="L0923"/>
    <x v="274"/>
    <s v="B0923"/>
    <x v="4"/>
    <n v="38846"/>
    <n v="16.5"/>
    <n v="36"/>
    <x v="0"/>
    <x v="4"/>
    <x v="3"/>
    <n v="85798"/>
    <s v="OWN"/>
    <n v="0.13"/>
    <n v="0.6"/>
    <n v="45255.59"/>
    <n v="0"/>
    <n v="35"/>
    <n v="19228.77"/>
    <n v="58074.770000000004"/>
    <n v="6409.5899999999965"/>
    <n v="0"/>
    <x v="0"/>
    <s v="LOW"/>
    <n v="53413.25"/>
    <n v="0.1649999999999999"/>
    <s v="NORMAL"/>
  </r>
  <r>
    <s v="L0924"/>
    <x v="415"/>
    <s v="B0924"/>
    <x v="7"/>
    <n v="30794"/>
    <n v="6.5"/>
    <n v="36"/>
    <x v="1"/>
    <x v="2"/>
    <x v="1"/>
    <n v="34298"/>
    <s v="RENT"/>
    <n v="0.28000000000000003"/>
    <n v="0.56000000000000005"/>
    <n v="12202.69"/>
    <n v="0"/>
    <n v="32"/>
    <n v="6004.829999999999"/>
    <n v="36798.83"/>
    <n v="-18591.309999999998"/>
    <n v="0"/>
    <x v="1"/>
    <s v="VERY HIGH"/>
    <n v="16680.086200000002"/>
    <n v="-0.60373157108527631"/>
    <s v="NORMAL"/>
  </r>
  <r>
    <s v="L0925"/>
    <x v="628"/>
    <s v="B0925"/>
    <x v="0"/>
    <n v="6448"/>
    <n v="12.7"/>
    <n v="36"/>
    <x v="1"/>
    <x v="1"/>
    <x v="0"/>
    <n v="100204"/>
    <s v="RENT"/>
    <n v="0.4"/>
    <n v="0.9"/>
    <n v="1032.68"/>
    <n v="0"/>
    <n v="60"/>
    <n v="2456.6879999999996"/>
    <n v="8904.6880000000001"/>
    <n v="-5415.32"/>
    <n v="0"/>
    <x v="1"/>
    <s v="HIGH"/>
    <n v="6824.1333000000004"/>
    <n v="-0.83984491315136467"/>
    <s v="HIGH RISK"/>
  </r>
  <r>
    <s v="L0926"/>
    <x v="563"/>
    <s v="B0926"/>
    <x v="8"/>
    <n v="29861"/>
    <n v="12.4"/>
    <n v="60"/>
    <x v="0"/>
    <x v="1"/>
    <x v="1"/>
    <n v="116207"/>
    <s v="RENT"/>
    <n v="0.37"/>
    <n v="0.62"/>
    <n v="33563.760000000002"/>
    <n v="0"/>
    <n v="36"/>
    <n v="18513.82"/>
    <n v="48374.82"/>
    <n v="3702.760000000002"/>
    <n v="0"/>
    <x v="0"/>
    <s v="HIGH"/>
    <n v="30856.366699999999"/>
    <n v="0.12399986604601326"/>
    <s v="NORMAL"/>
  </r>
  <r>
    <s v="L0927"/>
    <x v="629"/>
    <s v="B0927"/>
    <x v="6"/>
    <n v="29141"/>
    <n v="8.6"/>
    <n v="60"/>
    <x v="3"/>
    <x v="6"/>
    <x v="3"/>
    <n v="130356"/>
    <s v="MORTGAGE"/>
    <n v="0.43"/>
    <n v="0.6"/>
    <n v="3346.38"/>
    <n v="13855.54"/>
    <n v="37"/>
    <n v="12530.63"/>
    <n v="41671.629999999997"/>
    <n v="-11939.079999999998"/>
    <n v="1"/>
    <x v="2"/>
    <s v="VERY HIGH"/>
    <n v="20884.383300000001"/>
    <n v="-0.40970042208572111"/>
    <s v="HIGH RISK"/>
  </r>
  <r>
    <s v="L0928"/>
    <x v="52"/>
    <s v="B0928"/>
    <x v="3"/>
    <n v="10074"/>
    <n v="13.7"/>
    <n v="36"/>
    <x v="1"/>
    <x v="0"/>
    <x v="0"/>
    <n v="85161"/>
    <s v="OWN"/>
    <n v="0.45"/>
    <n v="0.89"/>
    <n v="4351.3500000000004"/>
    <n v="0"/>
    <n v="57"/>
    <n v="4140.4139999999998"/>
    <n v="14214.414000000001"/>
    <n v="-5722.65"/>
    <n v="0"/>
    <x v="1"/>
    <s v="LOW"/>
    <n v="11501.15"/>
    <n v="-0.56806134603930902"/>
    <s v="HIGH RISK"/>
  </r>
  <r>
    <s v="L0929"/>
    <x v="630"/>
    <s v="B0929"/>
    <x v="6"/>
    <n v="7406"/>
    <n v="11.6"/>
    <n v="60"/>
    <x v="0"/>
    <x v="6"/>
    <x v="1"/>
    <n v="90652"/>
    <s v="OWN"/>
    <n v="0.41"/>
    <n v="0.87"/>
    <n v="8265.1"/>
    <n v="0"/>
    <n v="59"/>
    <n v="4295.4799999999996"/>
    <n v="11701.48"/>
    <n v="859.10000000000036"/>
    <n v="0"/>
    <x v="0"/>
    <s v="VERY HIGH"/>
    <n v="7159.1333000000004"/>
    <n v="0.11600054010261955"/>
    <s v="HIGH RISK"/>
  </r>
  <r>
    <s v="L0930"/>
    <x v="628"/>
    <s v="B0930"/>
    <x v="7"/>
    <n v="32823"/>
    <n v="11.8"/>
    <n v="36"/>
    <x v="1"/>
    <x v="5"/>
    <x v="0"/>
    <n v="64484"/>
    <s v="OWN"/>
    <n v="0.37"/>
    <n v="0.7"/>
    <n v="1788.26"/>
    <n v="0"/>
    <n v="60"/>
    <n v="11619.341999999999"/>
    <n v="44442.341999999997"/>
    <n v="-31034.74"/>
    <n v="0"/>
    <x v="1"/>
    <s v="MEDIUM"/>
    <n v="32275.95"/>
    <n v="-0.94551808183286112"/>
    <s v="NORMAL"/>
  </r>
  <r>
    <s v="L0931"/>
    <x v="406"/>
    <s v="B0931"/>
    <x v="1"/>
    <n v="24291"/>
    <n v="19.8"/>
    <n v="36"/>
    <x v="2"/>
    <x v="4"/>
    <x v="2"/>
    <n v="128614"/>
    <s v="RENT"/>
    <n v="0.11"/>
    <n v="0.72"/>
    <n v="0"/>
    <n v="0"/>
    <n v="28"/>
    <n v="14428.853999999999"/>
    <n v="38719.853999999999"/>
    <n v="-24291"/>
    <n v="0"/>
    <x v="2"/>
    <s v="LOW"/>
    <n v="40080.15"/>
    <n v="-1"/>
    <s v="NORMAL"/>
  </r>
  <r>
    <s v="L0932"/>
    <x v="631"/>
    <s v="B0932"/>
    <x v="4"/>
    <n v="33003"/>
    <n v="9.5"/>
    <n v="60"/>
    <x v="0"/>
    <x v="6"/>
    <x v="2"/>
    <n v="142695"/>
    <s v="MORTGAGE"/>
    <n v="0.31"/>
    <n v="0.6"/>
    <n v="36138.28"/>
    <n v="0"/>
    <n v="35"/>
    <n v="15676.424999999997"/>
    <n v="48679.424999999996"/>
    <n v="3135.2799999999988"/>
    <n v="0"/>
    <x v="0"/>
    <s v="VERY HIGH"/>
    <n v="26127.375"/>
    <n v="9.4999848498621309E-2"/>
    <s v="NORMAL"/>
  </r>
  <r>
    <s v="L0933"/>
    <x v="607"/>
    <s v="B0933"/>
    <x v="9"/>
    <n v="35406"/>
    <n v="17.8"/>
    <n v="60"/>
    <x v="0"/>
    <x v="6"/>
    <x v="2"/>
    <n v="50922"/>
    <s v="OWN"/>
    <n v="0.12"/>
    <n v="0.54"/>
    <n v="41708.269999999997"/>
    <n v="0"/>
    <n v="52"/>
    <n v="31511.34"/>
    <n v="66917.34"/>
    <n v="6302.2699999999968"/>
    <n v="0"/>
    <x v="0"/>
    <s v="VERY HIGH"/>
    <n v="52518.9"/>
    <n v="0.17800005648760089"/>
    <s v="NORMAL"/>
  </r>
  <r>
    <s v="L0934"/>
    <x v="232"/>
    <s v="B0934"/>
    <x v="0"/>
    <n v="24312"/>
    <n v="16.399999999999999"/>
    <n v="36"/>
    <x v="3"/>
    <x v="6"/>
    <x v="1"/>
    <n v="64028"/>
    <s v="RENT"/>
    <n v="0.42"/>
    <n v="0.76"/>
    <n v="9266.1200000000008"/>
    <n v="2516.62"/>
    <n v="37"/>
    <n v="11961.503999999999"/>
    <n v="36273.504000000001"/>
    <n v="-12529.259999999998"/>
    <n v="1"/>
    <x v="2"/>
    <s v="VERY HIGH"/>
    <n v="33226.400000000001"/>
    <n v="-0.51535291214215195"/>
    <s v="HIGH RISK"/>
  </r>
  <r>
    <s v="L0935"/>
    <x v="632"/>
    <s v="B0935"/>
    <x v="1"/>
    <n v="2382"/>
    <n v="16.399999999999999"/>
    <n v="36"/>
    <x v="1"/>
    <x v="0"/>
    <x v="3"/>
    <n v="141461"/>
    <s v="MORTGAGE"/>
    <n v="0.23"/>
    <n v="0.54"/>
    <n v="791.85"/>
    <n v="0"/>
    <n v="48"/>
    <n v="1171.944"/>
    <n v="3553.944"/>
    <n v="-1590.15"/>
    <n v="0"/>
    <x v="1"/>
    <s v="LOW"/>
    <n v="3255.4"/>
    <n v="-0.6675692695214106"/>
    <s v="NORMAL"/>
  </r>
  <r>
    <s v="L0936"/>
    <x v="633"/>
    <s v="B0936"/>
    <x v="6"/>
    <n v="35171"/>
    <n v="18.3"/>
    <n v="60"/>
    <x v="0"/>
    <x v="3"/>
    <x v="0"/>
    <n v="50316"/>
    <s v="MORTGAGE"/>
    <n v="0.32"/>
    <n v="0.7"/>
    <n v="41607.29"/>
    <n v="0"/>
    <n v="51"/>
    <n v="32181.465"/>
    <n v="67352.464999999997"/>
    <n v="6436.2900000000009"/>
    <n v="0"/>
    <x v="0"/>
    <s v="VERY HIGH"/>
    <n v="53635.775000000001"/>
    <n v="0.18299991470245375"/>
    <s v="NORMAL"/>
  </r>
  <r>
    <s v="L0937"/>
    <x v="255"/>
    <s v="B0937"/>
    <x v="8"/>
    <n v="4292"/>
    <n v="16"/>
    <n v="36"/>
    <x v="1"/>
    <x v="2"/>
    <x v="4"/>
    <n v="106996"/>
    <s v="OWN"/>
    <n v="0.21"/>
    <n v="0.92"/>
    <n v="836.21"/>
    <n v="0"/>
    <n v="27"/>
    <n v="2060.1600000000003"/>
    <n v="6352.16"/>
    <n v="-3455.79"/>
    <n v="0"/>
    <x v="1"/>
    <s v="VERY HIGH"/>
    <n v="5722.6666999999998"/>
    <n v="-0.80517008387698041"/>
    <s v="HIGH RISK"/>
  </r>
  <r>
    <s v="L0938"/>
    <x v="331"/>
    <s v="B0938"/>
    <x v="8"/>
    <n v="34187"/>
    <n v="22.6"/>
    <n v="60"/>
    <x v="0"/>
    <x v="4"/>
    <x v="2"/>
    <n v="46968"/>
    <s v="OWN"/>
    <n v="0.41"/>
    <n v="0.93"/>
    <n v="41913.26"/>
    <n v="0"/>
    <n v="37"/>
    <n v="38631.310000000005"/>
    <n v="72818.31"/>
    <n v="7726.260000000002"/>
    <n v="0"/>
    <x v="0"/>
    <s v="LOW"/>
    <n v="64385.5167"/>
    <n v="0.22599994149823038"/>
    <s v="HIGH RISK"/>
  </r>
  <r>
    <s v="L0939"/>
    <x v="569"/>
    <s v="B0939"/>
    <x v="1"/>
    <n v="13411"/>
    <n v="18.5"/>
    <n v="36"/>
    <x v="3"/>
    <x v="0"/>
    <x v="2"/>
    <n v="60266"/>
    <s v="RENT"/>
    <n v="0.45"/>
    <n v="0.61"/>
    <n v="2332.75"/>
    <n v="2064.9299999999998"/>
    <n v="43"/>
    <n v="7443.1049999999996"/>
    <n v="20854.105"/>
    <n v="-9013.32"/>
    <n v="1"/>
    <x v="2"/>
    <s v="LOW"/>
    <n v="20675.291700000002"/>
    <n v="-0.67208411005890689"/>
    <s v="HIGH RISK"/>
  </r>
  <r>
    <s v="L0940"/>
    <x v="481"/>
    <s v="B0940"/>
    <x v="8"/>
    <n v="38285"/>
    <n v="15.9"/>
    <n v="60"/>
    <x v="0"/>
    <x v="0"/>
    <x v="4"/>
    <n v="125745"/>
    <s v="OWN"/>
    <n v="0.26"/>
    <n v="0.78"/>
    <n v="44372.32"/>
    <n v="0"/>
    <n v="27"/>
    <n v="30436.574999999997"/>
    <n v="68721.574999999997"/>
    <n v="6087.32"/>
    <n v="0"/>
    <x v="0"/>
    <s v="LOW"/>
    <n v="50727.625"/>
    <n v="0.15900013059945148"/>
    <s v="NORMAL"/>
  </r>
  <r>
    <s v="L0941"/>
    <x v="567"/>
    <s v="B0941"/>
    <x v="6"/>
    <n v="16422"/>
    <n v="21.6"/>
    <n v="36"/>
    <x v="0"/>
    <x v="3"/>
    <x v="4"/>
    <n v="54000"/>
    <s v="RENT"/>
    <n v="0.45"/>
    <n v="0.71"/>
    <n v="19969.150000000001"/>
    <n v="0"/>
    <n v="29"/>
    <n v="10641.456"/>
    <n v="27063.455999999998"/>
    <n v="3547.1500000000015"/>
    <n v="0"/>
    <x v="0"/>
    <s v="VERY HIGH"/>
    <n v="29559.599999999999"/>
    <n v="0.21599987821215452"/>
    <s v="HIGH RISK"/>
  </r>
  <r>
    <s v="L0942"/>
    <x v="113"/>
    <s v="B0942"/>
    <x v="1"/>
    <n v="33371"/>
    <n v="17.100000000000001"/>
    <n v="36"/>
    <x v="1"/>
    <x v="5"/>
    <x v="1"/>
    <n v="44011"/>
    <s v="MORTGAGE"/>
    <n v="0.21"/>
    <n v="0.89"/>
    <n v="1803.79"/>
    <n v="0"/>
    <n v="59"/>
    <n v="17119.323"/>
    <n v="50490.323000000004"/>
    <n v="-31567.21"/>
    <n v="0"/>
    <x v="1"/>
    <s v="MEDIUM"/>
    <n v="47553.675000000003"/>
    <n v="-0.94594737946120877"/>
    <s v="HIGH RISK"/>
  </r>
  <r>
    <s v="L0943"/>
    <x v="600"/>
    <s v="B0943"/>
    <x v="6"/>
    <n v="6693"/>
    <n v="10.8"/>
    <n v="60"/>
    <x v="0"/>
    <x v="4"/>
    <x v="0"/>
    <n v="32866"/>
    <s v="MORTGAGE"/>
    <n v="0.31"/>
    <n v="0.62"/>
    <n v="7415.84"/>
    <n v="0"/>
    <n v="35"/>
    <n v="3614.22"/>
    <n v="10307.219999999999"/>
    <n v="722.84000000000015"/>
    <n v="0"/>
    <x v="0"/>
    <s v="LOW"/>
    <n v="6023.7"/>
    <n v="0.10799940236067536"/>
    <s v="NORMAL"/>
  </r>
  <r>
    <s v="L0944"/>
    <x v="634"/>
    <s v="B0944"/>
    <x v="0"/>
    <n v="34535"/>
    <n v="9.1"/>
    <n v="36"/>
    <x v="0"/>
    <x v="4"/>
    <x v="2"/>
    <n v="142669"/>
    <s v="MORTGAGE"/>
    <n v="0.44"/>
    <n v="0.5"/>
    <n v="37677.68"/>
    <n v="0"/>
    <n v="46"/>
    <n v="9428.0550000000003"/>
    <n v="43963.055"/>
    <n v="3142.6800000000003"/>
    <n v="0"/>
    <x v="0"/>
    <s v="LOW"/>
    <n v="26189.041700000002"/>
    <n v="9.0999855219342701E-2"/>
    <s v="HIGH RISK"/>
  </r>
  <r>
    <s v="L0945"/>
    <x v="635"/>
    <s v="B0945"/>
    <x v="4"/>
    <n v="15818"/>
    <n v="8"/>
    <n v="36"/>
    <x v="1"/>
    <x v="4"/>
    <x v="3"/>
    <n v="35898"/>
    <s v="MORTGAGE"/>
    <n v="0.23"/>
    <n v="0.56999999999999995"/>
    <n v="2467.0100000000002"/>
    <n v="0"/>
    <n v="47"/>
    <n v="3796.32"/>
    <n v="19614.32"/>
    <n v="-13350.99"/>
    <n v="0"/>
    <x v="1"/>
    <s v="LOW"/>
    <n v="10545.3334"/>
    <n v="-0.84403780503224168"/>
    <s v="NORMAL"/>
  </r>
  <r>
    <s v="L0946"/>
    <x v="636"/>
    <s v="B0946"/>
    <x v="3"/>
    <n v="32238"/>
    <n v="23"/>
    <n v="60"/>
    <x v="1"/>
    <x v="1"/>
    <x v="1"/>
    <n v="48395"/>
    <s v="OWN"/>
    <n v="0.48"/>
    <n v="0.66"/>
    <n v="3609.94"/>
    <n v="0"/>
    <n v="57"/>
    <n v="37073.699999999997"/>
    <n v="69311.7"/>
    <n v="-28628.06"/>
    <n v="0"/>
    <x v="1"/>
    <s v="HIGH"/>
    <n v="61789.5"/>
    <n v="-0.88802220981450464"/>
    <s v="HIGH RISK"/>
  </r>
  <r>
    <s v="L0947"/>
    <x v="637"/>
    <s v="B0947"/>
    <x v="0"/>
    <n v="31874"/>
    <n v="19.2"/>
    <n v="36"/>
    <x v="0"/>
    <x v="4"/>
    <x v="1"/>
    <n v="69019"/>
    <s v="OWN"/>
    <n v="0.15"/>
    <n v="0.64"/>
    <n v="37993.81"/>
    <n v="0"/>
    <n v="56"/>
    <n v="18359.423999999995"/>
    <n v="50233.423999999999"/>
    <n v="6119.8099999999977"/>
    <n v="0"/>
    <x v="0"/>
    <s v="LOW"/>
    <n v="50998.400000000001"/>
    <n v="0.19200006274706649"/>
    <s v="NORMAL"/>
  </r>
  <r>
    <s v="L0948"/>
    <x v="638"/>
    <s v="B0948"/>
    <x v="0"/>
    <n v="27715"/>
    <n v="23.7"/>
    <n v="36"/>
    <x v="1"/>
    <x v="3"/>
    <x v="3"/>
    <n v="133243"/>
    <s v="RENT"/>
    <n v="0.11"/>
    <n v="0.86"/>
    <n v="9020.5300000000007"/>
    <n v="0"/>
    <n v="47"/>
    <n v="19705.365000000002"/>
    <n v="47420.365000000005"/>
    <n v="-18694.47"/>
    <n v="0"/>
    <x v="1"/>
    <s v="VERY HIGH"/>
    <n v="54737.125"/>
    <n v="-0.6745253472848638"/>
    <s v="HIGH RISK"/>
  </r>
  <r>
    <s v="L0949"/>
    <x v="639"/>
    <s v="B0949"/>
    <x v="8"/>
    <n v="28605"/>
    <n v="17.100000000000001"/>
    <n v="36"/>
    <x v="0"/>
    <x v="1"/>
    <x v="3"/>
    <n v="34006"/>
    <s v="RENT"/>
    <n v="0.46"/>
    <n v="0.81"/>
    <n v="33496.46"/>
    <n v="0"/>
    <n v="32"/>
    <n v="14674.365000000003"/>
    <n v="43279.365000000005"/>
    <n v="4891.4599999999991"/>
    <n v="0"/>
    <x v="0"/>
    <s v="HIGH"/>
    <n v="40762.125"/>
    <n v="0.17100017479461629"/>
    <s v="HIGH RISK"/>
  </r>
  <r>
    <s v="L0950"/>
    <x v="352"/>
    <s v="B0950"/>
    <x v="7"/>
    <n v="35317"/>
    <n v="14.5"/>
    <n v="60"/>
    <x v="0"/>
    <x v="6"/>
    <x v="3"/>
    <n v="64393"/>
    <s v="RENT"/>
    <n v="0.13"/>
    <n v="0.63"/>
    <n v="40437.97"/>
    <n v="0"/>
    <n v="38"/>
    <n v="25604.825000000001"/>
    <n v="60921.824999999997"/>
    <n v="5120.9700000000012"/>
    <n v="0"/>
    <x v="0"/>
    <s v="VERY HIGH"/>
    <n v="42674.708299999998"/>
    <n v="0.14500014157487898"/>
    <s v="NORMAL"/>
  </r>
  <r>
    <s v="L0951"/>
    <x v="266"/>
    <s v="B0951"/>
    <x v="5"/>
    <n v="32174"/>
    <n v="6.2"/>
    <n v="60"/>
    <x v="0"/>
    <x v="4"/>
    <x v="4"/>
    <n v="40956"/>
    <s v="RENT"/>
    <n v="0.5"/>
    <n v="0.71"/>
    <n v="34168.79"/>
    <n v="0"/>
    <n v="35"/>
    <n v="9973.94"/>
    <n v="42147.94"/>
    <n v="1994.7900000000009"/>
    <n v="0"/>
    <x v="0"/>
    <s v="LOW"/>
    <n v="16623.2333"/>
    <n v="6.2000062161994184E-2"/>
    <s v="HIGH RISK"/>
  </r>
  <r>
    <s v="L0952"/>
    <x v="640"/>
    <s v="B0952"/>
    <x v="8"/>
    <n v="10956"/>
    <n v="18.399999999999999"/>
    <n v="60"/>
    <x v="0"/>
    <x v="0"/>
    <x v="2"/>
    <n v="80042"/>
    <s v="RENT"/>
    <n v="0.48"/>
    <n v="0.54"/>
    <n v="12971.9"/>
    <n v="0"/>
    <n v="31"/>
    <n v="10079.52"/>
    <n v="21035.52"/>
    <n v="2015.8999999999996"/>
    <n v="0"/>
    <x v="0"/>
    <s v="LOW"/>
    <n v="16799.2"/>
    <n v="0.18399963490324933"/>
    <s v="HIGH RISK"/>
  </r>
  <r>
    <s v="L0953"/>
    <x v="641"/>
    <s v="B0953"/>
    <x v="7"/>
    <n v="39908"/>
    <n v="16.600000000000001"/>
    <n v="36"/>
    <x v="1"/>
    <x v="5"/>
    <x v="4"/>
    <n v="126199"/>
    <s v="MORTGAGE"/>
    <n v="0.15"/>
    <n v="0.9"/>
    <n v="4986.33"/>
    <n v="0"/>
    <n v="62"/>
    <n v="19874.184000000001"/>
    <n v="59782.184000000001"/>
    <n v="-34921.67"/>
    <n v="0"/>
    <x v="1"/>
    <s v="MEDIUM"/>
    <n v="55206.066700000003"/>
    <n v="-0.87505437506264405"/>
    <s v="HIGH RISK"/>
  </r>
  <r>
    <s v="L0954"/>
    <x v="642"/>
    <s v="B0954"/>
    <x v="6"/>
    <n v="11837"/>
    <n v="24.8"/>
    <n v="36"/>
    <x v="0"/>
    <x v="4"/>
    <x v="2"/>
    <n v="36078"/>
    <s v="MORTGAGE"/>
    <n v="0.32"/>
    <n v="0.92"/>
    <n v="14772.58"/>
    <n v="0"/>
    <n v="51"/>
    <n v="8806.728000000001"/>
    <n v="20643.728000000003"/>
    <n v="2935.58"/>
    <n v="0"/>
    <x v="0"/>
    <s v="LOW"/>
    <n v="24463.133300000001"/>
    <n v="0.24800033792346032"/>
    <s v="HIGH RISK"/>
  </r>
  <r>
    <s v="L0955"/>
    <x v="643"/>
    <s v="B0955"/>
    <x v="5"/>
    <n v="4716"/>
    <n v="9.8000000000000007"/>
    <n v="36"/>
    <x v="1"/>
    <x v="0"/>
    <x v="4"/>
    <n v="59631"/>
    <s v="MORTGAGE"/>
    <n v="0.17"/>
    <n v="0.94"/>
    <n v="1357.66"/>
    <n v="0"/>
    <n v="37"/>
    <n v="1386.5039999999999"/>
    <n v="6102.5039999999999"/>
    <n v="-3358.34"/>
    <n v="0"/>
    <x v="1"/>
    <s v="LOW"/>
    <n v="3851.4"/>
    <n v="-0.71211620016963528"/>
    <s v="HIGH RISK"/>
  </r>
  <r>
    <s v="L0956"/>
    <x v="165"/>
    <s v="B0956"/>
    <x v="8"/>
    <n v="5481"/>
    <n v="15.6"/>
    <n v="36"/>
    <x v="0"/>
    <x v="2"/>
    <x v="0"/>
    <n v="125676"/>
    <s v="RENT"/>
    <n v="0.27"/>
    <n v="0.89"/>
    <n v="6336.04"/>
    <n v="0"/>
    <n v="57"/>
    <n v="2565.1079999999997"/>
    <n v="8046.1080000000002"/>
    <n v="855.04"/>
    <n v="0"/>
    <x v="0"/>
    <s v="VERY HIGH"/>
    <n v="7125.3"/>
    <n v="0.15600072979383323"/>
    <s v="HIGH RISK"/>
  </r>
  <r>
    <s v="L0957"/>
    <x v="159"/>
    <s v="B0957"/>
    <x v="5"/>
    <n v="25282"/>
    <n v="18"/>
    <n v="60"/>
    <x v="2"/>
    <x v="4"/>
    <x v="2"/>
    <n v="92901"/>
    <s v="MORTGAGE"/>
    <n v="0.12"/>
    <n v="0.57999999999999996"/>
    <n v="0"/>
    <n v="0"/>
    <n v="57"/>
    <n v="22753.800000000003"/>
    <n v="48035.8"/>
    <n v="-25282"/>
    <n v="0"/>
    <x v="2"/>
    <s v="LOW"/>
    <n v="37923"/>
    <n v="-1"/>
    <s v="NORMAL"/>
  </r>
  <r>
    <s v="L0958"/>
    <x v="644"/>
    <s v="B0958"/>
    <x v="5"/>
    <n v="7548"/>
    <n v="17.899999999999999"/>
    <n v="36"/>
    <x v="1"/>
    <x v="0"/>
    <x v="1"/>
    <n v="137227"/>
    <s v="MORTGAGE"/>
    <n v="0.19"/>
    <n v="0.52"/>
    <n v="2381.79"/>
    <n v="0"/>
    <n v="32"/>
    <n v="4053.2759999999998"/>
    <n v="11601.276"/>
    <n v="-5166.21"/>
    <n v="0"/>
    <x v="1"/>
    <s v="LOW"/>
    <n v="11259.1"/>
    <n v="-0.68444753577106521"/>
    <s v="NORMAL"/>
  </r>
  <r>
    <s v="L0959"/>
    <x v="22"/>
    <s v="B0959"/>
    <x v="2"/>
    <n v="38605"/>
    <n v="16.2"/>
    <n v="36"/>
    <x v="1"/>
    <x v="0"/>
    <x v="2"/>
    <n v="99497"/>
    <s v="MORTGAGE"/>
    <n v="0.25"/>
    <n v="0.76"/>
    <n v="7107.9"/>
    <n v="0"/>
    <n v="39"/>
    <n v="18762.030000000002"/>
    <n v="57367.03"/>
    <n v="-31497.1"/>
    <n v="0"/>
    <x v="1"/>
    <s v="LOW"/>
    <n v="52116.75"/>
    <n v="-0.81588136251780852"/>
    <s v="NORMAL"/>
  </r>
  <r>
    <s v="L0960"/>
    <x v="645"/>
    <s v="B0960"/>
    <x v="4"/>
    <n v="8758"/>
    <n v="20.5"/>
    <n v="36"/>
    <x v="0"/>
    <x v="4"/>
    <x v="2"/>
    <n v="124813"/>
    <s v="MORTGAGE"/>
    <n v="0.28000000000000003"/>
    <n v="0.91"/>
    <n v="10553.39"/>
    <n v="0"/>
    <n v="59"/>
    <n v="5386.17"/>
    <n v="14144.17"/>
    <n v="1795.3899999999994"/>
    <n v="0"/>
    <x v="0"/>
    <s v="LOW"/>
    <n v="14961.5833"/>
    <n v="0.20499999999999993"/>
    <s v="HIGH RISK"/>
  </r>
  <r>
    <s v="L0961"/>
    <x v="646"/>
    <s v="B0961"/>
    <x v="2"/>
    <n v="24177"/>
    <n v="9.1"/>
    <n v="60"/>
    <x v="0"/>
    <x v="3"/>
    <x v="2"/>
    <n v="147192"/>
    <s v="OWN"/>
    <n v="0.49"/>
    <n v="0.57999999999999996"/>
    <n v="26377.11"/>
    <n v="0"/>
    <n v="45"/>
    <n v="11000.534999999998"/>
    <n v="35177.534999999996"/>
    <n v="2200.1100000000006"/>
    <n v="0"/>
    <x v="0"/>
    <s v="VERY HIGH"/>
    <n v="18334.224999999999"/>
    <n v="9.1000124084874082E-2"/>
    <s v="HIGH RISK"/>
  </r>
  <r>
    <s v="L0962"/>
    <x v="395"/>
    <s v="B0962"/>
    <x v="7"/>
    <n v="25022"/>
    <n v="19.5"/>
    <n v="36"/>
    <x v="0"/>
    <x v="4"/>
    <x v="0"/>
    <n v="71574"/>
    <s v="RENT"/>
    <n v="0.42"/>
    <n v="0.5"/>
    <n v="29901.29"/>
    <n v="0"/>
    <n v="35"/>
    <n v="14637.87"/>
    <n v="39659.870000000003"/>
    <n v="4879.2900000000009"/>
    <n v="0"/>
    <x v="0"/>
    <s v="LOW"/>
    <n v="40660.75"/>
    <n v="0.19500000000000003"/>
    <s v="HIGH RISK"/>
  </r>
  <r>
    <s v="L0963"/>
    <x v="420"/>
    <s v="B0963"/>
    <x v="9"/>
    <n v="6542"/>
    <n v="17.399999999999999"/>
    <n v="36"/>
    <x v="3"/>
    <x v="4"/>
    <x v="4"/>
    <n v="148494"/>
    <s v="RENT"/>
    <n v="0.39"/>
    <n v="0.86"/>
    <n v="723.02"/>
    <n v="1622.45"/>
    <n v="39"/>
    <n v="3414.9240000000004"/>
    <n v="9956.9240000000009"/>
    <n v="-4196.53"/>
    <n v="1"/>
    <x v="2"/>
    <s v="LOW"/>
    <n v="9485.9"/>
    <n v="-0.64147508407214915"/>
    <s v="HIGH RISK"/>
  </r>
  <r>
    <s v="L0964"/>
    <x v="647"/>
    <s v="B0964"/>
    <x v="1"/>
    <n v="26476"/>
    <n v="22.9"/>
    <n v="36"/>
    <x v="0"/>
    <x v="1"/>
    <x v="1"/>
    <n v="61417"/>
    <s v="OWN"/>
    <n v="0.31"/>
    <n v="0.53"/>
    <n v="32539"/>
    <n v="0"/>
    <n v="38"/>
    <n v="18189.011999999999"/>
    <n v="44665.012000000002"/>
    <n v="6063"/>
    <n v="0"/>
    <x v="0"/>
    <s v="HIGH"/>
    <n v="50525.033300000003"/>
    <n v="0.2289998489197764"/>
    <s v="NORMAL"/>
  </r>
  <r>
    <s v="L0965"/>
    <x v="648"/>
    <s v="B0965"/>
    <x v="3"/>
    <n v="31784"/>
    <n v="21.9"/>
    <n v="36"/>
    <x v="1"/>
    <x v="4"/>
    <x v="4"/>
    <n v="118020"/>
    <s v="MORTGAGE"/>
    <n v="0.44"/>
    <n v="0.69"/>
    <n v="2122.0300000000002"/>
    <n v="0"/>
    <n v="28"/>
    <n v="20882.088"/>
    <n v="52666.088000000003"/>
    <n v="-29661.97"/>
    <n v="0"/>
    <x v="1"/>
    <s v="LOW"/>
    <n v="58005.8"/>
    <n v="-0.93323590485779007"/>
    <s v="HIGH RISK"/>
  </r>
  <r>
    <s v="L0966"/>
    <x v="649"/>
    <s v="B0966"/>
    <x v="9"/>
    <n v="23740"/>
    <n v="11.3"/>
    <n v="36"/>
    <x v="1"/>
    <x v="0"/>
    <x v="4"/>
    <n v="113639"/>
    <s v="MORTGAGE"/>
    <n v="0.24"/>
    <n v="0.81"/>
    <n v="1468.47"/>
    <n v="0"/>
    <n v="39"/>
    <n v="8047.86"/>
    <n v="31787.86"/>
    <n v="-22271.53"/>
    <n v="0"/>
    <x v="1"/>
    <s v="LOW"/>
    <n v="22355.166700000002"/>
    <n v="-0.9381436394271272"/>
    <s v="HIGH RISK"/>
  </r>
  <r>
    <s v="L0967"/>
    <x v="246"/>
    <s v="B0967"/>
    <x v="1"/>
    <n v="25817"/>
    <n v="10.5"/>
    <n v="60"/>
    <x v="0"/>
    <x v="0"/>
    <x v="3"/>
    <n v="95006"/>
    <s v="MORTGAGE"/>
    <n v="0.38"/>
    <n v="0.61"/>
    <n v="28527.78"/>
    <n v="0"/>
    <n v="47"/>
    <n v="13553.924999999997"/>
    <n v="39370.924999999996"/>
    <n v="2710.7799999999988"/>
    <n v="0"/>
    <x v="0"/>
    <s v="LOW"/>
    <n v="22589.875"/>
    <n v="0.10499980632916291"/>
    <s v="NORMAL"/>
  </r>
  <r>
    <s v="L0968"/>
    <x v="346"/>
    <s v="B0968"/>
    <x v="7"/>
    <n v="17052"/>
    <n v="24.6"/>
    <n v="36"/>
    <x v="1"/>
    <x v="4"/>
    <x v="0"/>
    <n v="124881"/>
    <s v="RENT"/>
    <n v="0.5"/>
    <n v="0.54"/>
    <n v="6524.2"/>
    <n v="0"/>
    <n v="49"/>
    <n v="12584.376000000002"/>
    <n v="29636.376000000004"/>
    <n v="-10527.8"/>
    <n v="0"/>
    <x v="1"/>
    <s v="LOW"/>
    <n v="34956.6"/>
    <n v="-0.61739385409336145"/>
    <s v="HIGH RISK"/>
  </r>
  <r>
    <s v="L0969"/>
    <x v="551"/>
    <s v="B0969"/>
    <x v="7"/>
    <n v="36153"/>
    <n v="15.5"/>
    <n v="36"/>
    <x v="1"/>
    <x v="0"/>
    <x v="3"/>
    <n v="141862"/>
    <s v="RENT"/>
    <n v="0.23"/>
    <n v="0.85"/>
    <n v="6981.3"/>
    <n v="0"/>
    <n v="54"/>
    <n v="16811.145"/>
    <n v="52964.145000000004"/>
    <n v="-29171.7"/>
    <n v="0"/>
    <x v="1"/>
    <s v="LOW"/>
    <n v="46697.625"/>
    <n v="-0.80689569330346034"/>
    <s v="HIGH RISK"/>
  </r>
  <r>
    <s v="L0970"/>
    <x v="93"/>
    <s v="B0970"/>
    <x v="6"/>
    <n v="1671"/>
    <n v="23.1"/>
    <n v="36"/>
    <x v="1"/>
    <x v="0"/>
    <x v="0"/>
    <n v="69454"/>
    <s v="RENT"/>
    <n v="0.37"/>
    <n v="0.78"/>
    <n v="682.33"/>
    <n v="0"/>
    <n v="36"/>
    <n v="1158.0030000000002"/>
    <n v="2829.0030000000002"/>
    <n v="-988.67"/>
    <n v="0"/>
    <x v="1"/>
    <s v="LOW"/>
    <n v="3216.6750000000002"/>
    <n v="-0.59166367444643919"/>
    <s v="NORMAL"/>
  </r>
  <r>
    <s v="L0971"/>
    <x v="391"/>
    <s v="B0971"/>
    <x v="3"/>
    <n v="1163"/>
    <n v="8.3000000000000007"/>
    <n v="36"/>
    <x v="0"/>
    <x v="6"/>
    <x v="4"/>
    <n v="31587"/>
    <s v="RENT"/>
    <n v="0.44"/>
    <n v="0.94"/>
    <n v="1259.53"/>
    <n v="0"/>
    <n v="31"/>
    <n v="289.58700000000005"/>
    <n v="1452.587"/>
    <n v="96.529999999999973"/>
    <n v="0"/>
    <x v="0"/>
    <s v="VERY HIGH"/>
    <n v="804.40830000000005"/>
    <n v="8.3000859845227842E-2"/>
    <s v="HIGH RISK"/>
  </r>
  <r>
    <s v="L0972"/>
    <x v="650"/>
    <s v="B0972"/>
    <x v="4"/>
    <n v="5795"/>
    <n v="17.899999999999999"/>
    <n v="36"/>
    <x v="0"/>
    <x v="0"/>
    <x v="4"/>
    <n v="138107"/>
    <s v="RENT"/>
    <n v="0.47"/>
    <n v="0.65"/>
    <n v="6832.3"/>
    <n v="0"/>
    <n v="32"/>
    <n v="3111.9149999999995"/>
    <n v="8906.9149999999991"/>
    <n v="1037.3000000000002"/>
    <n v="0"/>
    <x v="0"/>
    <s v="LOW"/>
    <n v="8644.2083000000002"/>
    <n v="0.1789991371872304"/>
    <s v="HIGH RISK"/>
  </r>
  <r>
    <s v="L0973"/>
    <x v="63"/>
    <s v="B0973"/>
    <x v="5"/>
    <n v="11634"/>
    <n v="21.2"/>
    <n v="36"/>
    <x v="0"/>
    <x v="1"/>
    <x v="0"/>
    <n v="145584"/>
    <s v="OWN"/>
    <n v="0.39"/>
    <n v="0.53"/>
    <n v="14100.41"/>
    <n v="0"/>
    <n v="27"/>
    <n v="7399.2239999999993"/>
    <n v="19033.223999999998"/>
    <n v="2466.41"/>
    <n v="0"/>
    <x v="0"/>
    <s v="HIGH"/>
    <n v="20553.400000000001"/>
    <n v="0.21200017190991918"/>
    <s v="NORMAL"/>
  </r>
  <r>
    <s v="L0974"/>
    <x v="651"/>
    <s v="B0974"/>
    <x v="2"/>
    <n v="5798"/>
    <n v="23.9"/>
    <n v="36"/>
    <x v="1"/>
    <x v="6"/>
    <x v="4"/>
    <n v="84710"/>
    <s v="RENT"/>
    <n v="0.21"/>
    <n v="0.83"/>
    <n v="1416.33"/>
    <n v="0"/>
    <n v="31"/>
    <n v="4157.1659999999993"/>
    <n v="9955.1659999999993"/>
    <n v="-4381.67"/>
    <n v="0"/>
    <x v="1"/>
    <s v="VERY HIGH"/>
    <n v="11547.683300000001"/>
    <n v="-0.75572093825457054"/>
    <s v="HIGH RISK"/>
  </r>
  <r>
    <s v="L0975"/>
    <x v="225"/>
    <s v="B0975"/>
    <x v="2"/>
    <n v="23420"/>
    <n v="11.7"/>
    <n v="36"/>
    <x v="1"/>
    <x v="5"/>
    <x v="4"/>
    <n v="116567"/>
    <s v="MORTGAGE"/>
    <n v="0.23"/>
    <n v="0.73"/>
    <n v="5945.15"/>
    <n v="0"/>
    <n v="34"/>
    <n v="8220.42"/>
    <n v="31640.42"/>
    <n v="-17474.849999999999"/>
    <n v="0"/>
    <x v="1"/>
    <s v="MEDIUM"/>
    <n v="22834.5"/>
    <n v="-0.74615072587532016"/>
    <s v="NORMAL"/>
  </r>
  <r>
    <s v="L0976"/>
    <x v="76"/>
    <s v="B0976"/>
    <x v="7"/>
    <n v="30300"/>
    <n v="19.5"/>
    <n v="36"/>
    <x v="0"/>
    <x v="4"/>
    <x v="1"/>
    <n v="121748"/>
    <s v="RENT"/>
    <n v="0.11"/>
    <n v="0.6"/>
    <n v="36208.5"/>
    <n v="0"/>
    <n v="43"/>
    <n v="17725.5"/>
    <n v="48025.5"/>
    <n v="5908.5"/>
    <n v="0"/>
    <x v="0"/>
    <s v="LOW"/>
    <n v="49237.5"/>
    <n v="0.19500000000000001"/>
    <s v="NORMAL"/>
  </r>
  <r>
    <s v="L0977"/>
    <x v="379"/>
    <s v="B0977"/>
    <x v="2"/>
    <n v="25345"/>
    <n v="15.8"/>
    <n v="36"/>
    <x v="3"/>
    <x v="0"/>
    <x v="3"/>
    <n v="105886"/>
    <s v="OWN"/>
    <n v="0.4"/>
    <n v="0.85"/>
    <n v="6434.2"/>
    <n v="4640.18"/>
    <n v="39"/>
    <n v="12013.53"/>
    <n v="37358.53"/>
    <n v="-14270.619999999999"/>
    <n v="1"/>
    <x v="2"/>
    <s v="LOW"/>
    <n v="33370.916700000002"/>
    <n v="-0.56305464588676268"/>
    <s v="HIGH RISK"/>
  </r>
  <r>
    <s v="L0978"/>
    <x v="652"/>
    <s v="B0978"/>
    <x v="7"/>
    <n v="11749"/>
    <n v="6.2"/>
    <n v="60"/>
    <x v="0"/>
    <x v="1"/>
    <x v="3"/>
    <n v="48816"/>
    <s v="MORTGAGE"/>
    <n v="0.12"/>
    <n v="0.59"/>
    <n v="12477.44"/>
    <n v="0"/>
    <n v="41"/>
    <n v="3642.19"/>
    <n v="15391.19"/>
    <n v="728.44000000000051"/>
    <n v="0"/>
    <x v="0"/>
    <s v="HIGH"/>
    <n v="6070.3167000000003"/>
    <n v="6.2000170227253425E-2"/>
    <s v="NORMAL"/>
  </r>
  <r>
    <s v="L0979"/>
    <x v="653"/>
    <s v="B0979"/>
    <x v="5"/>
    <n v="39595"/>
    <n v="18.8"/>
    <n v="60"/>
    <x v="3"/>
    <x v="5"/>
    <x v="3"/>
    <n v="115824"/>
    <s v="OWN"/>
    <n v="0.45"/>
    <n v="0.62"/>
    <n v="12429.24"/>
    <n v="11066.94"/>
    <n v="60"/>
    <n v="37219.299999999996"/>
    <n v="76814.299999999988"/>
    <n v="-16098.82"/>
    <n v="1"/>
    <x v="2"/>
    <s v="MEDIUM"/>
    <n v="62032.166700000002"/>
    <n v="-0.40658719535294857"/>
    <s v="HIGH RISK"/>
  </r>
  <r>
    <s v="L0980"/>
    <x v="220"/>
    <s v="B0980"/>
    <x v="7"/>
    <n v="26121"/>
    <n v="18.8"/>
    <n v="60"/>
    <x v="4"/>
    <x v="1"/>
    <x v="2"/>
    <n v="59432"/>
    <s v="MORTGAGE"/>
    <n v="0.15"/>
    <n v="0.54"/>
    <n v="0"/>
    <n v="0"/>
    <n v="58"/>
    <n v="24553.74"/>
    <n v="50674.740000000005"/>
    <n v="-26121"/>
    <n v="0"/>
    <x v="2"/>
    <s v="HIGH"/>
    <n v="40922.9"/>
    <n v="-1"/>
    <s v="NORMAL"/>
  </r>
  <r>
    <s v="L0981"/>
    <x v="400"/>
    <s v="B0981"/>
    <x v="6"/>
    <n v="38487"/>
    <n v="23.6"/>
    <n v="60"/>
    <x v="3"/>
    <x v="0"/>
    <x v="1"/>
    <n v="139758"/>
    <s v="RENT"/>
    <n v="0.17"/>
    <n v="0.68"/>
    <n v="7006.59"/>
    <n v="17357.919999999998"/>
    <n v="38"/>
    <n v="45414.66"/>
    <n v="83901.66"/>
    <n v="-14122.490000000002"/>
    <n v="1"/>
    <x v="2"/>
    <s v="LOW"/>
    <n v="75691.100000000006"/>
    <n v="-0.366941824512173"/>
    <s v="NORMAL"/>
  </r>
  <r>
    <s v="L0982"/>
    <x v="654"/>
    <s v="B0982"/>
    <x v="4"/>
    <n v="29411"/>
    <n v="14.9"/>
    <n v="36"/>
    <x v="1"/>
    <x v="2"/>
    <x v="3"/>
    <n v="78617"/>
    <s v="OWN"/>
    <n v="0.28999999999999998"/>
    <n v="0.69"/>
    <n v="3079.75"/>
    <n v="0"/>
    <n v="38"/>
    <n v="13146.717000000002"/>
    <n v="42557.717000000004"/>
    <n v="-26331.25"/>
    <n v="0"/>
    <x v="1"/>
    <s v="VERY HIGH"/>
    <n v="36518.658300000003"/>
    <n v="-0.8952857774302132"/>
    <s v="NORMAL"/>
  </r>
  <r>
    <s v="L0983"/>
    <x v="503"/>
    <s v="B0983"/>
    <x v="0"/>
    <n v="34361"/>
    <n v="9.6"/>
    <n v="60"/>
    <x v="0"/>
    <x v="0"/>
    <x v="3"/>
    <n v="102373"/>
    <s v="MORTGAGE"/>
    <n v="0.4"/>
    <n v="0.73"/>
    <n v="37659.660000000003"/>
    <n v="0"/>
    <n v="45"/>
    <n v="16493.28"/>
    <n v="50854.28"/>
    <n v="3298.6600000000035"/>
    <n v="0"/>
    <x v="0"/>
    <s v="LOW"/>
    <n v="27488.799999999999"/>
    <n v="9.6000116411047512E-2"/>
    <s v="NORMAL"/>
  </r>
  <r>
    <s v="L0984"/>
    <x v="73"/>
    <s v="B0984"/>
    <x v="8"/>
    <n v="22223"/>
    <n v="5.9"/>
    <n v="60"/>
    <x v="0"/>
    <x v="4"/>
    <x v="1"/>
    <n v="64217"/>
    <s v="RENT"/>
    <n v="0.16"/>
    <n v="0.82"/>
    <n v="23534.16"/>
    <n v="0"/>
    <n v="45"/>
    <n v="6555.7850000000008"/>
    <n v="28778.785"/>
    <n v="1311.1599999999999"/>
    <n v="0"/>
    <x v="0"/>
    <s v="LOW"/>
    <n v="10926.308300000001"/>
    <n v="5.9000134995275157E-2"/>
    <s v="HIGH RISK"/>
  </r>
  <r>
    <s v="L0985"/>
    <x v="655"/>
    <s v="B0985"/>
    <x v="4"/>
    <n v="8394"/>
    <n v="13.3"/>
    <n v="36"/>
    <x v="1"/>
    <x v="4"/>
    <x v="4"/>
    <n v="50884"/>
    <s v="MORTGAGE"/>
    <n v="0.28000000000000003"/>
    <n v="0.91"/>
    <n v="2520.1"/>
    <n v="0"/>
    <n v="44"/>
    <n v="3349.2060000000001"/>
    <n v="11743.206"/>
    <n v="-5873.9"/>
    <n v="0"/>
    <x v="1"/>
    <s v="LOW"/>
    <n v="9303.35"/>
    <n v="-0.69977364784369789"/>
    <s v="HIGH RISK"/>
  </r>
  <r>
    <s v="L0986"/>
    <x v="656"/>
    <s v="B0986"/>
    <x v="4"/>
    <n v="15056"/>
    <n v="11"/>
    <n v="60"/>
    <x v="0"/>
    <x v="0"/>
    <x v="3"/>
    <n v="35454"/>
    <s v="OWN"/>
    <n v="0.28999999999999998"/>
    <n v="0.56000000000000005"/>
    <n v="16712.16"/>
    <n v="0"/>
    <n v="54"/>
    <n v="8280.8000000000011"/>
    <n v="23336.800000000003"/>
    <n v="1656.1599999999999"/>
    <n v="0"/>
    <x v="0"/>
    <s v="LOW"/>
    <n v="13801.3333"/>
    <n v="0.10999999999999999"/>
    <s v="NORMAL"/>
  </r>
  <r>
    <s v="L0987"/>
    <x v="657"/>
    <s v="B0987"/>
    <x v="9"/>
    <n v="29380"/>
    <n v="20.2"/>
    <n v="60"/>
    <x v="0"/>
    <x v="5"/>
    <x v="4"/>
    <n v="104960"/>
    <s v="OWN"/>
    <n v="0.18"/>
    <n v="0.52"/>
    <n v="35314.76"/>
    <n v="0"/>
    <n v="46"/>
    <n v="29673.800000000003"/>
    <n v="59053.8"/>
    <n v="5934.760000000002"/>
    <n v="0"/>
    <x v="0"/>
    <s v="MEDIUM"/>
    <n v="49456.333299999998"/>
    <n v="0.20200000000000007"/>
    <s v="NORMAL"/>
  </r>
  <r>
    <s v="L0988"/>
    <x v="533"/>
    <s v="B0988"/>
    <x v="3"/>
    <n v="27035"/>
    <n v="12.1"/>
    <n v="36"/>
    <x v="1"/>
    <x v="1"/>
    <x v="3"/>
    <n v="132421"/>
    <s v="OWN"/>
    <n v="0.15"/>
    <n v="0.51"/>
    <n v="5329.68"/>
    <n v="0"/>
    <n v="62"/>
    <n v="9813.7049999999999"/>
    <n v="36848.705000000002"/>
    <n v="-21705.32"/>
    <n v="0"/>
    <x v="1"/>
    <s v="HIGH"/>
    <n v="27260.291700000002"/>
    <n v="-0.80285999630109117"/>
    <s v="NORMAL"/>
  </r>
  <r>
    <s v="L0989"/>
    <x v="507"/>
    <s v="B0989"/>
    <x v="3"/>
    <n v="31620"/>
    <n v="24"/>
    <n v="36"/>
    <x v="0"/>
    <x v="6"/>
    <x v="0"/>
    <n v="137173"/>
    <s v="OWN"/>
    <n v="0.43"/>
    <n v="0.56000000000000005"/>
    <n v="39208.800000000003"/>
    <n v="0"/>
    <n v="40"/>
    <n v="22766.399999999998"/>
    <n v="54386.399999999994"/>
    <n v="7588.8000000000029"/>
    <n v="0"/>
    <x v="0"/>
    <s v="VERY HIGH"/>
    <n v="63240"/>
    <n v="0.2400000000000001"/>
    <s v="HIGH RISK"/>
  </r>
  <r>
    <s v="L0990"/>
    <x v="132"/>
    <s v="B0990"/>
    <x v="1"/>
    <n v="20877"/>
    <n v="24.2"/>
    <n v="36"/>
    <x v="3"/>
    <x v="6"/>
    <x v="2"/>
    <n v="73618"/>
    <s v="RENT"/>
    <n v="0.3"/>
    <n v="0.8"/>
    <n v="4859.07"/>
    <n v="9308.75"/>
    <n v="48"/>
    <n v="15156.701999999997"/>
    <n v="36033.701999999997"/>
    <n v="-6709.18"/>
    <n v="1"/>
    <x v="2"/>
    <s v="VERY HIGH"/>
    <n v="42101.95"/>
    <n v="-0.32136705465344639"/>
    <s v="NORMAL"/>
  </r>
  <r>
    <s v="L0991"/>
    <x v="373"/>
    <s v="B0991"/>
    <x v="8"/>
    <n v="31911"/>
    <n v="17.399999999999999"/>
    <n v="60"/>
    <x v="1"/>
    <x v="5"/>
    <x v="3"/>
    <n v="113948"/>
    <s v="MORTGAGE"/>
    <n v="0.11"/>
    <n v="0.83"/>
    <n v="10885.67"/>
    <n v="0"/>
    <n v="61"/>
    <n v="27762.569999999996"/>
    <n v="59673.569999999992"/>
    <n v="-21025.33"/>
    <n v="0"/>
    <x v="1"/>
    <s v="MEDIUM"/>
    <n v="46270.95"/>
    <n v="-0.65887405596816151"/>
    <s v="HIGH RISK"/>
  </r>
  <r>
    <s v="L0992"/>
    <x v="658"/>
    <s v="B0992"/>
    <x v="5"/>
    <n v="33784"/>
    <n v="23.6"/>
    <n v="60"/>
    <x v="1"/>
    <x v="1"/>
    <x v="0"/>
    <n v="92671"/>
    <s v="RENT"/>
    <n v="0.42"/>
    <n v="0.85"/>
    <n v="9201.2900000000009"/>
    <n v="0"/>
    <n v="42"/>
    <n v="39865.120000000003"/>
    <n v="73649.119999999995"/>
    <n v="-24582.71"/>
    <n v="0"/>
    <x v="1"/>
    <s v="HIGH"/>
    <n v="66441.866699999999"/>
    <n v="-0.7276435590812218"/>
    <s v="HIGH RISK"/>
  </r>
  <r>
    <s v="L0993"/>
    <x v="93"/>
    <s v="B0993"/>
    <x v="0"/>
    <n v="4191"/>
    <n v="20.2"/>
    <n v="36"/>
    <x v="1"/>
    <x v="0"/>
    <x v="1"/>
    <n v="77111"/>
    <s v="OWN"/>
    <n v="0.49"/>
    <n v="0.61"/>
    <n v="1379.36"/>
    <n v="0"/>
    <n v="36"/>
    <n v="2539.7460000000001"/>
    <n v="6730.7460000000001"/>
    <n v="-2811.6400000000003"/>
    <n v="0"/>
    <x v="1"/>
    <s v="LOW"/>
    <n v="7054.85"/>
    <n v="-0.67087568599379632"/>
    <s v="HIGH RISK"/>
  </r>
  <r>
    <s v="L0994"/>
    <x v="451"/>
    <s v="B0994"/>
    <x v="0"/>
    <n v="34160"/>
    <n v="15.9"/>
    <n v="36"/>
    <x v="3"/>
    <x v="5"/>
    <x v="0"/>
    <n v="69613"/>
    <s v="MORTGAGE"/>
    <n v="0.34"/>
    <n v="0.64"/>
    <n v="8992.9599999999991"/>
    <n v="10741.33"/>
    <n v="60"/>
    <n v="16294.32"/>
    <n v="50454.32"/>
    <n v="-14425.71"/>
    <n v="1"/>
    <x v="2"/>
    <s v="MEDIUM"/>
    <n v="45262"/>
    <n v="-0.42229830210772829"/>
    <s v="NORMAL"/>
  </r>
  <r>
    <s v="L0995"/>
    <x v="254"/>
    <s v="B0995"/>
    <x v="3"/>
    <n v="26000"/>
    <n v="8.6"/>
    <n v="60"/>
    <x v="1"/>
    <x v="0"/>
    <x v="1"/>
    <n v="115678"/>
    <s v="OWN"/>
    <n v="0.3"/>
    <n v="0.72"/>
    <n v="9955.6200000000008"/>
    <n v="0"/>
    <n v="35"/>
    <n v="11180"/>
    <n v="37180"/>
    <n v="-16044.38"/>
    <n v="0"/>
    <x v="1"/>
    <s v="LOW"/>
    <n v="18633.333299999998"/>
    <n v="-0.61709153846153841"/>
    <s v="NORMAL"/>
  </r>
  <r>
    <s v="L0996"/>
    <x v="220"/>
    <s v="B0996"/>
    <x v="4"/>
    <n v="4631"/>
    <n v="14.2"/>
    <n v="36"/>
    <x v="1"/>
    <x v="4"/>
    <x v="3"/>
    <n v="132928"/>
    <s v="RENT"/>
    <n v="0.45"/>
    <n v="0.53"/>
    <n v="1702.69"/>
    <n v="0"/>
    <n v="58"/>
    <n v="1972.8059999999998"/>
    <n v="6603.8059999999996"/>
    <n v="-2928.31"/>
    <n v="0"/>
    <x v="1"/>
    <s v="LOW"/>
    <n v="5480.0167000000001"/>
    <n v="-0.63232779097387171"/>
    <s v="HIGH RISK"/>
  </r>
  <r>
    <s v="L0997"/>
    <x v="659"/>
    <s v="B0997"/>
    <x v="6"/>
    <n v="7172"/>
    <n v="16.2"/>
    <n v="60"/>
    <x v="0"/>
    <x v="4"/>
    <x v="1"/>
    <n v="89993"/>
    <s v="RENT"/>
    <n v="0.48"/>
    <n v="0.78"/>
    <n v="8333.86"/>
    <n v="0"/>
    <n v="61"/>
    <n v="5809.32"/>
    <n v="12981.32"/>
    <n v="1161.8600000000006"/>
    <n v="0"/>
    <x v="0"/>
    <s v="LOW"/>
    <n v="9682.2000000000007"/>
    <n v="0.16199944227551596"/>
    <s v="HIGH RISK"/>
  </r>
  <r>
    <s v="L0998"/>
    <x v="83"/>
    <s v="B0998"/>
    <x v="1"/>
    <n v="24561"/>
    <n v="22.3"/>
    <n v="36"/>
    <x v="3"/>
    <x v="4"/>
    <x v="0"/>
    <n v="38848"/>
    <s v="RENT"/>
    <n v="0.4"/>
    <n v="0.94"/>
    <n v="6392.17"/>
    <n v="9431.07"/>
    <n v="61"/>
    <n v="16431.309000000001"/>
    <n v="40992.309000000001"/>
    <n v="-8737.76"/>
    <n v="1"/>
    <x v="2"/>
    <s v="LOW"/>
    <n v="45642.525000000001"/>
    <n v="-0.35575750173038556"/>
    <s v="HIGH RISK"/>
  </r>
  <r>
    <s v="L0999"/>
    <x v="391"/>
    <s v="B0999"/>
    <x v="7"/>
    <n v="25817"/>
    <n v="14.6"/>
    <n v="36"/>
    <x v="1"/>
    <x v="5"/>
    <x v="2"/>
    <n v="144853"/>
    <s v="MORTGAGE"/>
    <n v="0.28000000000000003"/>
    <n v="0.66"/>
    <n v="9178.11"/>
    <n v="0"/>
    <n v="31"/>
    <n v="11307.846"/>
    <n v="37124.845999999998"/>
    <n v="-16638.89"/>
    <n v="0"/>
    <x v="1"/>
    <s v="MEDIUM"/>
    <n v="31410.683300000001"/>
    <n v="-0.64449355076112635"/>
    <s v="NORMAL"/>
  </r>
  <r>
    <s v="L1000"/>
    <x v="440"/>
    <s v="B1000"/>
    <x v="1"/>
    <n v="21281"/>
    <n v="23"/>
    <n v="60"/>
    <x v="0"/>
    <x v="2"/>
    <x v="4"/>
    <n v="108672"/>
    <s v="MORTGAGE"/>
    <n v="0.34"/>
    <n v="0.84"/>
    <n v="26175.63"/>
    <n v="0"/>
    <n v="61"/>
    <n v="24473.149999999998"/>
    <n v="45754.149999999994"/>
    <n v="4894.630000000001"/>
    <n v="0"/>
    <x v="0"/>
    <s v="VERY HIGH"/>
    <n v="40788.583299999998"/>
    <n v="0.23000000000000004"/>
    <s v="HIGH 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BF1582-64BD-4679-AFF6-EA96B9CCE909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 rowHeaderCaption="Loan status">
  <location ref="A3:C7" firstHeaderRow="0" firstDataRow="1" firstDataCol="1"/>
  <pivotFields count="29">
    <pivotField dataField="1" showAll="0"/>
    <pivotField numFmtId="14" showAll="0">
      <items count="661">
        <item x="437"/>
        <item x="136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207"/>
        <item x="221"/>
        <item x="240"/>
        <item x="30"/>
        <item x="15"/>
        <item x="301"/>
        <item x="515"/>
        <item x="198"/>
        <item x="504"/>
        <item x="373"/>
        <item x="620"/>
        <item x="440"/>
        <item x="44"/>
        <item x="238"/>
        <item x="339"/>
        <item x="195"/>
        <item x="380"/>
        <item x="83"/>
        <item x="659"/>
        <item x="473"/>
        <item x="264"/>
        <item x="493"/>
        <item x="249"/>
        <item x="470"/>
        <item x="179"/>
        <item x="628"/>
        <item x="502"/>
        <item x="393"/>
        <item x="653"/>
        <item x="480"/>
        <item x="342"/>
        <item x="428"/>
        <item x="72"/>
        <item x="516"/>
        <item x="468"/>
        <item x="451"/>
        <item x="348"/>
        <item x="505"/>
        <item x="396"/>
        <item x="462"/>
        <item x="645"/>
        <item x="436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455"/>
        <item x="94"/>
        <item x="453"/>
        <item x="181"/>
        <item x="431"/>
        <item x="492"/>
        <item x="359"/>
        <item x="474"/>
        <item x="135"/>
        <item x="627"/>
        <item x="326"/>
        <item x="277"/>
        <item x="444"/>
        <item x="273"/>
        <item x="2"/>
        <item x="144"/>
        <item x="472"/>
        <item x="596"/>
        <item x="220"/>
        <item x="585"/>
        <item x="7"/>
        <item x="560"/>
        <item x="463"/>
        <item x="392"/>
        <item x="85"/>
        <item x="466"/>
        <item x="547"/>
        <item x="544"/>
        <item x="590"/>
        <item x="565"/>
        <item x="152"/>
        <item x="514"/>
        <item x="425"/>
        <item x="159"/>
        <item x="614"/>
        <item x="251"/>
        <item x="165"/>
        <item x="178"/>
        <item x="183"/>
        <item x="287"/>
        <item x="227"/>
        <item x="612"/>
        <item x="575"/>
        <item x="208"/>
        <item x="311"/>
        <item x="188"/>
        <item x="52"/>
        <item x="636"/>
        <item x="459"/>
        <item x="32"/>
        <item x="371"/>
        <item x="552"/>
        <item x="381"/>
        <item x="345"/>
        <item x="214"/>
        <item x="637"/>
        <item x="467"/>
        <item x="154"/>
        <item x="67"/>
        <item x="24"/>
        <item x="217"/>
        <item x="335"/>
        <item x="537"/>
        <item x="578"/>
        <item x="149"/>
        <item x="86"/>
        <item x="53"/>
        <item x="143"/>
        <item x="471"/>
        <item x="45"/>
        <item x="106"/>
        <item x="176"/>
        <item x="488"/>
        <item x="618"/>
        <item x="582"/>
        <item x="65"/>
        <item x="296"/>
        <item x="138"/>
        <item x="426"/>
        <item x="542"/>
        <item x="199"/>
        <item x="517"/>
        <item x="529"/>
        <item x="196"/>
        <item x="81"/>
        <item x="485"/>
        <item x="363"/>
        <item x="446"/>
        <item x="656"/>
        <item x="489"/>
        <item x="37"/>
        <item x="526"/>
        <item x="609"/>
        <item x="230"/>
        <item x="141"/>
        <item x="458"/>
        <item x="442"/>
        <item x="16"/>
        <item x="171"/>
        <item x="419"/>
        <item x="309"/>
        <item x="549"/>
        <item x="551"/>
        <item x="166"/>
        <item x="258"/>
        <item x="349"/>
        <item x="445"/>
        <item x="269"/>
        <item x="55"/>
        <item x="13"/>
        <item x="340"/>
        <item x="147"/>
        <item x="477"/>
        <item x="201"/>
        <item x="316"/>
        <item x="623"/>
        <item x="79"/>
        <item x="146"/>
        <item x="59"/>
        <item x="213"/>
        <item x="500"/>
        <item x="253"/>
        <item x="607"/>
        <item x="252"/>
        <item x="522"/>
        <item x="35"/>
        <item x="130"/>
        <item x="546"/>
        <item x="241"/>
        <item x="583"/>
        <item x="540"/>
        <item x="617"/>
        <item x="633"/>
        <item x="554"/>
        <item x="642"/>
        <item x="4"/>
        <item x="556"/>
        <item x="308"/>
        <item x="494"/>
        <item x="61"/>
        <item x="374"/>
        <item x="299"/>
        <item x="615"/>
        <item x="9"/>
        <item x="167"/>
        <item x="610"/>
        <item x="388"/>
        <item x="491"/>
        <item x="593"/>
        <item x="300"/>
        <item x="403"/>
        <item x="476"/>
        <item x="510"/>
        <item x="506"/>
        <item x="270"/>
        <item x="604"/>
        <item x="405"/>
        <item x="423"/>
        <item x="557"/>
        <item x="80"/>
        <item x="68"/>
        <item x="140"/>
        <item x="11"/>
        <item x="387"/>
        <item x="33"/>
        <item x="447"/>
        <item x="417"/>
        <item x="570"/>
        <item x="77"/>
        <item x="105"/>
        <item x="346"/>
        <item x="317"/>
        <item x="102"/>
        <item x="243"/>
        <item x="145"/>
        <item x="50"/>
        <item x="158"/>
        <item x="177"/>
        <item x="432"/>
        <item x="92"/>
        <item x="235"/>
        <item x="329"/>
        <item x="325"/>
        <item x="78"/>
        <item x="574"/>
        <item x="564"/>
        <item x="520"/>
        <item x="622"/>
        <item x="298"/>
        <item x="452"/>
        <item x="197"/>
        <item x="132"/>
        <item x="632"/>
        <item x="257"/>
        <item x="347"/>
        <item x="457"/>
        <item x="439"/>
        <item x="421"/>
        <item x="635"/>
        <item x="172"/>
        <item x="350"/>
        <item x="57"/>
        <item x="333"/>
        <item x="14"/>
        <item x="414"/>
        <item x="155"/>
        <item x="3"/>
        <item x="532"/>
        <item x="638"/>
        <item x="192"/>
        <item x="246"/>
        <item x="164"/>
        <item x="297"/>
        <item x="19"/>
        <item x="383"/>
        <item x="209"/>
        <item x="572"/>
        <item x="114"/>
        <item x="283"/>
        <item x="160"/>
        <item x="228"/>
        <item x="634"/>
        <item x="369"/>
        <item x="69"/>
        <item x="657"/>
        <item x="212"/>
        <item x="319"/>
        <item x="375"/>
        <item x="412"/>
        <item x="91"/>
        <item x="534"/>
        <item x="389"/>
        <item x="42"/>
        <item x="182"/>
        <item x="21"/>
        <item x="242"/>
        <item x="280"/>
        <item x="646"/>
        <item x="306"/>
        <item x="580"/>
        <item x="211"/>
        <item x="73"/>
        <item x="302"/>
        <item x="486"/>
        <item x="118"/>
        <item x="503"/>
        <item x="543"/>
        <item x="483"/>
        <item x="513"/>
        <item x="233"/>
        <item x="408"/>
        <item x="116"/>
        <item x="461"/>
        <item x="527"/>
        <item x="469"/>
        <item x="205"/>
        <item x="530"/>
        <item x="576"/>
        <item x="162"/>
        <item x="655"/>
        <item x="571"/>
        <item x="121"/>
        <item x="545"/>
        <item x="282"/>
        <item x="616"/>
        <item x="27"/>
        <item x="111"/>
        <item x="39"/>
        <item x="48"/>
        <item x="603"/>
        <item x="358"/>
        <item x="222"/>
        <item x="536"/>
        <item x="250"/>
        <item x="119"/>
        <item x="569"/>
        <item x="285"/>
        <item x="180"/>
        <item x="366"/>
        <item x="624"/>
        <item x="76"/>
        <item x="519"/>
        <item x="343"/>
        <item x="579"/>
        <item x="34"/>
        <item x="482"/>
        <item x="323"/>
        <item x="215"/>
        <item x="153"/>
        <item x="658"/>
        <item x="98"/>
        <item x="562"/>
        <item x="327"/>
        <item x="518"/>
        <item x="168"/>
        <item x="498"/>
        <item x="224"/>
        <item x="586"/>
        <item x="126"/>
        <item x="652"/>
        <item x="125"/>
        <item x="279"/>
        <item x="271"/>
        <item x="501"/>
        <item x="190"/>
        <item x="163"/>
        <item x="137"/>
        <item x="99"/>
        <item x="484"/>
        <item x="123"/>
        <item x="29"/>
        <item x="74"/>
        <item x="129"/>
        <item x="382"/>
        <item x="244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621"/>
        <item x="394"/>
        <item x="443"/>
        <item x="332"/>
        <item x="43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289"/>
        <item x="407"/>
        <item x="134"/>
        <item x="22"/>
        <item x="49"/>
        <item x="284"/>
        <item x="649"/>
        <item x="420"/>
        <item x="128"/>
        <item x="589"/>
        <item x="379"/>
        <item x="539"/>
        <item x="438"/>
        <item x="351"/>
        <item x="499"/>
        <item x="60"/>
        <item x="654"/>
        <item x="619"/>
        <item x="541"/>
        <item x="559"/>
        <item x="96"/>
        <item x="248"/>
        <item x="330"/>
        <item x="51"/>
        <item x="409"/>
        <item x="362"/>
        <item x="352"/>
        <item x="400"/>
        <item x="454"/>
        <item x="336"/>
        <item x="411"/>
        <item x="276"/>
        <item x="110"/>
        <item x="647"/>
        <item x="17"/>
        <item x="115"/>
        <item x="194"/>
        <item x="365"/>
        <item x="151"/>
        <item x="320"/>
        <item x="587"/>
        <item x="232"/>
        <item x="331"/>
        <item x="303"/>
        <item x="449"/>
        <item x="66"/>
        <item x="101"/>
        <item x="304"/>
        <item x="8"/>
        <item x="433"/>
        <item x="261"/>
        <item x="643"/>
        <item x="43"/>
        <item x="38"/>
        <item x="629"/>
        <item x="599"/>
        <item x="87"/>
        <item x="401"/>
        <item x="229"/>
        <item x="286"/>
        <item x="278"/>
        <item x="64"/>
        <item x="487"/>
        <item x="104"/>
        <item x="124"/>
        <item x="464"/>
        <item x="200"/>
        <item x="563"/>
        <item x="189"/>
        <item x="281"/>
        <item x="496"/>
        <item x="93"/>
        <item x="10"/>
        <item x="512"/>
        <item x="600"/>
        <item x="395"/>
        <item x="56"/>
        <item x="568"/>
        <item x="186"/>
        <item x="266"/>
        <item x="390"/>
        <item x="602"/>
        <item x="328"/>
        <item x="429"/>
        <item x="236"/>
        <item x="384"/>
        <item x="274"/>
        <item x="28"/>
        <item x="631"/>
        <item x="247"/>
        <item x="142"/>
        <item x="254"/>
        <item x="31"/>
        <item x="524"/>
        <item x="584"/>
        <item x="548"/>
        <item x="538"/>
        <item x="475"/>
        <item x="321"/>
        <item x="353"/>
        <item x="312"/>
        <item x="427"/>
        <item x="225"/>
        <item x="139"/>
        <item x="18"/>
        <item x="456"/>
        <item x="0"/>
        <item x="109"/>
        <item x="581"/>
        <item x="265"/>
        <item x="410"/>
        <item x="103"/>
        <item x="6"/>
        <item x="341"/>
        <item x="377"/>
        <item x="262"/>
        <item x="185"/>
        <item x="62"/>
        <item x="169"/>
        <item x="418"/>
        <item x="148"/>
        <item x="354"/>
        <item x="397"/>
        <item x="595"/>
        <item x="357"/>
        <item x="108"/>
        <item x="385"/>
        <item x="310"/>
        <item x="170"/>
        <item x="40"/>
        <item x="525"/>
        <item x="465"/>
        <item x="550"/>
        <item x="237"/>
        <item x="650"/>
        <item x="416"/>
        <item x="639"/>
        <item x="555"/>
        <item x="295"/>
        <item x="370"/>
        <item x="184"/>
        <item x="644"/>
        <item x="558"/>
        <item x="450"/>
        <item x="334"/>
        <item x="234"/>
        <item x="573"/>
        <item x="415"/>
        <item x="219"/>
        <item x="161"/>
        <item x="88"/>
        <item x="391"/>
        <item x="361"/>
        <item x="267"/>
        <item x="608"/>
        <item x="611"/>
        <item x="651"/>
        <item x="640"/>
        <item x="372"/>
        <item x="535"/>
        <item x="356"/>
        <item x="577"/>
        <item x="133"/>
        <item x="368"/>
        <item x="157"/>
        <item x="12"/>
        <item x="187"/>
        <item x="25"/>
        <item x="413"/>
        <item x="202"/>
        <item x="97"/>
        <item x="226"/>
        <item x="613"/>
        <item x="402"/>
        <item x="606"/>
        <item x="324"/>
        <item x="398"/>
        <item x="245"/>
        <item x="127"/>
        <item x="23"/>
        <item x="337"/>
        <item x="218"/>
        <item x="150"/>
        <item x="601"/>
        <item x="460"/>
        <item x="591"/>
        <item x="626"/>
        <item x="448"/>
        <item x="263"/>
        <item x="216"/>
        <item x="54"/>
        <item x="288"/>
        <item x="256"/>
        <item x="259"/>
        <item x="567"/>
        <item x="594"/>
        <item x="292"/>
        <item x="625"/>
        <item x="294"/>
        <item x="122"/>
        <item x="597"/>
        <item x="174"/>
        <item x="305"/>
        <item x="58"/>
        <item x="82"/>
        <item x="203"/>
        <item x="112"/>
        <item x="47"/>
        <item x="648"/>
        <item x="386"/>
        <item x="46"/>
        <item x="509"/>
        <item x="100"/>
        <item x="508"/>
        <item x="406"/>
        <item x="367"/>
        <item x="399"/>
        <item x="107"/>
        <item x="307"/>
        <item x="344"/>
        <item x="1"/>
        <item x="193"/>
        <item x="434"/>
        <item x="355"/>
        <item x="495"/>
        <item x="84"/>
        <item x="598"/>
        <item x="89"/>
        <item x="117"/>
        <item x="173"/>
        <item x="231"/>
        <item x="528"/>
        <item x="70"/>
        <item x="360"/>
        <item x="315"/>
        <item x="210"/>
        <item x="291"/>
        <item x="90"/>
        <item x="206"/>
        <item x="481"/>
        <item x="63"/>
        <item x="255"/>
        <item x="490"/>
        <item x="275"/>
        <item x="20"/>
        <item x="75"/>
        <item x="424"/>
        <item x="290"/>
        <item x="37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4" baseField="0" baseItem="0"/>
    <dataField name="Count of Loan ID" fld="0" subtotal="count" baseField="0" baseItem="0"/>
  </dataFields>
  <chartFormats count="8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2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32" format="5">
      <pivotArea type="data" outline="0" fieldPosition="0">
        <references count="2">
          <reference field="4294967294" count="1" selected="0">
            <x v="1"/>
          </reference>
          <reference field="21" count="1" selected="0">
            <x v="0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1"/>
          </reference>
          <reference field="21" count="1" selected="0">
            <x v="1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1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BBC6D-029F-4363-A362-B290BBF0F2CB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Loan grade">
  <location ref="A3:B11" firstHeaderRow="1" firstDataRow="1" firstDataCol="1"/>
  <pivotFields count="29">
    <pivotField showAll="0"/>
    <pivotField numFmtId="14" showAll="0">
      <items count="661">
        <item x="437"/>
        <item x="136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207"/>
        <item x="221"/>
        <item x="240"/>
        <item x="30"/>
        <item x="15"/>
        <item x="301"/>
        <item x="515"/>
        <item x="198"/>
        <item x="504"/>
        <item x="373"/>
        <item x="620"/>
        <item x="440"/>
        <item x="44"/>
        <item x="238"/>
        <item x="339"/>
        <item x="195"/>
        <item x="380"/>
        <item x="83"/>
        <item x="659"/>
        <item x="473"/>
        <item x="264"/>
        <item x="493"/>
        <item x="249"/>
        <item x="470"/>
        <item x="179"/>
        <item x="628"/>
        <item x="502"/>
        <item x="393"/>
        <item x="653"/>
        <item x="480"/>
        <item x="342"/>
        <item x="428"/>
        <item x="72"/>
        <item x="516"/>
        <item x="468"/>
        <item x="451"/>
        <item x="348"/>
        <item x="505"/>
        <item x="396"/>
        <item x="462"/>
        <item x="645"/>
        <item x="436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455"/>
        <item x="94"/>
        <item x="453"/>
        <item x="181"/>
        <item x="431"/>
        <item x="492"/>
        <item x="359"/>
        <item x="474"/>
        <item x="135"/>
        <item x="627"/>
        <item x="326"/>
        <item x="277"/>
        <item x="444"/>
        <item x="273"/>
        <item x="2"/>
        <item x="144"/>
        <item x="472"/>
        <item x="596"/>
        <item x="220"/>
        <item x="585"/>
        <item x="7"/>
        <item x="560"/>
        <item x="463"/>
        <item x="392"/>
        <item x="85"/>
        <item x="466"/>
        <item x="547"/>
        <item x="544"/>
        <item x="590"/>
        <item x="565"/>
        <item x="152"/>
        <item x="514"/>
        <item x="425"/>
        <item x="159"/>
        <item x="614"/>
        <item x="251"/>
        <item x="165"/>
        <item x="178"/>
        <item x="183"/>
        <item x="287"/>
        <item x="227"/>
        <item x="612"/>
        <item x="575"/>
        <item x="208"/>
        <item x="311"/>
        <item x="188"/>
        <item x="52"/>
        <item x="636"/>
        <item x="459"/>
        <item x="32"/>
        <item x="371"/>
        <item x="552"/>
        <item x="381"/>
        <item x="345"/>
        <item x="214"/>
        <item x="637"/>
        <item x="467"/>
        <item x="154"/>
        <item x="67"/>
        <item x="24"/>
        <item x="217"/>
        <item x="335"/>
        <item x="537"/>
        <item x="578"/>
        <item x="149"/>
        <item x="86"/>
        <item x="53"/>
        <item x="143"/>
        <item x="471"/>
        <item x="45"/>
        <item x="106"/>
        <item x="176"/>
        <item x="488"/>
        <item x="618"/>
        <item x="582"/>
        <item x="65"/>
        <item x="296"/>
        <item x="138"/>
        <item x="426"/>
        <item x="542"/>
        <item x="199"/>
        <item x="517"/>
        <item x="529"/>
        <item x="196"/>
        <item x="81"/>
        <item x="485"/>
        <item x="363"/>
        <item x="446"/>
        <item x="656"/>
        <item x="489"/>
        <item x="37"/>
        <item x="526"/>
        <item x="609"/>
        <item x="230"/>
        <item x="141"/>
        <item x="458"/>
        <item x="442"/>
        <item x="16"/>
        <item x="171"/>
        <item x="419"/>
        <item x="309"/>
        <item x="549"/>
        <item x="551"/>
        <item x="166"/>
        <item x="258"/>
        <item x="349"/>
        <item x="445"/>
        <item x="269"/>
        <item x="55"/>
        <item x="13"/>
        <item x="340"/>
        <item x="147"/>
        <item x="477"/>
        <item x="201"/>
        <item x="316"/>
        <item x="623"/>
        <item x="79"/>
        <item x="146"/>
        <item x="59"/>
        <item x="213"/>
        <item x="500"/>
        <item x="253"/>
        <item x="607"/>
        <item x="252"/>
        <item x="522"/>
        <item x="35"/>
        <item x="130"/>
        <item x="546"/>
        <item x="241"/>
        <item x="583"/>
        <item x="540"/>
        <item x="617"/>
        <item x="633"/>
        <item x="554"/>
        <item x="642"/>
        <item x="4"/>
        <item x="556"/>
        <item x="308"/>
        <item x="494"/>
        <item x="61"/>
        <item x="374"/>
        <item x="299"/>
        <item x="615"/>
        <item x="9"/>
        <item x="167"/>
        <item x="610"/>
        <item x="388"/>
        <item x="491"/>
        <item x="593"/>
        <item x="300"/>
        <item x="403"/>
        <item x="476"/>
        <item x="510"/>
        <item x="506"/>
        <item x="270"/>
        <item x="604"/>
        <item x="405"/>
        <item x="423"/>
        <item x="557"/>
        <item x="80"/>
        <item x="68"/>
        <item x="140"/>
        <item x="11"/>
        <item x="387"/>
        <item x="33"/>
        <item x="447"/>
        <item x="417"/>
        <item x="570"/>
        <item x="77"/>
        <item x="105"/>
        <item x="346"/>
        <item x="317"/>
        <item x="102"/>
        <item x="243"/>
        <item x="145"/>
        <item x="50"/>
        <item x="158"/>
        <item x="177"/>
        <item x="432"/>
        <item x="92"/>
        <item x="235"/>
        <item x="329"/>
        <item x="325"/>
        <item x="78"/>
        <item x="574"/>
        <item x="564"/>
        <item x="520"/>
        <item x="622"/>
        <item x="298"/>
        <item x="452"/>
        <item x="197"/>
        <item x="132"/>
        <item x="632"/>
        <item x="257"/>
        <item x="347"/>
        <item x="457"/>
        <item x="439"/>
        <item x="421"/>
        <item x="635"/>
        <item x="172"/>
        <item x="350"/>
        <item x="57"/>
        <item x="333"/>
        <item x="14"/>
        <item x="414"/>
        <item x="155"/>
        <item x="3"/>
        <item x="532"/>
        <item x="638"/>
        <item x="192"/>
        <item x="246"/>
        <item x="164"/>
        <item x="297"/>
        <item x="19"/>
        <item x="383"/>
        <item x="209"/>
        <item x="572"/>
        <item x="114"/>
        <item x="283"/>
        <item x="160"/>
        <item x="228"/>
        <item x="634"/>
        <item x="369"/>
        <item x="69"/>
        <item x="657"/>
        <item x="212"/>
        <item x="319"/>
        <item x="375"/>
        <item x="412"/>
        <item x="91"/>
        <item x="534"/>
        <item x="389"/>
        <item x="42"/>
        <item x="182"/>
        <item x="21"/>
        <item x="242"/>
        <item x="280"/>
        <item x="646"/>
        <item x="306"/>
        <item x="580"/>
        <item x="211"/>
        <item x="73"/>
        <item x="302"/>
        <item x="486"/>
        <item x="118"/>
        <item x="503"/>
        <item x="543"/>
        <item x="483"/>
        <item x="513"/>
        <item x="233"/>
        <item x="408"/>
        <item x="116"/>
        <item x="461"/>
        <item x="527"/>
        <item x="469"/>
        <item x="205"/>
        <item x="530"/>
        <item x="576"/>
        <item x="162"/>
        <item x="655"/>
        <item x="571"/>
        <item x="121"/>
        <item x="545"/>
        <item x="282"/>
        <item x="616"/>
        <item x="27"/>
        <item x="111"/>
        <item x="39"/>
        <item x="48"/>
        <item x="603"/>
        <item x="358"/>
        <item x="222"/>
        <item x="536"/>
        <item x="250"/>
        <item x="119"/>
        <item x="569"/>
        <item x="285"/>
        <item x="180"/>
        <item x="366"/>
        <item x="624"/>
        <item x="76"/>
        <item x="519"/>
        <item x="343"/>
        <item x="579"/>
        <item x="34"/>
        <item x="482"/>
        <item x="323"/>
        <item x="215"/>
        <item x="153"/>
        <item x="658"/>
        <item x="98"/>
        <item x="562"/>
        <item x="327"/>
        <item x="518"/>
        <item x="168"/>
        <item x="498"/>
        <item x="224"/>
        <item x="586"/>
        <item x="126"/>
        <item x="652"/>
        <item x="125"/>
        <item x="279"/>
        <item x="271"/>
        <item x="501"/>
        <item x="190"/>
        <item x="163"/>
        <item x="137"/>
        <item x="99"/>
        <item x="484"/>
        <item x="123"/>
        <item x="29"/>
        <item x="74"/>
        <item x="129"/>
        <item x="382"/>
        <item x="244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621"/>
        <item x="394"/>
        <item x="443"/>
        <item x="332"/>
        <item x="43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289"/>
        <item x="407"/>
        <item x="134"/>
        <item x="22"/>
        <item x="49"/>
        <item x="284"/>
        <item x="649"/>
        <item x="420"/>
        <item x="128"/>
        <item x="589"/>
        <item x="379"/>
        <item x="539"/>
        <item x="438"/>
        <item x="351"/>
        <item x="499"/>
        <item x="60"/>
        <item x="654"/>
        <item x="619"/>
        <item x="541"/>
        <item x="559"/>
        <item x="96"/>
        <item x="248"/>
        <item x="330"/>
        <item x="51"/>
        <item x="409"/>
        <item x="362"/>
        <item x="352"/>
        <item x="400"/>
        <item x="454"/>
        <item x="336"/>
        <item x="411"/>
        <item x="276"/>
        <item x="110"/>
        <item x="647"/>
        <item x="17"/>
        <item x="115"/>
        <item x="194"/>
        <item x="365"/>
        <item x="151"/>
        <item x="320"/>
        <item x="587"/>
        <item x="232"/>
        <item x="331"/>
        <item x="303"/>
        <item x="449"/>
        <item x="66"/>
        <item x="101"/>
        <item x="304"/>
        <item x="8"/>
        <item x="433"/>
        <item x="261"/>
        <item x="643"/>
        <item x="43"/>
        <item x="38"/>
        <item x="629"/>
        <item x="599"/>
        <item x="87"/>
        <item x="401"/>
        <item x="229"/>
        <item x="286"/>
        <item x="278"/>
        <item x="64"/>
        <item x="487"/>
        <item x="104"/>
        <item x="124"/>
        <item x="464"/>
        <item x="200"/>
        <item x="563"/>
        <item x="189"/>
        <item x="281"/>
        <item x="496"/>
        <item x="93"/>
        <item x="10"/>
        <item x="512"/>
        <item x="600"/>
        <item x="395"/>
        <item x="56"/>
        <item x="568"/>
        <item x="186"/>
        <item x="266"/>
        <item x="390"/>
        <item x="602"/>
        <item x="328"/>
        <item x="429"/>
        <item x="236"/>
        <item x="384"/>
        <item x="274"/>
        <item x="28"/>
        <item x="631"/>
        <item x="247"/>
        <item x="142"/>
        <item x="254"/>
        <item x="31"/>
        <item x="524"/>
        <item x="584"/>
        <item x="548"/>
        <item x="538"/>
        <item x="475"/>
        <item x="321"/>
        <item x="353"/>
        <item x="312"/>
        <item x="427"/>
        <item x="225"/>
        <item x="139"/>
        <item x="18"/>
        <item x="456"/>
        <item x="0"/>
        <item x="109"/>
        <item x="581"/>
        <item x="265"/>
        <item x="410"/>
        <item x="103"/>
        <item x="6"/>
        <item x="341"/>
        <item x="377"/>
        <item x="262"/>
        <item x="185"/>
        <item x="62"/>
        <item x="169"/>
        <item x="418"/>
        <item x="148"/>
        <item x="354"/>
        <item x="397"/>
        <item x="595"/>
        <item x="357"/>
        <item x="108"/>
        <item x="385"/>
        <item x="310"/>
        <item x="170"/>
        <item x="40"/>
        <item x="525"/>
        <item x="465"/>
        <item x="550"/>
        <item x="237"/>
        <item x="650"/>
        <item x="416"/>
        <item x="639"/>
        <item x="555"/>
        <item x="295"/>
        <item x="370"/>
        <item x="184"/>
        <item x="644"/>
        <item x="558"/>
        <item x="450"/>
        <item x="334"/>
        <item x="234"/>
        <item x="573"/>
        <item x="415"/>
        <item x="219"/>
        <item x="161"/>
        <item x="88"/>
        <item x="391"/>
        <item x="361"/>
        <item x="267"/>
        <item x="608"/>
        <item x="611"/>
        <item x="651"/>
        <item x="640"/>
        <item x="372"/>
        <item x="535"/>
        <item x="356"/>
        <item x="577"/>
        <item x="133"/>
        <item x="368"/>
        <item x="157"/>
        <item x="12"/>
        <item x="187"/>
        <item x="25"/>
        <item x="413"/>
        <item x="202"/>
        <item x="97"/>
        <item x="226"/>
        <item x="613"/>
        <item x="402"/>
        <item x="606"/>
        <item x="324"/>
        <item x="398"/>
        <item x="245"/>
        <item x="127"/>
        <item x="23"/>
        <item x="337"/>
        <item x="218"/>
        <item x="150"/>
        <item x="601"/>
        <item x="460"/>
        <item x="591"/>
        <item x="626"/>
        <item x="448"/>
        <item x="263"/>
        <item x="216"/>
        <item x="54"/>
        <item x="288"/>
        <item x="256"/>
        <item x="259"/>
        <item x="567"/>
        <item x="594"/>
        <item x="292"/>
        <item x="625"/>
        <item x="294"/>
        <item x="122"/>
        <item x="597"/>
        <item x="174"/>
        <item x="305"/>
        <item x="58"/>
        <item x="82"/>
        <item x="203"/>
        <item x="112"/>
        <item x="47"/>
        <item x="648"/>
        <item x="386"/>
        <item x="46"/>
        <item x="509"/>
        <item x="100"/>
        <item x="508"/>
        <item x="406"/>
        <item x="367"/>
        <item x="399"/>
        <item x="107"/>
        <item x="307"/>
        <item x="344"/>
        <item x="1"/>
        <item x="193"/>
        <item x="434"/>
        <item x="355"/>
        <item x="495"/>
        <item x="84"/>
        <item x="598"/>
        <item x="89"/>
        <item x="117"/>
        <item x="173"/>
        <item x="231"/>
        <item x="528"/>
        <item x="70"/>
        <item x="360"/>
        <item x="315"/>
        <item x="210"/>
        <item x="291"/>
        <item x="90"/>
        <item x="206"/>
        <item x="481"/>
        <item x="63"/>
        <item x="255"/>
        <item x="490"/>
        <item x="275"/>
        <item x="20"/>
        <item x="75"/>
        <item x="424"/>
        <item x="290"/>
        <item x="376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8">
        <item x="0"/>
        <item x="4"/>
        <item x="5"/>
        <item x="1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Loan Amount" fld="4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3BB9B1-5C0F-434B-98D3-30DB228D622C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Loan intent">
  <location ref="A3:C9" firstHeaderRow="0" firstDataRow="1" firstDataCol="1"/>
  <pivotFields count="29">
    <pivotField dataField="1" showAll="0"/>
    <pivotField numFmtId="14" showAll="0">
      <items count="661">
        <item x="437"/>
        <item x="136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207"/>
        <item x="221"/>
        <item x="240"/>
        <item x="30"/>
        <item x="15"/>
        <item x="301"/>
        <item x="515"/>
        <item x="198"/>
        <item x="504"/>
        <item x="373"/>
        <item x="620"/>
        <item x="440"/>
        <item x="44"/>
        <item x="238"/>
        <item x="339"/>
        <item x="195"/>
        <item x="380"/>
        <item x="83"/>
        <item x="659"/>
        <item x="473"/>
        <item x="264"/>
        <item x="493"/>
        <item x="249"/>
        <item x="470"/>
        <item x="179"/>
        <item x="628"/>
        <item x="502"/>
        <item x="393"/>
        <item x="653"/>
        <item x="480"/>
        <item x="342"/>
        <item x="428"/>
        <item x="72"/>
        <item x="516"/>
        <item x="468"/>
        <item x="451"/>
        <item x="348"/>
        <item x="505"/>
        <item x="396"/>
        <item x="462"/>
        <item x="645"/>
        <item x="436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455"/>
        <item x="94"/>
        <item x="453"/>
        <item x="181"/>
        <item x="431"/>
        <item x="492"/>
        <item x="359"/>
        <item x="474"/>
        <item x="135"/>
        <item x="627"/>
        <item x="326"/>
        <item x="277"/>
        <item x="444"/>
        <item x="273"/>
        <item x="2"/>
        <item x="144"/>
        <item x="472"/>
        <item x="596"/>
        <item x="220"/>
        <item x="585"/>
        <item x="7"/>
        <item x="560"/>
        <item x="463"/>
        <item x="392"/>
        <item x="85"/>
        <item x="466"/>
        <item x="547"/>
        <item x="544"/>
        <item x="590"/>
        <item x="565"/>
        <item x="152"/>
        <item x="514"/>
        <item x="425"/>
        <item x="159"/>
        <item x="614"/>
        <item x="251"/>
        <item x="165"/>
        <item x="178"/>
        <item x="183"/>
        <item x="287"/>
        <item x="227"/>
        <item x="612"/>
        <item x="575"/>
        <item x="208"/>
        <item x="311"/>
        <item x="188"/>
        <item x="52"/>
        <item x="636"/>
        <item x="459"/>
        <item x="32"/>
        <item x="371"/>
        <item x="552"/>
        <item x="381"/>
        <item x="345"/>
        <item x="214"/>
        <item x="637"/>
        <item x="467"/>
        <item x="154"/>
        <item x="67"/>
        <item x="24"/>
        <item x="217"/>
        <item x="335"/>
        <item x="537"/>
        <item x="578"/>
        <item x="149"/>
        <item x="86"/>
        <item x="53"/>
        <item x="143"/>
        <item x="471"/>
        <item x="45"/>
        <item x="106"/>
        <item x="176"/>
        <item x="488"/>
        <item x="618"/>
        <item x="582"/>
        <item x="65"/>
        <item x="296"/>
        <item x="138"/>
        <item x="426"/>
        <item x="542"/>
        <item x="199"/>
        <item x="517"/>
        <item x="529"/>
        <item x="196"/>
        <item x="81"/>
        <item x="485"/>
        <item x="363"/>
        <item x="446"/>
        <item x="656"/>
        <item x="489"/>
        <item x="37"/>
        <item x="526"/>
        <item x="609"/>
        <item x="230"/>
        <item x="141"/>
        <item x="458"/>
        <item x="442"/>
        <item x="16"/>
        <item x="171"/>
        <item x="419"/>
        <item x="309"/>
        <item x="549"/>
        <item x="551"/>
        <item x="166"/>
        <item x="258"/>
        <item x="349"/>
        <item x="445"/>
        <item x="269"/>
        <item x="55"/>
        <item x="13"/>
        <item x="340"/>
        <item x="147"/>
        <item x="477"/>
        <item x="201"/>
        <item x="316"/>
        <item x="623"/>
        <item x="79"/>
        <item x="146"/>
        <item x="59"/>
        <item x="213"/>
        <item x="500"/>
        <item x="253"/>
        <item x="607"/>
        <item x="252"/>
        <item x="522"/>
        <item x="35"/>
        <item x="130"/>
        <item x="546"/>
        <item x="241"/>
        <item x="583"/>
        <item x="540"/>
        <item x="617"/>
        <item x="633"/>
        <item x="554"/>
        <item x="642"/>
        <item x="4"/>
        <item x="556"/>
        <item x="308"/>
        <item x="494"/>
        <item x="61"/>
        <item x="374"/>
        <item x="299"/>
        <item x="615"/>
        <item x="9"/>
        <item x="167"/>
        <item x="610"/>
        <item x="388"/>
        <item x="491"/>
        <item x="593"/>
        <item x="300"/>
        <item x="403"/>
        <item x="476"/>
        <item x="510"/>
        <item x="506"/>
        <item x="270"/>
        <item x="604"/>
        <item x="405"/>
        <item x="423"/>
        <item x="557"/>
        <item x="80"/>
        <item x="68"/>
        <item x="140"/>
        <item x="11"/>
        <item x="387"/>
        <item x="33"/>
        <item x="447"/>
        <item x="417"/>
        <item x="570"/>
        <item x="77"/>
        <item x="105"/>
        <item x="346"/>
        <item x="317"/>
        <item x="102"/>
        <item x="243"/>
        <item x="145"/>
        <item x="50"/>
        <item x="158"/>
        <item x="177"/>
        <item x="432"/>
        <item x="92"/>
        <item x="235"/>
        <item x="329"/>
        <item x="325"/>
        <item x="78"/>
        <item x="574"/>
        <item x="564"/>
        <item x="520"/>
        <item x="622"/>
        <item x="298"/>
        <item x="452"/>
        <item x="197"/>
        <item x="132"/>
        <item x="632"/>
        <item x="257"/>
        <item x="347"/>
        <item x="457"/>
        <item x="439"/>
        <item x="421"/>
        <item x="635"/>
        <item x="172"/>
        <item x="350"/>
        <item x="57"/>
        <item x="333"/>
        <item x="14"/>
        <item x="414"/>
        <item x="155"/>
        <item x="3"/>
        <item x="532"/>
        <item x="638"/>
        <item x="192"/>
        <item x="246"/>
        <item x="164"/>
        <item x="297"/>
        <item x="19"/>
        <item x="383"/>
        <item x="209"/>
        <item x="572"/>
        <item x="114"/>
        <item x="283"/>
        <item x="160"/>
        <item x="228"/>
        <item x="634"/>
        <item x="369"/>
        <item x="69"/>
        <item x="657"/>
        <item x="212"/>
        <item x="319"/>
        <item x="375"/>
        <item x="412"/>
        <item x="91"/>
        <item x="534"/>
        <item x="389"/>
        <item x="42"/>
        <item x="182"/>
        <item x="21"/>
        <item x="242"/>
        <item x="280"/>
        <item x="646"/>
        <item x="306"/>
        <item x="580"/>
        <item x="211"/>
        <item x="73"/>
        <item x="302"/>
        <item x="486"/>
        <item x="118"/>
        <item x="503"/>
        <item x="543"/>
        <item x="483"/>
        <item x="513"/>
        <item x="233"/>
        <item x="408"/>
        <item x="116"/>
        <item x="461"/>
        <item x="527"/>
        <item x="469"/>
        <item x="205"/>
        <item x="530"/>
        <item x="576"/>
        <item x="162"/>
        <item x="655"/>
        <item x="571"/>
        <item x="121"/>
        <item x="545"/>
        <item x="282"/>
        <item x="616"/>
        <item x="27"/>
        <item x="111"/>
        <item x="39"/>
        <item x="48"/>
        <item x="603"/>
        <item x="358"/>
        <item x="222"/>
        <item x="536"/>
        <item x="250"/>
        <item x="119"/>
        <item x="569"/>
        <item x="285"/>
        <item x="180"/>
        <item x="366"/>
        <item x="624"/>
        <item x="76"/>
        <item x="519"/>
        <item x="343"/>
        <item x="579"/>
        <item x="34"/>
        <item x="482"/>
        <item x="323"/>
        <item x="215"/>
        <item x="153"/>
        <item x="658"/>
        <item x="98"/>
        <item x="562"/>
        <item x="327"/>
        <item x="518"/>
        <item x="168"/>
        <item x="498"/>
        <item x="224"/>
        <item x="586"/>
        <item x="126"/>
        <item x="652"/>
        <item x="125"/>
        <item x="279"/>
        <item x="271"/>
        <item x="501"/>
        <item x="190"/>
        <item x="163"/>
        <item x="137"/>
        <item x="99"/>
        <item x="484"/>
        <item x="123"/>
        <item x="29"/>
        <item x="74"/>
        <item x="129"/>
        <item x="382"/>
        <item x="244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621"/>
        <item x="394"/>
        <item x="443"/>
        <item x="332"/>
        <item x="43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289"/>
        <item x="407"/>
        <item x="134"/>
        <item x="22"/>
        <item x="49"/>
        <item x="284"/>
        <item x="649"/>
        <item x="420"/>
        <item x="128"/>
        <item x="589"/>
        <item x="379"/>
        <item x="539"/>
        <item x="438"/>
        <item x="351"/>
        <item x="499"/>
        <item x="60"/>
        <item x="654"/>
        <item x="619"/>
        <item x="541"/>
        <item x="559"/>
        <item x="96"/>
        <item x="248"/>
        <item x="330"/>
        <item x="51"/>
        <item x="409"/>
        <item x="362"/>
        <item x="352"/>
        <item x="400"/>
        <item x="454"/>
        <item x="336"/>
        <item x="411"/>
        <item x="276"/>
        <item x="110"/>
        <item x="647"/>
        <item x="17"/>
        <item x="115"/>
        <item x="194"/>
        <item x="365"/>
        <item x="151"/>
        <item x="320"/>
        <item x="587"/>
        <item x="232"/>
        <item x="331"/>
        <item x="303"/>
        <item x="449"/>
        <item x="66"/>
        <item x="101"/>
        <item x="304"/>
        <item x="8"/>
        <item x="433"/>
        <item x="261"/>
        <item x="643"/>
        <item x="43"/>
        <item x="38"/>
        <item x="629"/>
        <item x="599"/>
        <item x="87"/>
        <item x="401"/>
        <item x="229"/>
        <item x="286"/>
        <item x="278"/>
        <item x="64"/>
        <item x="487"/>
        <item x="104"/>
        <item x="124"/>
        <item x="464"/>
        <item x="200"/>
        <item x="563"/>
        <item x="189"/>
        <item x="281"/>
        <item x="496"/>
        <item x="93"/>
        <item x="10"/>
        <item x="512"/>
        <item x="600"/>
        <item x="395"/>
        <item x="56"/>
        <item x="568"/>
        <item x="186"/>
        <item x="266"/>
        <item x="390"/>
        <item x="602"/>
        <item x="328"/>
        <item x="429"/>
        <item x="236"/>
        <item x="384"/>
        <item x="274"/>
        <item x="28"/>
        <item x="631"/>
        <item x="247"/>
        <item x="142"/>
        <item x="254"/>
        <item x="31"/>
        <item x="524"/>
        <item x="584"/>
        <item x="548"/>
        <item x="538"/>
        <item x="475"/>
        <item x="321"/>
        <item x="353"/>
        <item x="312"/>
        <item x="427"/>
        <item x="225"/>
        <item x="139"/>
        <item x="18"/>
        <item x="456"/>
        <item x="0"/>
        <item x="109"/>
        <item x="581"/>
        <item x="265"/>
        <item x="410"/>
        <item x="103"/>
        <item x="6"/>
        <item x="341"/>
        <item x="377"/>
        <item x="262"/>
        <item x="185"/>
        <item x="62"/>
        <item x="169"/>
        <item x="418"/>
        <item x="148"/>
        <item x="354"/>
        <item x="397"/>
        <item x="595"/>
        <item x="357"/>
        <item x="108"/>
        <item x="385"/>
        <item x="310"/>
        <item x="170"/>
        <item x="40"/>
        <item x="525"/>
        <item x="465"/>
        <item x="550"/>
        <item x="237"/>
        <item x="650"/>
        <item x="416"/>
        <item x="639"/>
        <item x="555"/>
        <item x="295"/>
        <item x="370"/>
        <item x="184"/>
        <item x="644"/>
        <item x="558"/>
        <item x="450"/>
        <item x="334"/>
        <item x="234"/>
        <item x="573"/>
        <item x="415"/>
        <item x="219"/>
        <item x="161"/>
        <item x="88"/>
        <item x="391"/>
        <item x="361"/>
        <item x="267"/>
        <item x="608"/>
        <item x="611"/>
        <item x="651"/>
        <item x="640"/>
        <item x="372"/>
        <item x="535"/>
        <item x="356"/>
        <item x="577"/>
        <item x="133"/>
        <item x="368"/>
        <item x="157"/>
        <item x="12"/>
        <item x="187"/>
        <item x="25"/>
        <item x="413"/>
        <item x="202"/>
        <item x="97"/>
        <item x="226"/>
        <item x="613"/>
        <item x="402"/>
        <item x="606"/>
        <item x="324"/>
        <item x="398"/>
        <item x="245"/>
        <item x="127"/>
        <item x="23"/>
        <item x="337"/>
        <item x="218"/>
        <item x="150"/>
        <item x="601"/>
        <item x="460"/>
        <item x="591"/>
        <item x="626"/>
        <item x="448"/>
        <item x="263"/>
        <item x="216"/>
        <item x="54"/>
        <item x="288"/>
        <item x="256"/>
        <item x="259"/>
        <item x="567"/>
        <item x="594"/>
        <item x="292"/>
        <item x="625"/>
        <item x="294"/>
        <item x="122"/>
        <item x="597"/>
        <item x="174"/>
        <item x="305"/>
        <item x="58"/>
        <item x="82"/>
        <item x="203"/>
        <item x="112"/>
        <item x="47"/>
        <item x="648"/>
        <item x="386"/>
        <item x="46"/>
        <item x="509"/>
        <item x="100"/>
        <item x="508"/>
        <item x="406"/>
        <item x="367"/>
        <item x="399"/>
        <item x="107"/>
        <item x="307"/>
        <item x="344"/>
        <item x="1"/>
        <item x="193"/>
        <item x="434"/>
        <item x="355"/>
        <item x="495"/>
        <item x="84"/>
        <item x="598"/>
        <item x="89"/>
        <item x="117"/>
        <item x="173"/>
        <item x="231"/>
        <item x="528"/>
        <item x="70"/>
        <item x="360"/>
        <item x="315"/>
        <item x="210"/>
        <item x="291"/>
        <item x="90"/>
        <item x="206"/>
        <item x="481"/>
        <item x="63"/>
        <item x="255"/>
        <item x="490"/>
        <item x="275"/>
        <item x="20"/>
        <item x="75"/>
        <item x="424"/>
        <item x="290"/>
        <item x="37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 ID" fld="0" subtotal="count" baseField="0" baseItem="0"/>
    <dataField name="Sum of Loan Amount" fld="4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B636FD-473E-4C50-A544-A25324BA20A0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Month">
  <location ref="A3:B16" firstHeaderRow="1" firstDataRow="1" firstDataCol="1"/>
  <pivotFields count="29">
    <pivotField dataField="1" showAll="0"/>
    <pivotField axis="axisRow" numFmtId="14" showAll="0">
      <items count="661">
        <item x="437"/>
        <item x="136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207"/>
        <item x="221"/>
        <item x="240"/>
        <item x="30"/>
        <item x="15"/>
        <item x="301"/>
        <item x="515"/>
        <item x="198"/>
        <item x="504"/>
        <item x="373"/>
        <item x="620"/>
        <item x="440"/>
        <item x="44"/>
        <item x="238"/>
        <item x="339"/>
        <item x="195"/>
        <item x="380"/>
        <item x="83"/>
        <item x="659"/>
        <item x="473"/>
        <item x="264"/>
        <item x="493"/>
        <item x="249"/>
        <item x="470"/>
        <item x="179"/>
        <item x="628"/>
        <item x="502"/>
        <item x="393"/>
        <item x="653"/>
        <item x="480"/>
        <item x="342"/>
        <item x="428"/>
        <item x="72"/>
        <item x="516"/>
        <item x="468"/>
        <item x="451"/>
        <item x="348"/>
        <item x="505"/>
        <item x="396"/>
        <item x="462"/>
        <item x="645"/>
        <item x="436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455"/>
        <item x="94"/>
        <item x="453"/>
        <item x="181"/>
        <item x="431"/>
        <item x="492"/>
        <item x="359"/>
        <item x="474"/>
        <item x="135"/>
        <item x="627"/>
        <item x="326"/>
        <item x="277"/>
        <item x="444"/>
        <item x="273"/>
        <item x="2"/>
        <item x="144"/>
        <item x="472"/>
        <item x="596"/>
        <item x="220"/>
        <item x="585"/>
        <item x="7"/>
        <item x="560"/>
        <item x="463"/>
        <item x="392"/>
        <item x="85"/>
        <item x="466"/>
        <item x="547"/>
        <item x="544"/>
        <item x="590"/>
        <item x="565"/>
        <item x="152"/>
        <item x="514"/>
        <item x="425"/>
        <item x="159"/>
        <item x="614"/>
        <item x="251"/>
        <item x="165"/>
        <item x="178"/>
        <item x="183"/>
        <item x="287"/>
        <item x="227"/>
        <item x="612"/>
        <item x="575"/>
        <item x="208"/>
        <item x="311"/>
        <item x="188"/>
        <item x="52"/>
        <item x="636"/>
        <item x="459"/>
        <item x="32"/>
        <item x="371"/>
        <item x="552"/>
        <item x="381"/>
        <item x="345"/>
        <item x="214"/>
        <item x="637"/>
        <item x="467"/>
        <item x="154"/>
        <item x="67"/>
        <item x="24"/>
        <item x="217"/>
        <item x="335"/>
        <item x="537"/>
        <item x="578"/>
        <item x="149"/>
        <item x="86"/>
        <item x="53"/>
        <item x="143"/>
        <item x="471"/>
        <item x="45"/>
        <item x="106"/>
        <item x="176"/>
        <item x="488"/>
        <item x="618"/>
        <item x="582"/>
        <item x="65"/>
        <item x="296"/>
        <item x="138"/>
        <item x="426"/>
        <item x="542"/>
        <item x="199"/>
        <item x="517"/>
        <item x="529"/>
        <item x="196"/>
        <item x="81"/>
        <item x="485"/>
        <item x="363"/>
        <item x="446"/>
        <item x="656"/>
        <item x="489"/>
        <item x="37"/>
        <item x="526"/>
        <item x="609"/>
        <item x="230"/>
        <item x="141"/>
        <item x="458"/>
        <item x="442"/>
        <item x="16"/>
        <item x="171"/>
        <item x="419"/>
        <item x="309"/>
        <item x="549"/>
        <item x="551"/>
        <item x="166"/>
        <item x="258"/>
        <item x="349"/>
        <item x="445"/>
        <item x="269"/>
        <item x="55"/>
        <item x="13"/>
        <item x="340"/>
        <item x="147"/>
        <item x="477"/>
        <item x="201"/>
        <item x="316"/>
        <item x="623"/>
        <item x="79"/>
        <item x="146"/>
        <item x="59"/>
        <item x="213"/>
        <item x="500"/>
        <item x="253"/>
        <item x="607"/>
        <item x="252"/>
        <item x="522"/>
        <item x="35"/>
        <item x="130"/>
        <item x="546"/>
        <item x="241"/>
        <item x="583"/>
        <item x="540"/>
        <item x="617"/>
        <item x="633"/>
        <item x="554"/>
        <item x="642"/>
        <item x="4"/>
        <item x="556"/>
        <item x="308"/>
        <item x="494"/>
        <item x="61"/>
        <item x="374"/>
        <item x="299"/>
        <item x="615"/>
        <item x="9"/>
        <item x="167"/>
        <item x="610"/>
        <item x="388"/>
        <item x="491"/>
        <item x="593"/>
        <item x="300"/>
        <item x="403"/>
        <item x="476"/>
        <item x="510"/>
        <item x="506"/>
        <item x="270"/>
        <item x="604"/>
        <item x="405"/>
        <item x="423"/>
        <item x="557"/>
        <item x="80"/>
        <item x="68"/>
        <item x="140"/>
        <item x="11"/>
        <item x="387"/>
        <item x="33"/>
        <item x="447"/>
        <item x="417"/>
        <item x="570"/>
        <item x="77"/>
        <item x="105"/>
        <item x="346"/>
        <item x="317"/>
        <item x="102"/>
        <item x="243"/>
        <item x="145"/>
        <item x="50"/>
        <item x="158"/>
        <item x="177"/>
        <item x="432"/>
        <item x="92"/>
        <item x="235"/>
        <item x="329"/>
        <item x="325"/>
        <item x="78"/>
        <item x="574"/>
        <item x="564"/>
        <item x="520"/>
        <item x="622"/>
        <item x="298"/>
        <item x="452"/>
        <item x="197"/>
        <item x="132"/>
        <item x="632"/>
        <item x="257"/>
        <item x="347"/>
        <item x="457"/>
        <item x="439"/>
        <item x="421"/>
        <item x="635"/>
        <item x="172"/>
        <item x="350"/>
        <item x="57"/>
        <item x="333"/>
        <item x="14"/>
        <item x="414"/>
        <item x="155"/>
        <item x="3"/>
        <item x="532"/>
        <item x="638"/>
        <item x="192"/>
        <item x="246"/>
        <item x="164"/>
        <item x="297"/>
        <item x="19"/>
        <item x="383"/>
        <item x="209"/>
        <item x="572"/>
        <item x="114"/>
        <item x="283"/>
        <item x="160"/>
        <item x="228"/>
        <item x="634"/>
        <item x="369"/>
        <item x="69"/>
        <item x="657"/>
        <item x="212"/>
        <item x="319"/>
        <item x="375"/>
        <item x="412"/>
        <item x="91"/>
        <item x="534"/>
        <item x="389"/>
        <item x="42"/>
        <item x="182"/>
        <item x="21"/>
        <item x="242"/>
        <item x="280"/>
        <item x="646"/>
        <item x="306"/>
        <item x="580"/>
        <item x="211"/>
        <item x="73"/>
        <item x="302"/>
        <item x="486"/>
        <item x="118"/>
        <item x="503"/>
        <item x="543"/>
        <item x="483"/>
        <item x="513"/>
        <item x="233"/>
        <item x="408"/>
        <item x="116"/>
        <item x="461"/>
        <item x="527"/>
        <item x="469"/>
        <item x="205"/>
        <item x="530"/>
        <item x="576"/>
        <item x="162"/>
        <item x="655"/>
        <item x="571"/>
        <item x="121"/>
        <item x="545"/>
        <item x="282"/>
        <item x="616"/>
        <item x="27"/>
        <item x="111"/>
        <item x="39"/>
        <item x="48"/>
        <item x="603"/>
        <item x="358"/>
        <item x="222"/>
        <item x="536"/>
        <item x="250"/>
        <item x="119"/>
        <item x="569"/>
        <item x="285"/>
        <item x="180"/>
        <item x="366"/>
        <item x="624"/>
        <item x="76"/>
        <item x="519"/>
        <item x="343"/>
        <item x="579"/>
        <item x="34"/>
        <item x="482"/>
        <item x="323"/>
        <item x="215"/>
        <item x="153"/>
        <item x="658"/>
        <item x="98"/>
        <item x="562"/>
        <item x="327"/>
        <item x="518"/>
        <item x="168"/>
        <item x="498"/>
        <item x="224"/>
        <item x="586"/>
        <item x="126"/>
        <item x="652"/>
        <item x="125"/>
        <item x="279"/>
        <item x="271"/>
        <item x="501"/>
        <item x="190"/>
        <item x="163"/>
        <item x="137"/>
        <item x="99"/>
        <item x="484"/>
        <item x="123"/>
        <item x="29"/>
        <item x="74"/>
        <item x="129"/>
        <item x="382"/>
        <item x="244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621"/>
        <item x="394"/>
        <item x="443"/>
        <item x="332"/>
        <item x="43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289"/>
        <item x="407"/>
        <item x="134"/>
        <item x="22"/>
        <item x="49"/>
        <item x="284"/>
        <item x="649"/>
        <item x="420"/>
        <item x="128"/>
        <item x="589"/>
        <item x="379"/>
        <item x="539"/>
        <item x="438"/>
        <item x="351"/>
        <item x="499"/>
        <item x="60"/>
        <item x="654"/>
        <item x="619"/>
        <item x="541"/>
        <item x="559"/>
        <item x="96"/>
        <item x="248"/>
        <item x="330"/>
        <item x="51"/>
        <item x="409"/>
        <item x="362"/>
        <item x="352"/>
        <item x="400"/>
        <item x="454"/>
        <item x="336"/>
        <item x="411"/>
        <item x="276"/>
        <item x="110"/>
        <item x="647"/>
        <item x="17"/>
        <item x="115"/>
        <item x="194"/>
        <item x="365"/>
        <item x="151"/>
        <item x="320"/>
        <item x="587"/>
        <item x="232"/>
        <item x="331"/>
        <item x="303"/>
        <item x="449"/>
        <item x="66"/>
        <item x="101"/>
        <item x="304"/>
        <item x="8"/>
        <item x="433"/>
        <item x="261"/>
        <item x="643"/>
        <item x="43"/>
        <item x="38"/>
        <item x="629"/>
        <item x="599"/>
        <item x="87"/>
        <item x="401"/>
        <item x="229"/>
        <item x="286"/>
        <item x="278"/>
        <item x="64"/>
        <item x="487"/>
        <item x="104"/>
        <item x="124"/>
        <item x="464"/>
        <item x="200"/>
        <item x="563"/>
        <item x="189"/>
        <item x="281"/>
        <item x="496"/>
        <item x="93"/>
        <item x="10"/>
        <item x="512"/>
        <item x="600"/>
        <item x="395"/>
        <item x="56"/>
        <item x="568"/>
        <item x="186"/>
        <item x="266"/>
        <item x="390"/>
        <item x="602"/>
        <item x="328"/>
        <item x="429"/>
        <item x="236"/>
        <item x="384"/>
        <item x="274"/>
        <item x="28"/>
        <item x="631"/>
        <item x="247"/>
        <item x="142"/>
        <item x="254"/>
        <item x="31"/>
        <item x="524"/>
        <item x="584"/>
        <item x="548"/>
        <item x="538"/>
        <item x="475"/>
        <item x="321"/>
        <item x="353"/>
        <item x="312"/>
        <item x="427"/>
        <item x="225"/>
        <item x="139"/>
        <item x="18"/>
        <item x="456"/>
        <item x="0"/>
        <item x="109"/>
        <item x="581"/>
        <item x="265"/>
        <item x="410"/>
        <item x="103"/>
        <item x="6"/>
        <item x="341"/>
        <item x="377"/>
        <item x="262"/>
        <item x="185"/>
        <item x="62"/>
        <item x="169"/>
        <item x="418"/>
        <item x="148"/>
        <item x="354"/>
        <item x="397"/>
        <item x="595"/>
        <item x="357"/>
        <item x="108"/>
        <item x="385"/>
        <item x="310"/>
        <item x="170"/>
        <item x="40"/>
        <item x="525"/>
        <item x="465"/>
        <item x="550"/>
        <item x="237"/>
        <item x="650"/>
        <item x="416"/>
        <item x="639"/>
        <item x="555"/>
        <item x="295"/>
        <item x="370"/>
        <item x="184"/>
        <item x="644"/>
        <item x="558"/>
        <item x="450"/>
        <item x="334"/>
        <item x="234"/>
        <item x="573"/>
        <item x="415"/>
        <item x="219"/>
        <item x="161"/>
        <item x="88"/>
        <item x="391"/>
        <item x="361"/>
        <item x="267"/>
        <item x="608"/>
        <item x="611"/>
        <item x="651"/>
        <item x="640"/>
        <item x="372"/>
        <item x="535"/>
        <item x="356"/>
        <item x="577"/>
        <item x="133"/>
        <item x="368"/>
        <item x="157"/>
        <item x="12"/>
        <item x="187"/>
        <item x="25"/>
        <item x="413"/>
        <item x="202"/>
        <item x="97"/>
        <item x="226"/>
        <item x="613"/>
        <item x="402"/>
        <item x="606"/>
        <item x="324"/>
        <item x="398"/>
        <item x="245"/>
        <item x="127"/>
        <item x="23"/>
        <item x="337"/>
        <item x="218"/>
        <item x="150"/>
        <item x="601"/>
        <item x="460"/>
        <item x="591"/>
        <item x="626"/>
        <item x="448"/>
        <item x="263"/>
        <item x="216"/>
        <item x="54"/>
        <item x="288"/>
        <item x="256"/>
        <item x="259"/>
        <item x="567"/>
        <item x="594"/>
        <item x="292"/>
        <item x="625"/>
        <item x="294"/>
        <item x="122"/>
        <item x="597"/>
        <item x="174"/>
        <item x="305"/>
        <item x="58"/>
        <item x="82"/>
        <item x="203"/>
        <item x="112"/>
        <item x="47"/>
        <item x="648"/>
        <item x="386"/>
        <item x="46"/>
        <item x="509"/>
        <item x="100"/>
        <item x="508"/>
        <item x="406"/>
        <item x="367"/>
        <item x="399"/>
        <item x="107"/>
        <item x="307"/>
        <item x="344"/>
        <item x="1"/>
        <item x="193"/>
        <item x="434"/>
        <item x="355"/>
        <item x="495"/>
        <item x="84"/>
        <item x="598"/>
        <item x="89"/>
        <item x="117"/>
        <item x="173"/>
        <item x="231"/>
        <item x="528"/>
        <item x="70"/>
        <item x="360"/>
        <item x="315"/>
        <item x="210"/>
        <item x="291"/>
        <item x="90"/>
        <item x="206"/>
        <item x="481"/>
        <item x="63"/>
        <item x="255"/>
        <item x="490"/>
        <item x="275"/>
        <item x="20"/>
        <item x="75"/>
        <item x="424"/>
        <item x="290"/>
        <item x="37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26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Loan ID" fld="0" subtotal="count" baseField="0" baseItem="0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E7FC9-D414-425D-ABCA-C4FD5CAD7F92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Loan grade">
  <location ref="A3:C11" firstHeaderRow="0" firstDataRow="1" firstDataCol="1"/>
  <pivotFields count="29">
    <pivotField dataField="1" showAll="0"/>
    <pivotField numFmtId="14" showAll="0">
      <items count="661">
        <item x="437"/>
        <item x="136"/>
        <item x="533"/>
        <item x="260"/>
        <item x="531"/>
        <item x="641"/>
        <item x="497"/>
        <item x="175"/>
        <item x="422"/>
        <item x="588"/>
        <item x="318"/>
        <item x="553"/>
        <item x="36"/>
        <item x="71"/>
        <item x="207"/>
        <item x="221"/>
        <item x="240"/>
        <item x="30"/>
        <item x="15"/>
        <item x="301"/>
        <item x="515"/>
        <item x="198"/>
        <item x="504"/>
        <item x="373"/>
        <item x="620"/>
        <item x="440"/>
        <item x="44"/>
        <item x="238"/>
        <item x="339"/>
        <item x="195"/>
        <item x="380"/>
        <item x="83"/>
        <item x="659"/>
        <item x="473"/>
        <item x="264"/>
        <item x="493"/>
        <item x="249"/>
        <item x="470"/>
        <item x="179"/>
        <item x="628"/>
        <item x="502"/>
        <item x="393"/>
        <item x="653"/>
        <item x="480"/>
        <item x="342"/>
        <item x="428"/>
        <item x="72"/>
        <item x="516"/>
        <item x="468"/>
        <item x="451"/>
        <item x="348"/>
        <item x="505"/>
        <item x="396"/>
        <item x="462"/>
        <item x="645"/>
        <item x="436"/>
        <item x="511"/>
        <item x="630"/>
        <item x="5"/>
        <item x="561"/>
        <item x="322"/>
        <item x="378"/>
        <item x="41"/>
        <item x="479"/>
        <item x="293"/>
        <item x="441"/>
        <item x="113"/>
        <item x="455"/>
        <item x="94"/>
        <item x="453"/>
        <item x="181"/>
        <item x="431"/>
        <item x="492"/>
        <item x="359"/>
        <item x="474"/>
        <item x="135"/>
        <item x="627"/>
        <item x="326"/>
        <item x="277"/>
        <item x="444"/>
        <item x="273"/>
        <item x="2"/>
        <item x="144"/>
        <item x="472"/>
        <item x="596"/>
        <item x="220"/>
        <item x="585"/>
        <item x="7"/>
        <item x="560"/>
        <item x="463"/>
        <item x="392"/>
        <item x="85"/>
        <item x="466"/>
        <item x="547"/>
        <item x="544"/>
        <item x="590"/>
        <item x="565"/>
        <item x="152"/>
        <item x="514"/>
        <item x="425"/>
        <item x="159"/>
        <item x="614"/>
        <item x="251"/>
        <item x="165"/>
        <item x="178"/>
        <item x="183"/>
        <item x="287"/>
        <item x="227"/>
        <item x="612"/>
        <item x="575"/>
        <item x="208"/>
        <item x="311"/>
        <item x="188"/>
        <item x="52"/>
        <item x="636"/>
        <item x="459"/>
        <item x="32"/>
        <item x="371"/>
        <item x="552"/>
        <item x="381"/>
        <item x="345"/>
        <item x="214"/>
        <item x="637"/>
        <item x="467"/>
        <item x="154"/>
        <item x="67"/>
        <item x="24"/>
        <item x="217"/>
        <item x="335"/>
        <item x="537"/>
        <item x="578"/>
        <item x="149"/>
        <item x="86"/>
        <item x="53"/>
        <item x="143"/>
        <item x="471"/>
        <item x="45"/>
        <item x="106"/>
        <item x="176"/>
        <item x="488"/>
        <item x="618"/>
        <item x="582"/>
        <item x="65"/>
        <item x="296"/>
        <item x="138"/>
        <item x="426"/>
        <item x="542"/>
        <item x="199"/>
        <item x="517"/>
        <item x="529"/>
        <item x="196"/>
        <item x="81"/>
        <item x="485"/>
        <item x="363"/>
        <item x="446"/>
        <item x="656"/>
        <item x="489"/>
        <item x="37"/>
        <item x="526"/>
        <item x="609"/>
        <item x="230"/>
        <item x="141"/>
        <item x="458"/>
        <item x="442"/>
        <item x="16"/>
        <item x="171"/>
        <item x="419"/>
        <item x="309"/>
        <item x="549"/>
        <item x="551"/>
        <item x="166"/>
        <item x="258"/>
        <item x="349"/>
        <item x="445"/>
        <item x="269"/>
        <item x="55"/>
        <item x="13"/>
        <item x="340"/>
        <item x="147"/>
        <item x="477"/>
        <item x="201"/>
        <item x="316"/>
        <item x="623"/>
        <item x="79"/>
        <item x="146"/>
        <item x="59"/>
        <item x="213"/>
        <item x="500"/>
        <item x="253"/>
        <item x="607"/>
        <item x="252"/>
        <item x="522"/>
        <item x="35"/>
        <item x="130"/>
        <item x="546"/>
        <item x="241"/>
        <item x="583"/>
        <item x="540"/>
        <item x="617"/>
        <item x="633"/>
        <item x="554"/>
        <item x="642"/>
        <item x="4"/>
        <item x="556"/>
        <item x="308"/>
        <item x="494"/>
        <item x="61"/>
        <item x="374"/>
        <item x="299"/>
        <item x="615"/>
        <item x="9"/>
        <item x="167"/>
        <item x="610"/>
        <item x="388"/>
        <item x="491"/>
        <item x="593"/>
        <item x="300"/>
        <item x="403"/>
        <item x="476"/>
        <item x="510"/>
        <item x="506"/>
        <item x="270"/>
        <item x="604"/>
        <item x="405"/>
        <item x="423"/>
        <item x="557"/>
        <item x="80"/>
        <item x="68"/>
        <item x="140"/>
        <item x="11"/>
        <item x="387"/>
        <item x="33"/>
        <item x="447"/>
        <item x="417"/>
        <item x="570"/>
        <item x="77"/>
        <item x="105"/>
        <item x="346"/>
        <item x="317"/>
        <item x="102"/>
        <item x="243"/>
        <item x="145"/>
        <item x="50"/>
        <item x="158"/>
        <item x="177"/>
        <item x="432"/>
        <item x="92"/>
        <item x="235"/>
        <item x="329"/>
        <item x="325"/>
        <item x="78"/>
        <item x="574"/>
        <item x="564"/>
        <item x="520"/>
        <item x="622"/>
        <item x="298"/>
        <item x="452"/>
        <item x="197"/>
        <item x="132"/>
        <item x="632"/>
        <item x="257"/>
        <item x="347"/>
        <item x="457"/>
        <item x="439"/>
        <item x="421"/>
        <item x="635"/>
        <item x="172"/>
        <item x="350"/>
        <item x="57"/>
        <item x="333"/>
        <item x="14"/>
        <item x="414"/>
        <item x="155"/>
        <item x="3"/>
        <item x="532"/>
        <item x="638"/>
        <item x="192"/>
        <item x="246"/>
        <item x="164"/>
        <item x="297"/>
        <item x="19"/>
        <item x="383"/>
        <item x="209"/>
        <item x="572"/>
        <item x="114"/>
        <item x="283"/>
        <item x="160"/>
        <item x="228"/>
        <item x="634"/>
        <item x="369"/>
        <item x="69"/>
        <item x="657"/>
        <item x="212"/>
        <item x="319"/>
        <item x="375"/>
        <item x="412"/>
        <item x="91"/>
        <item x="534"/>
        <item x="389"/>
        <item x="42"/>
        <item x="182"/>
        <item x="21"/>
        <item x="242"/>
        <item x="280"/>
        <item x="646"/>
        <item x="306"/>
        <item x="580"/>
        <item x="211"/>
        <item x="73"/>
        <item x="302"/>
        <item x="486"/>
        <item x="118"/>
        <item x="503"/>
        <item x="543"/>
        <item x="483"/>
        <item x="513"/>
        <item x="233"/>
        <item x="408"/>
        <item x="116"/>
        <item x="461"/>
        <item x="527"/>
        <item x="469"/>
        <item x="205"/>
        <item x="530"/>
        <item x="576"/>
        <item x="162"/>
        <item x="655"/>
        <item x="571"/>
        <item x="121"/>
        <item x="545"/>
        <item x="282"/>
        <item x="616"/>
        <item x="27"/>
        <item x="111"/>
        <item x="39"/>
        <item x="48"/>
        <item x="603"/>
        <item x="358"/>
        <item x="222"/>
        <item x="536"/>
        <item x="250"/>
        <item x="119"/>
        <item x="569"/>
        <item x="285"/>
        <item x="180"/>
        <item x="366"/>
        <item x="624"/>
        <item x="76"/>
        <item x="519"/>
        <item x="343"/>
        <item x="579"/>
        <item x="34"/>
        <item x="482"/>
        <item x="323"/>
        <item x="215"/>
        <item x="153"/>
        <item x="658"/>
        <item x="98"/>
        <item x="562"/>
        <item x="327"/>
        <item x="518"/>
        <item x="168"/>
        <item x="498"/>
        <item x="224"/>
        <item x="586"/>
        <item x="126"/>
        <item x="652"/>
        <item x="125"/>
        <item x="279"/>
        <item x="271"/>
        <item x="501"/>
        <item x="190"/>
        <item x="163"/>
        <item x="137"/>
        <item x="99"/>
        <item x="484"/>
        <item x="123"/>
        <item x="29"/>
        <item x="74"/>
        <item x="129"/>
        <item x="382"/>
        <item x="244"/>
        <item x="268"/>
        <item x="272"/>
        <item x="364"/>
        <item x="204"/>
        <item x="156"/>
        <item x="605"/>
        <item x="523"/>
        <item x="338"/>
        <item x="131"/>
        <item x="566"/>
        <item x="507"/>
        <item x="478"/>
        <item x="404"/>
        <item x="621"/>
        <item x="394"/>
        <item x="443"/>
        <item x="332"/>
        <item x="435"/>
        <item x="120"/>
        <item x="592"/>
        <item x="95"/>
        <item x="239"/>
        <item x="223"/>
        <item x="26"/>
        <item x="191"/>
        <item x="430"/>
        <item x="313"/>
        <item x="314"/>
        <item x="521"/>
        <item x="289"/>
        <item x="407"/>
        <item x="134"/>
        <item x="22"/>
        <item x="49"/>
        <item x="284"/>
        <item x="649"/>
        <item x="420"/>
        <item x="128"/>
        <item x="589"/>
        <item x="379"/>
        <item x="539"/>
        <item x="438"/>
        <item x="351"/>
        <item x="499"/>
        <item x="60"/>
        <item x="654"/>
        <item x="619"/>
        <item x="541"/>
        <item x="559"/>
        <item x="96"/>
        <item x="248"/>
        <item x="330"/>
        <item x="51"/>
        <item x="409"/>
        <item x="362"/>
        <item x="352"/>
        <item x="400"/>
        <item x="454"/>
        <item x="336"/>
        <item x="411"/>
        <item x="276"/>
        <item x="110"/>
        <item x="647"/>
        <item x="17"/>
        <item x="115"/>
        <item x="194"/>
        <item x="365"/>
        <item x="151"/>
        <item x="320"/>
        <item x="587"/>
        <item x="232"/>
        <item x="331"/>
        <item x="303"/>
        <item x="449"/>
        <item x="66"/>
        <item x="101"/>
        <item x="304"/>
        <item x="8"/>
        <item x="433"/>
        <item x="261"/>
        <item x="643"/>
        <item x="43"/>
        <item x="38"/>
        <item x="629"/>
        <item x="599"/>
        <item x="87"/>
        <item x="401"/>
        <item x="229"/>
        <item x="286"/>
        <item x="278"/>
        <item x="64"/>
        <item x="487"/>
        <item x="104"/>
        <item x="124"/>
        <item x="464"/>
        <item x="200"/>
        <item x="563"/>
        <item x="189"/>
        <item x="281"/>
        <item x="496"/>
        <item x="93"/>
        <item x="10"/>
        <item x="512"/>
        <item x="600"/>
        <item x="395"/>
        <item x="56"/>
        <item x="568"/>
        <item x="186"/>
        <item x="266"/>
        <item x="390"/>
        <item x="602"/>
        <item x="328"/>
        <item x="429"/>
        <item x="236"/>
        <item x="384"/>
        <item x="274"/>
        <item x="28"/>
        <item x="631"/>
        <item x="247"/>
        <item x="142"/>
        <item x="254"/>
        <item x="31"/>
        <item x="524"/>
        <item x="584"/>
        <item x="548"/>
        <item x="538"/>
        <item x="475"/>
        <item x="321"/>
        <item x="353"/>
        <item x="312"/>
        <item x="427"/>
        <item x="225"/>
        <item x="139"/>
        <item x="18"/>
        <item x="456"/>
        <item x="0"/>
        <item x="109"/>
        <item x="581"/>
        <item x="265"/>
        <item x="410"/>
        <item x="103"/>
        <item x="6"/>
        <item x="341"/>
        <item x="377"/>
        <item x="262"/>
        <item x="185"/>
        <item x="62"/>
        <item x="169"/>
        <item x="418"/>
        <item x="148"/>
        <item x="354"/>
        <item x="397"/>
        <item x="595"/>
        <item x="357"/>
        <item x="108"/>
        <item x="385"/>
        <item x="310"/>
        <item x="170"/>
        <item x="40"/>
        <item x="525"/>
        <item x="465"/>
        <item x="550"/>
        <item x="237"/>
        <item x="650"/>
        <item x="416"/>
        <item x="639"/>
        <item x="555"/>
        <item x="295"/>
        <item x="370"/>
        <item x="184"/>
        <item x="644"/>
        <item x="558"/>
        <item x="450"/>
        <item x="334"/>
        <item x="234"/>
        <item x="573"/>
        <item x="415"/>
        <item x="219"/>
        <item x="161"/>
        <item x="88"/>
        <item x="391"/>
        <item x="361"/>
        <item x="267"/>
        <item x="608"/>
        <item x="611"/>
        <item x="651"/>
        <item x="640"/>
        <item x="372"/>
        <item x="535"/>
        <item x="356"/>
        <item x="577"/>
        <item x="133"/>
        <item x="368"/>
        <item x="157"/>
        <item x="12"/>
        <item x="187"/>
        <item x="25"/>
        <item x="413"/>
        <item x="202"/>
        <item x="97"/>
        <item x="226"/>
        <item x="613"/>
        <item x="402"/>
        <item x="606"/>
        <item x="324"/>
        <item x="398"/>
        <item x="245"/>
        <item x="127"/>
        <item x="23"/>
        <item x="337"/>
        <item x="218"/>
        <item x="150"/>
        <item x="601"/>
        <item x="460"/>
        <item x="591"/>
        <item x="626"/>
        <item x="448"/>
        <item x="263"/>
        <item x="216"/>
        <item x="54"/>
        <item x="288"/>
        <item x="256"/>
        <item x="259"/>
        <item x="567"/>
        <item x="594"/>
        <item x="292"/>
        <item x="625"/>
        <item x="294"/>
        <item x="122"/>
        <item x="597"/>
        <item x="174"/>
        <item x="305"/>
        <item x="58"/>
        <item x="82"/>
        <item x="203"/>
        <item x="112"/>
        <item x="47"/>
        <item x="648"/>
        <item x="386"/>
        <item x="46"/>
        <item x="509"/>
        <item x="100"/>
        <item x="508"/>
        <item x="406"/>
        <item x="367"/>
        <item x="399"/>
        <item x="107"/>
        <item x="307"/>
        <item x="344"/>
        <item x="1"/>
        <item x="193"/>
        <item x="434"/>
        <item x="355"/>
        <item x="495"/>
        <item x="84"/>
        <item x="598"/>
        <item x="89"/>
        <item x="117"/>
        <item x="173"/>
        <item x="231"/>
        <item x="528"/>
        <item x="70"/>
        <item x="360"/>
        <item x="315"/>
        <item x="210"/>
        <item x="291"/>
        <item x="90"/>
        <item x="206"/>
        <item x="481"/>
        <item x="63"/>
        <item x="255"/>
        <item x="490"/>
        <item x="275"/>
        <item x="20"/>
        <item x="75"/>
        <item x="424"/>
        <item x="290"/>
        <item x="376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8">
        <item x="0"/>
        <item x="4"/>
        <item x="5"/>
        <item x="1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 ID" fld="0" subtotal="count" baseField="0" baseItem="0"/>
    <dataField name="Sum of Loan Amount" fld="4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FF50FB-26DE-4813-8132-70C1661804F6}" autoFormatId="16" applyNumberFormats="0" applyBorderFormats="0" applyFontFormats="0" applyPatternFormats="0" applyAlignmentFormats="0" applyWidthHeightFormats="0">
  <queryTableRefresh nextId="28" unboundColumnsRight="10">
    <queryTableFields count="26">
      <queryTableField id="1" name="Loan ID" tableColumnId="1"/>
      <queryTableField id="2" name="Issue Date" tableColumnId="2"/>
      <queryTableField id="3" name="Borrower ID" tableColumnId="3"/>
      <queryTableField id="4" name="State" tableColumnId="4"/>
      <queryTableField id="5" name="Loan Amount" tableColumnId="5"/>
      <queryTableField id="6" name="Interest Rate" tableColumnId="6"/>
      <queryTableField id="7" name="Term (Months)" tableColumnId="7"/>
      <queryTableField id="8" name="Loan Status" tableColumnId="8"/>
      <queryTableField id="9" name="Loan Grade" tableColumnId="9"/>
      <queryTableField id="10" name="Loan Intent" tableColumnId="10"/>
      <queryTableField id="11" name="Annual Income" tableColumnId="11"/>
      <queryTableField id="12" name="Home Ownership" tableColumnId="12"/>
      <queryTableField id="13" name="DTI" tableColumnId="13"/>
      <queryTableField id="14" name="LTV" tableColumnId="14"/>
      <queryTableField id="15" name="Total Payments Received" tableColumnId="15"/>
      <queryTableField id="16" name="Recovery Amount" tableColumnId="16"/>
      <queryTableField id="17" dataBound="0" tableColumnId="17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01BE5FF-DAB0-4F51-8F40-62CCB3A8F75F}" autoFormatId="16" applyNumberFormats="0" applyBorderFormats="0" applyFontFormats="0" applyPatternFormats="0" applyAlignmentFormats="0" applyWidthHeightFormats="0">
  <queryTableRefresh nextId="27">
    <queryTableFields count="26">
      <queryTableField id="1" name="Loan ID" tableColumnId="1"/>
      <queryTableField id="2" name="Issue Date" tableColumnId="2"/>
      <queryTableField id="3" name="Borrower ID" tableColumnId="3"/>
      <queryTableField id="4" name="State" tableColumnId="4"/>
      <queryTableField id="5" name="Loan Amount" tableColumnId="5"/>
      <queryTableField id="6" name="Interest Rate" tableColumnId="6"/>
      <queryTableField id="7" name="Term (Months)" tableColumnId="7"/>
      <queryTableField id="8" name="Loan Status" tableColumnId="8"/>
      <queryTableField id="9" name="Loan Grade" tableColumnId="9"/>
      <queryTableField id="10" name="Loan Intent" tableColumnId="10"/>
      <queryTableField id="11" name="Annual Income" tableColumnId="11"/>
      <queryTableField id="12" name="Home Ownership" tableColumnId="12"/>
      <queryTableField id="13" name="DTI" tableColumnId="13"/>
      <queryTableField id="14" name="LTV" tableColumnId="14"/>
      <queryTableField id="15" name="Total Payments Received" tableColumnId="15"/>
      <queryTableField id="16" name="Recovery Amount" tableColumnId="16"/>
      <queryTableField id="17" name="Months on book" tableColumnId="17"/>
      <queryTableField id="18" name="Interest earned" tableColumnId="18"/>
      <queryTableField id="19" name="Total expected amt" tableColumnId="19"/>
      <queryTableField id="20" name="Profit/Loss" tableColumnId="20"/>
      <queryTableField id="21" name="Default flag" tableColumnId="21"/>
      <queryTableField id="22" name="Loan Status2" tableColumnId="22"/>
      <queryTableField id="23" name="Risk Level" tableColumnId="23"/>
      <queryTableField id="24" name="Monthly EMI" tableColumnId="24"/>
      <queryTableField id="25" name="Profit Margin %" tableColumnId="25"/>
      <queryTableField id="26" name="High risk borrower flag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E66CC-5917-4FDD-9CC6-59F8FE567954}" name="banking_loan_data" displayName="banking_loan_data" ref="A1:Z1001" tableType="queryTable" totalsRowShown="0">
  <autoFilter ref="A1:Z1001" xr:uid="{305E66CC-5917-4FDD-9CC6-59F8FE567954}"/>
  <tableColumns count="26">
    <tableColumn id="1" xr3:uid="{40333F50-252E-4AB5-9E55-B05AA312091A}" uniqueName="1" name="Loan ID" queryTableFieldId="1" dataDxfId="28"/>
    <tableColumn id="2" xr3:uid="{3376E729-FF26-406D-9530-4C81E0D8D4B5}" uniqueName="2" name="Issue Date" queryTableFieldId="2" dataDxfId="27"/>
    <tableColumn id="3" xr3:uid="{C0E69AA2-DCD0-4531-8171-7EF6EF7AF1EA}" uniqueName="3" name="Borrower ID" queryTableFieldId="3" dataDxfId="26"/>
    <tableColumn id="4" xr3:uid="{A6AEE00E-E57C-4A74-850A-9840C21A2C26}" uniqueName="4" name="State" queryTableFieldId="4" dataDxfId="25"/>
    <tableColumn id="5" xr3:uid="{816CF899-419C-4A0E-86AB-A96AF55E19AD}" uniqueName="5" name="Loan Amount" queryTableFieldId="5"/>
    <tableColumn id="6" xr3:uid="{0C0D8CCE-3B5B-40AF-8745-AA4BE29C86BE}" uniqueName="6" name="Interest Rate" queryTableFieldId="6"/>
    <tableColumn id="7" xr3:uid="{19A91669-C153-4289-B74D-2F7C2E4A29CC}" uniqueName="7" name="Term (Months)" queryTableFieldId="7"/>
    <tableColumn id="8" xr3:uid="{B7CCC5C8-53C6-431E-8BF3-C787DA4824AC}" uniqueName="8" name="Loan Status" queryTableFieldId="8" dataDxfId="24"/>
    <tableColumn id="9" xr3:uid="{06A5291B-0513-497A-991E-B3C51C1EBAA1}" uniqueName="9" name="Loan Grade" queryTableFieldId="9" dataDxfId="23"/>
    <tableColumn id="10" xr3:uid="{76BB271E-5993-4350-AEBB-ECD30D97F087}" uniqueName="10" name="Loan Intent" queryTableFieldId="10" dataDxfId="22"/>
    <tableColumn id="11" xr3:uid="{9714B84E-E4A8-4C88-8194-4332A5C5D8A9}" uniqueName="11" name="Annual Income" queryTableFieldId="11"/>
    <tableColumn id="12" xr3:uid="{9B6AE748-6991-4D4D-A27B-349A81F41D43}" uniqueName="12" name="Home Ownership" queryTableFieldId="12" dataDxfId="21"/>
    <tableColumn id="13" xr3:uid="{BC4D9378-F7CE-46B6-80CA-585F59E0F283}" uniqueName="13" name="DTI" queryTableFieldId="13"/>
    <tableColumn id="14" xr3:uid="{52C2D8D1-1C05-4F3E-AC90-1C99E9D0CD6A}" uniqueName="14" name="LTV" queryTableFieldId="14"/>
    <tableColumn id="15" xr3:uid="{FCF494CC-0185-4C5E-99A8-A07370ED641E}" uniqueName="15" name="Total Payments Received" queryTableFieldId="15"/>
    <tableColumn id="16" xr3:uid="{F1096220-F6C4-4659-8DF0-CDDD0BC54347}" uniqueName="16" name="Recovery Amount" queryTableFieldId="16"/>
    <tableColumn id="17" xr3:uid="{CE72C5B9-04E7-4BD3-871D-4365A98E78B2}" uniqueName="17" name="Months on book" queryTableFieldId="17" dataDxfId="20">
      <calculatedColumnFormula>DATEDIF(banking_loan_data[[#This Row],[Issue Date]],TODAY(),"M")</calculatedColumnFormula>
    </tableColumn>
    <tableColumn id="19" xr3:uid="{B3A2DE8E-BA93-441F-B343-7BC92B209E79}" uniqueName="19" name="Interest earned" queryTableFieldId="19" dataDxfId="19">
      <calculatedColumnFormula>(((E2*F2)/100)*G2)/12</calculatedColumnFormula>
    </tableColumn>
    <tableColumn id="20" xr3:uid="{B64447ED-64C5-4B56-AA7D-DDA5519136BB}" uniqueName="20" name="Total expected amt" queryTableFieldId="20" dataDxfId="18">
      <calculatedColumnFormula>+banking_loan_data[[#This Row],[Loan Amount]]+banking_loan_data[[#This Row],[Interest earned]]</calculatedColumnFormula>
    </tableColumn>
    <tableColumn id="21" xr3:uid="{0ED93D47-547A-4AA0-9CD3-71CF201991F5}" uniqueName="21" name="Profit/Loss" queryTableFieldId="21" dataDxfId="17">
      <calculatedColumnFormula>O2 + P2 - E2</calculatedColumnFormula>
    </tableColumn>
    <tableColumn id="22" xr3:uid="{6AFCED95-335F-4FCE-B356-F404EA95B40E}" uniqueName="22" name="Default flag" queryTableFieldId="22" dataDxfId="16">
      <calculatedColumnFormula>IF(H2="CHARGED OFF",1,0)</calculatedColumnFormula>
    </tableColumn>
    <tableColumn id="23" xr3:uid="{7C4FBC2C-4EB9-4110-A8D8-DBCABD1EA1DD}" uniqueName="23" name="Loan Status2" queryTableFieldId="23" dataDxfId="15">
      <calculatedColumnFormula>IF(banking_loan_data[[#This Row],[Loan Status]]="FULLY PAID","GOOD",IF(banking_loan_data[[#This Row],[Loan Status]]="CURRENT","ACTIVE","BAD"))</calculatedColumnFormula>
    </tableColumn>
    <tableColumn id="24" xr3:uid="{36A3F788-6362-48A0-AD69-94A1702FB396}" uniqueName="24" name="Risk Level" queryTableFieldId="24" dataDxfId="14">
      <calculatedColumnFormula>IF(banking_loan_data[[#This Row],[Loan Grade]]="A","LOW",IF(banking_loan_data[[#This Row],[Loan Grade]]="B","LOW",IF(banking_loan_data[[#This Row],[Loan Grade]]="C","MEDIUM",IF(banking_loan_data[[#This Row],[Loan Grade]]="D","HIGH","VERY HIGH"))))</calculatedColumnFormula>
    </tableColumn>
    <tableColumn id="25" xr3:uid="{DBA7A59A-00B6-4AC9-B810-08E5DA87376B}" uniqueName="25" name="Monthly EMI" queryTableFieldId="25" dataDxfId="13">
      <calculatedColumnFormula>PMT(F2/12,G2,-E2)</calculatedColumnFormula>
    </tableColumn>
    <tableColumn id="26" xr3:uid="{3C6F2941-0DE6-4612-B1AE-57E829041C5C}" uniqueName="26" name="Profit Margin %" queryTableFieldId="26" dataDxfId="12">
      <calculatedColumnFormula>IF(E2=0,0,T2/E2)</calculatedColumnFormula>
    </tableColumn>
    <tableColumn id="27" xr3:uid="{5DD4BE34-F929-44FB-BE36-EFE80E029C21}" uniqueName="27" name="High risk borrower flag" queryTableFieldId="27" dataDxfId="11">
      <calculatedColumnFormula>IF(OR(M2&gt;0.4,N2&gt;0.8),"High Risk","Normal")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DC3FF9-2821-4608-BC01-3A406309B9E0}" name="banking_loan_data__2" displayName="banking_loan_data__2" ref="A1:Z1001" tableType="queryTable" totalsRowShown="0">
  <autoFilter ref="A1:Z1001" xr:uid="{B4DC3FF9-2821-4608-BC01-3A406309B9E0}"/>
  <tableColumns count="26">
    <tableColumn id="1" xr3:uid="{E74DD6FE-F313-4276-9144-289B36771846}" uniqueName="1" name="Loan ID" queryTableFieldId="1" dataDxfId="10"/>
    <tableColumn id="2" xr3:uid="{9B065028-B96C-445A-B6A6-40D990068488}" uniqueName="2" name="Issue Date" queryTableFieldId="2" dataDxfId="9"/>
    <tableColumn id="3" xr3:uid="{E4C4C706-9033-4B48-B17F-71803E586DB7}" uniqueName="3" name="Borrower ID" queryTableFieldId="3" dataDxfId="8"/>
    <tableColumn id="4" xr3:uid="{B11A99E4-AFAE-4FF4-8434-ADA51D4D7BD2}" uniqueName="4" name="State" queryTableFieldId="4" dataDxfId="7"/>
    <tableColumn id="5" xr3:uid="{8DCD3071-9531-4862-B421-5FF1D68B8A27}" uniqueName="5" name="Loan Amount" queryTableFieldId="5"/>
    <tableColumn id="6" xr3:uid="{161F11A2-B1EA-4E24-B2B8-D208AAABEB94}" uniqueName="6" name="Interest Rate" queryTableFieldId="6"/>
    <tableColumn id="7" xr3:uid="{E6C1A3AF-ED50-4092-9BD8-52A1D04B88B1}" uniqueName="7" name="Term (Months)" queryTableFieldId="7"/>
    <tableColumn id="8" xr3:uid="{FEE33A55-9BC7-4C0C-9D0D-67F48AD37B81}" uniqueName="8" name="Loan Status" queryTableFieldId="8" dataDxfId="6"/>
    <tableColumn id="9" xr3:uid="{5ABB8F35-9556-416D-B266-72083A7645C0}" uniqueName="9" name="Loan Grade" queryTableFieldId="9" dataDxfId="5"/>
    <tableColumn id="10" xr3:uid="{8DBF20F8-1AD7-4712-B1CE-B015E72AF4BD}" uniqueName="10" name="Loan Intent" queryTableFieldId="10" dataDxfId="4"/>
    <tableColumn id="11" xr3:uid="{D613B2EA-014B-489C-ACD7-04A1DAD077CA}" uniqueName="11" name="Annual Income" queryTableFieldId="11"/>
    <tableColumn id="12" xr3:uid="{3DF3C7CA-E774-4166-A5A0-72CC3FE5793B}" uniqueName="12" name="Home Ownership" queryTableFieldId="12" dataDxfId="3"/>
    <tableColumn id="13" xr3:uid="{0C71CB5F-3394-496E-809D-D00B1FB8037E}" uniqueName="13" name="DTI" queryTableFieldId="13"/>
    <tableColumn id="14" xr3:uid="{6DA18EEC-2A26-4875-9280-8817F4D1FC30}" uniqueName="14" name="LTV" queryTableFieldId="14"/>
    <tableColumn id="15" xr3:uid="{71D3B22A-E689-469E-B155-4C18E486622D}" uniqueName="15" name="Total Payments Received" queryTableFieldId="15"/>
    <tableColumn id="16" xr3:uid="{6DD64CD7-A079-4240-84DD-D08A82EB54BA}" uniqueName="16" name="Recovery Amount" queryTableFieldId="16"/>
    <tableColumn id="17" xr3:uid="{AB066CC2-59F3-4C54-8544-66D4F798AF8B}" uniqueName="17" name="Months on book" queryTableFieldId="17"/>
    <tableColumn id="18" xr3:uid="{3DE446B1-D3C9-4371-A3E1-8D7788FD8BFF}" uniqueName="18" name="Interest earned" queryTableFieldId="18"/>
    <tableColumn id="19" xr3:uid="{FF560D94-F50D-49C9-A19D-33D4DBAA8325}" uniqueName="19" name="Total expected amt" queryTableFieldId="19"/>
    <tableColumn id="20" xr3:uid="{407E8303-BD21-437D-A348-12F46DB61766}" uniqueName="20" name="Profit/Loss" queryTableFieldId="20"/>
    <tableColumn id="21" xr3:uid="{0F9BBE48-7545-43D9-B73E-90F47D3527D9}" uniqueName="21" name="Default flag" queryTableFieldId="21"/>
    <tableColumn id="22" xr3:uid="{CF5C1260-D85B-4307-83C1-E8903CF45A8D}" uniqueName="22" name="Loan Status2" queryTableFieldId="22" dataDxfId="2"/>
    <tableColumn id="23" xr3:uid="{216EA724-A2CD-4A52-BC55-599564217689}" uniqueName="23" name="Risk Level" queryTableFieldId="23" dataDxfId="1"/>
    <tableColumn id="24" xr3:uid="{DDE0B8E3-5EC6-4198-8AC5-44164A32CF7B}" uniqueName="24" name="Monthly EMI" queryTableFieldId="24"/>
    <tableColumn id="25" xr3:uid="{DB749CDD-005A-4DCD-9B50-0C35F0E529BD}" uniqueName="25" name="Profit Margin %" queryTableFieldId="25"/>
    <tableColumn id="26" xr3:uid="{8456CC6A-84F6-4B86-99C3-BD9E9A2F8542}" uniqueName="26" name="High risk borrower flag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74B7-91C3-41E3-BB09-7E9140458235}">
  <dimension ref="A1:Z1001"/>
  <sheetViews>
    <sheetView topLeftCell="M1" workbookViewId="0">
      <selection activeCell="S2" sqref="S2"/>
    </sheetView>
  </sheetViews>
  <sheetFormatPr defaultRowHeight="14.4" x14ac:dyDescent="0.3"/>
  <cols>
    <col min="1" max="1" width="9.5546875" bestFit="1" customWidth="1"/>
    <col min="2" max="2" width="11.77734375" bestFit="1" customWidth="1"/>
    <col min="3" max="3" width="13.21875" bestFit="1" customWidth="1"/>
    <col min="4" max="4" width="7.5546875" bestFit="1" customWidth="1"/>
    <col min="5" max="5" width="14.6640625" bestFit="1" customWidth="1"/>
    <col min="6" max="6" width="13.88671875" bestFit="1" customWidth="1"/>
    <col min="7" max="7" width="16" bestFit="1" customWidth="1"/>
    <col min="8" max="8" width="17" bestFit="1" customWidth="1"/>
    <col min="9" max="9" width="12.77734375" bestFit="1" customWidth="1"/>
    <col min="10" max="10" width="20" bestFit="1" customWidth="1"/>
    <col min="11" max="11" width="16.109375" bestFit="1" customWidth="1"/>
    <col min="12" max="12" width="17.77734375" bestFit="1" customWidth="1"/>
    <col min="13" max="13" width="6" bestFit="1" customWidth="1"/>
    <col min="14" max="14" width="6.33203125" bestFit="1" customWidth="1"/>
    <col min="15" max="15" width="24.5546875" bestFit="1" customWidth="1"/>
    <col min="16" max="16" width="18.44140625" bestFit="1" customWidth="1"/>
    <col min="24" max="24" width="14.2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2046</v>
      </c>
      <c r="R1" t="s">
        <v>2048</v>
      </c>
      <c r="S1" t="s">
        <v>2049</v>
      </c>
      <c r="T1" t="s">
        <v>2047</v>
      </c>
      <c r="U1" t="s">
        <v>2050</v>
      </c>
      <c r="V1" t="s">
        <v>2051</v>
      </c>
      <c r="W1" t="s">
        <v>2052</v>
      </c>
      <c r="X1" t="s">
        <v>2053</v>
      </c>
      <c r="Y1" t="s">
        <v>2054</v>
      </c>
      <c r="Z1" t="s">
        <v>2055</v>
      </c>
    </row>
    <row r="2" spans="1:26" x14ac:dyDescent="0.3">
      <c r="A2" t="s">
        <v>16</v>
      </c>
      <c r="B2" s="1">
        <v>45057</v>
      </c>
      <c r="C2" t="s">
        <v>17</v>
      </c>
      <c r="D2" t="s">
        <v>18</v>
      </c>
      <c r="E2">
        <v>23180</v>
      </c>
      <c r="F2">
        <v>10.1</v>
      </c>
      <c r="G2">
        <v>60</v>
      </c>
      <c r="H2" t="s">
        <v>19</v>
      </c>
      <c r="I2" t="s">
        <v>20</v>
      </c>
      <c r="J2" t="s">
        <v>21</v>
      </c>
      <c r="K2">
        <v>41676</v>
      </c>
      <c r="L2" t="s">
        <v>22</v>
      </c>
      <c r="M2">
        <v>0.24</v>
      </c>
      <c r="N2">
        <v>0.82</v>
      </c>
      <c r="O2">
        <v>25521.18</v>
      </c>
      <c r="P2">
        <v>0</v>
      </c>
      <c r="Q2">
        <f ca="1">DATEDIF(banking_loan_data[[#This Row],[Issue Date]],TODAY(),"M")</f>
        <v>34</v>
      </c>
      <c r="R2">
        <f t="shared" ref="R2:R65" si="0">(((E2*F2)/100)*G2)/12</f>
        <v>11705.9</v>
      </c>
      <c r="S2">
        <f>+banking_loan_data[[#This Row],[Loan Amount]]+banking_loan_data[[#This Row],[Interest earned]]</f>
        <v>34885.9</v>
      </c>
      <c r="T2" s="2">
        <f t="shared" ref="T2:T65" si="1">O2 + P2 - E2</f>
        <v>2341.1800000000003</v>
      </c>
      <c r="U2" s="2">
        <f t="shared" ref="U2:U65" si="2">IF(H2="CHARGED OFF",1,0)</f>
        <v>0</v>
      </c>
      <c r="V2" s="2" t="str">
        <f>IF(banking_loan_data[[#This Row],[Loan Status]]="FULLY PAID","GOOD",IF(banking_loan_data[[#This Row],[Loan Status]]="CURRENT","ACTIVE","BAD"))</f>
        <v>GOOD</v>
      </c>
      <c r="W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" s="3">
        <f t="shared" ref="X2:X65" si="3">PMT(F2/12,G2,-E2)</f>
        <v>19509.833333333336</v>
      </c>
      <c r="Y2" s="4">
        <f t="shared" ref="Y2:Y65" si="4">IF(E2=0,0,T2/E2)</f>
        <v>0.10100000000000001</v>
      </c>
      <c r="Z2" s="2" t="str">
        <f t="shared" ref="Z2:Z65" si="5">IF(OR(M2&gt;0.4,N2&gt;0.8),"High Risk","Normal")</f>
        <v>High Risk</v>
      </c>
    </row>
    <row r="3" spans="1:26" x14ac:dyDescent="0.3">
      <c r="A3" t="s">
        <v>23</v>
      </c>
      <c r="B3" s="1">
        <v>45241</v>
      </c>
      <c r="C3" t="s">
        <v>24</v>
      </c>
      <c r="D3" t="s">
        <v>25</v>
      </c>
      <c r="E3">
        <v>32896</v>
      </c>
      <c r="F3">
        <v>20.6</v>
      </c>
      <c r="G3">
        <v>36</v>
      </c>
      <c r="H3" t="s">
        <v>26</v>
      </c>
      <c r="I3" t="s">
        <v>27</v>
      </c>
      <c r="J3" t="s">
        <v>28</v>
      </c>
      <c r="K3">
        <v>34434</v>
      </c>
      <c r="L3" t="s">
        <v>29</v>
      </c>
      <c r="M3">
        <v>0.47</v>
      </c>
      <c r="N3">
        <v>0.59</v>
      </c>
      <c r="O3">
        <v>9222.59</v>
      </c>
      <c r="P3">
        <v>0</v>
      </c>
      <c r="Q3">
        <f ca="1">DATEDIF(banking_loan_data[[#This Row],[Issue Date]],TODAY(),"M")</f>
        <v>28</v>
      </c>
      <c r="R3">
        <f t="shared" si="0"/>
        <v>20329.728000000003</v>
      </c>
      <c r="S3">
        <f>+banking_loan_data[[#This Row],[Loan Amount]]+banking_loan_data[[#This Row],[Interest earned]]</f>
        <v>53225.728000000003</v>
      </c>
      <c r="T3" s="2">
        <f t="shared" si="1"/>
        <v>-23673.41</v>
      </c>
      <c r="U3" s="2">
        <f t="shared" si="2"/>
        <v>0</v>
      </c>
      <c r="V3" s="2" t="str">
        <f>IF(banking_loan_data[[#This Row],[Loan Status]]="FULLY PAID","GOOD",IF(banking_loan_data[[#This Row],[Loan Status]]="CURRENT","ACTIVE","BAD"))</f>
        <v>ACTIVE</v>
      </c>
      <c r="W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" s="3">
        <f t="shared" si="3"/>
        <v>56471.466666666682</v>
      </c>
      <c r="Y3" s="4">
        <f t="shared" si="4"/>
        <v>-0.71964402966926067</v>
      </c>
      <c r="Z3" s="2" t="str">
        <f t="shared" si="5"/>
        <v>High Risk</v>
      </c>
    </row>
    <row r="4" spans="1:26" x14ac:dyDescent="0.3">
      <c r="A4" t="s">
        <v>30</v>
      </c>
      <c r="B4" s="1">
        <v>44318</v>
      </c>
      <c r="C4" t="s">
        <v>31</v>
      </c>
      <c r="D4" t="s">
        <v>25</v>
      </c>
      <c r="E4">
        <v>13875</v>
      </c>
      <c r="F4">
        <v>21.5</v>
      </c>
      <c r="G4">
        <v>36</v>
      </c>
      <c r="H4" t="s">
        <v>26</v>
      </c>
      <c r="I4" t="s">
        <v>20</v>
      </c>
      <c r="J4" t="s">
        <v>32</v>
      </c>
      <c r="K4">
        <v>79810</v>
      </c>
      <c r="L4" t="s">
        <v>33</v>
      </c>
      <c r="M4">
        <v>0.33</v>
      </c>
      <c r="N4">
        <v>0.7</v>
      </c>
      <c r="O4">
        <v>2689.37</v>
      </c>
      <c r="P4">
        <v>0</v>
      </c>
      <c r="Q4">
        <f ca="1">DATEDIF(banking_loan_data[[#This Row],[Issue Date]],TODAY(),"M")</f>
        <v>58</v>
      </c>
      <c r="R4">
        <f t="shared" si="0"/>
        <v>8949.375</v>
      </c>
      <c r="S4">
        <f>+banking_loan_data[[#This Row],[Loan Amount]]+banking_loan_data[[#This Row],[Interest earned]]</f>
        <v>22824.375</v>
      </c>
      <c r="T4" s="2">
        <f t="shared" si="1"/>
        <v>-11185.630000000001</v>
      </c>
      <c r="U4" s="2">
        <f t="shared" si="2"/>
        <v>0</v>
      </c>
      <c r="V4" s="2" t="str">
        <f>IF(banking_loan_data[[#This Row],[Loan Status]]="FULLY PAID","GOOD",IF(banking_loan_data[[#This Row],[Loan Status]]="CURRENT","ACTIVE","BAD"))</f>
        <v>ACTIVE</v>
      </c>
      <c r="W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" s="3">
        <f t="shared" si="3"/>
        <v>24859.375000000004</v>
      </c>
      <c r="Y4" s="4">
        <f t="shared" si="4"/>
        <v>-0.80617153153153165</v>
      </c>
      <c r="Z4" s="2" t="str">
        <f t="shared" si="5"/>
        <v>Normal</v>
      </c>
    </row>
    <row r="5" spans="1:26" x14ac:dyDescent="0.3">
      <c r="A5" t="s">
        <v>34</v>
      </c>
      <c r="B5" s="1">
        <v>44663</v>
      </c>
      <c r="C5" t="s">
        <v>35</v>
      </c>
      <c r="D5" t="s">
        <v>18</v>
      </c>
      <c r="E5">
        <v>2622</v>
      </c>
      <c r="F5">
        <v>14.9</v>
      </c>
      <c r="G5">
        <v>60</v>
      </c>
      <c r="H5" t="s">
        <v>19</v>
      </c>
      <c r="I5" t="s">
        <v>36</v>
      </c>
      <c r="J5" t="s">
        <v>37</v>
      </c>
      <c r="K5">
        <v>133361</v>
      </c>
      <c r="L5" t="s">
        <v>22</v>
      </c>
      <c r="M5">
        <v>0.17</v>
      </c>
      <c r="N5">
        <v>0.87</v>
      </c>
      <c r="O5">
        <v>3012.68</v>
      </c>
      <c r="P5">
        <v>0</v>
      </c>
      <c r="Q5">
        <f ca="1">DATEDIF(banking_loan_data[[#This Row],[Issue Date]],TODAY(),"M")</f>
        <v>47</v>
      </c>
      <c r="R5">
        <f t="shared" si="0"/>
        <v>1953.3900000000003</v>
      </c>
      <c r="S5">
        <f>+banking_loan_data[[#This Row],[Loan Amount]]+banking_loan_data[[#This Row],[Interest earned]]</f>
        <v>4575.3900000000003</v>
      </c>
      <c r="T5" s="2">
        <f t="shared" si="1"/>
        <v>390.67999999999984</v>
      </c>
      <c r="U5" s="2">
        <f t="shared" si="2"/>
        <v>0</v>
      </c>
      <c r="V5" s="2" t="str">
        <f>IF(banking_loan_data[[#This Row],[Loan Status]]="FULLY PAID","GOOD",IF(banking_loan_data[[#This Row],[Loan Status]]="CURRENT","ACTIVE","BAD"))</f>
        <v>GOOD</v>
      </c>
      <c r="W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" s="3">
        <f t="shared" si="3"/>
        <v>3255.65</v>
      </c>
      <c r="Y5" s="4">
        <f t="shared" si="4"/>
        <v>0.14900076277650642</v>
      </c>
      <c r="Z5" s="2" t="str">
        <f t="shared" si="5"/>
        <v>High Risk</v>
      </c>
    </row>
    <row r="6" spans="1:26" x14ac:dyDescent="0.3">
      <c r="A6" t="s">
        <v>38</v>
      </c>
      <c r="B6" s="1">
        <v>44527</v>
      </c>
      <c r="C6" t="s">
        <v>39</v>
      </c>
      <c r="D6" t="s">
        <v>40</v>
      </c>
      <c r="E6">
        <v>17725</v>
      </c>
      <c r="F6">
        <v>12.7</v>
      </c>
      <c r="G6">
        <v>36</v>
      </c>
      <c r="H6" t="s">
        <v>19</v>
      </c>
      <c r="I6" t="s">
        <v>41</v>
      </c>
      <c r="J6" t="s">
        <v>37</v>
      </c>
      <c r="K6">
        <v>148696</v>
      </c>
      <c r="L6" t="s">
        <v>22</v>
      </c>
      <c r="M6">
        <v>0.16</v>
      </c>
      <c r="N6">
        <v>0.79</v>
      </c>
      <c r="O6">
        <v>19976.080000000002</v>
      </c>
      <c r="P6">
        <v>0</v>
      </c>
      <c r="Q6">
        <f ca="1">DATEDIF(banking_loan_data[[#This Row],[Issue Date]],TODAY(),"M")</f>
        <v>51</v>
      </c>
      <c r="R6">
        <f t="shared" si="0"/>
        <v>6753.2249999999995</v>
      </c>
      <c r="S6">
        <f>+banking_loan_data[[#This Row],[Loan Amount]]+banking_loan_data[[#This Row],[Interest earned]]</f>
        <v>24478.224999999999</v>
      </c>
      <c r="T6" s="2">
        <f t="shared" si="1"/>
        <v>2251.0800000000017</v>
      </c>
      <c r="U6" s="2">
        <f t="shared" si="2"/>
        <v>0</v>
      </c>
      <c r="V6" s="2" t="str">
        <f>IF(banking_loan_data[[#This Row],[Loan Status]]="FULLY PAID","GOOD",IF(banking_loan_data[[#This Row],[Loan Status]]="CURRENT","ACTIVE","BAD"))</f>
        <v>GOOD</v>
      </c>
      <c r="W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" s="3">
        <f t="shared" si="3"/>
        <v>18758.958333430306</v>
      </c>
      <c r="Y6" s="4">
        <f t="shared" si="4"/>
        <v>0.12700028208744721</v>
      </c>
      <c r="Z6" s="2" t="str">
        <f t="shared" si="5"/>
        <v>Normal</v>
      </c>
    </row>
    <row r="7" spans="1:26" x14ac:dyDescent="0.3">
      <c r="A7" t="s">
        <v>42</v>
      </c>
      <c r="B7" s="1">
        <v>44284</v>
      </c>
      <c r="C7" t="s">
        <v>43</v>
      </c>
      <c r="D7" t="s">
        <v>40</v>
      </c>
      <c r="E7">
        <v>16646</v>
      </c>
      <c r="F7">
        <v>14</v>
      </c>
      <c r="G7">
        <v>36</v>
      </c>
      <c r="H7" t="s">
        <v>19</v>
      </c>
      <c r="I7" t="s">
        <v>20</v>
      </c>
      <c r="J7" t="s">
        <v>37</v>
      </c>
      <c r="K7">
        <v>124636</v>
      </c>
      <c r="L7" t="s">
        <v>33</v>
      </c>
      <c r="M7">
        <v>0.33</v>
      </c>
      <c r="N7">
        <v>0.69</v>
      </c>
      <c r="O7">
        <v>18976.439999999999</v>
      </c>
      <c r="P7">
        <v>0</v>
      </c>
      <c r="Q7">
        <f ca="1">DATEDIF(banking_loan_data[[#This Row],[Issue Date]],TODAY(),"M")</f>
        <v>59</v>
      </c>
      <c r="R7">
        <f t="shared" si="0"/>
        <v>6991.32</v>
      </c>
      <c r="S7">
        <f>+banking_loan_data[[#This Row],[Loan Amount]]+banking_loan_data[[#This Row],[Interest earned]]</f>
        <v>23637.32</v>
      </c>
      <c r="T7" s="2">
        <f t="shared" si="1"/>
        <v>2330.4399999999987</v>
      </c>
      <c r="U7" s="2">
        <f t="shared" si="2"/>
        <v>0</v>
      </c>
      <c r="V7" s="2" t="str">
        <f>IF(banking_loan_data[[#This Row],[Loan Status]]="FULLY PAID","GOOD",IF(banking_loan_data[[#This Row],[Loan Status]]="CURRENT","ACTIVE","BAD"))</f>
        <v>GOOD</v>
      </c>
      <c r="W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" s="3">
        <f t="shared" si="3"/>
        <v>19420.333333349176</v>
      </c>
      <c r="Y7" s="4">
        <f t="shared" si="4"/>
        <v>0.13999999999999993</v>
      </c>
      <c r="Z7" s="2" t="str">
        <f t="shared" si="5"/>
        <v>Normal</v>
      </c>
    </row>
    <row r="8" spans="1:26" x14ac:dyDescent="0.3">
      <c r="A8" t="s">
        <v>44</v>
      </c>
      <c r="B8" s="1">
        <v>45068</v>
      </c>
      <c r="C8" t="s">
        <v>45</v>
      </c>
      <c r="D8" t="s">
        <v>46</v>
      </c>
      <c r="E8">
        <v>18029</v>
      </c>
      <c r="F8">
        <v>9.5</v>
      </c>
      <c r="G8">
        <v>60</v>
      </c>
      <c r="H8" t="s">
        <v>19</v>
      </c>
      <c r="I8" t="s">
        <v>27</v>
      </c>
      <c r="J8" t="s">
        <v>47</v>
      </c>
      <c r="K8">
        <v>34994</v>
      </c>
      <c r="L8" t="s">
        <v>22</v>
      </c>
      <c r="M8">
        <v>0.4</v>
      </c>
      <c r="N8">
        <v>0.8</v>
      </c>
      <c r="O8">
        <v>19741.759999999998</v>
      </c>
      <c r="P8">
        <v>0</v>
      </c>
      <c r="Q8">
        <f ca="1">DATEDIF(banking_loan_data[[#This Row],[Issue Date]],TODAY(),"M")</f>
        <v>33</v>
      </c>
      <c r="R8">
        <f t="shared" si="0"/>
        <v>8563.7749999999996</v>
      </c>
      <c r="S8">
        <f>+banking_loan_data[[#This Row],[Loan Amount]]+banking_loan_data[[#This Row],[Interest earned]]</f>
        <v>26592.775000000001</v>
      </c>
      <c r="T8" s="2">
        <f t="shared" si="1"/>
        <v>1712.7599999999984</v>
      </c>
      <c r="U8" s="2">
        <f t="shared" si="2"/>
        <v>0</v>
      </c>
      <c r="V8" s="2" t="str">
        <f>IF(banking_loan_data[[#This Row],[Loan Status]]="FULLY PAID","GOOD",IF(banking_loan_data[[#This Row],[Loan Status]]="CURRENT","ACTIVE","BAD"))</f>
        <v>GOOD</v>
      </c>
      <c r="W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" s="3">
        <f t="shared" si="3"/>
        <v>14272.958333333341</v>
      </c>
      <c r="Y8" s="4">
        <f t="shared" si="4"/>
        <v>9.5000277330966693E-2</v>
      </c>
      <c r="Z8" s="2" t="str">
        <f t="shared" si="5"/>
        <v>Normal</v>
      </c>
    </row>
    <row r="9" spans="1:26" x14ac:dyDescent="0.3">
      <c r="A9" t="s">
        <v>48</v>
      </c>
      <c r="B9" s="1">
        <v>44327</v>
      </c>
      <c r="C9" t="s">
        <v>49</v>
      </c>
      <c r="D9" t="s">
        <v>50</v>
      </c>
      <c r="E9">
        <v>30402</v>
      </c>
      <c r="F9">
        <v>22.8</v>
      </c>
      <c r="G9">
        <v>36</v>
      </c>
      <c r="H9" t="s">
        <v>26</v>
      </c>
      <c r="I9" t="s">
        <v>20</v>
      </c>
      <c r="J9" t="s">
        <v>21</v>
      </c>
      <c r="K9">
        <v>34234</v>
      </c>
      <c r="L9" t="s">
        <v>33</v>
      </c>
      <c r="M9">
        <v>0.41</v>
      </c>
      <c r="N9">
        <v>0.55000000000000004</v>
      </c>
      <c r="O9">
        <v>3813.31</v>
      </c>
      <c r="P9">
        <v>0</v>
      </c>
      <c r="Q9">
        <f ca="1">DATEDIF(banking_loan_data[[#This Row],[Issue Date]],TODAY(),"M")</f>
        <v>58</v>
      </c>
      <c r="R9">
        <f t="shared" si="0"/>
        <v>20794.968000000001</v>
      </c>
      <c r="S9">
        <f>+banking_loan_data[[#This Row],[Loan Amount]]+banking_loan_data[[#This Row],[Interest earned]]</f>
        <v>51196.968000000001</v>
      </c>
      <c r="T9" s="2">
        <f t="shared" si="1"/>
        <v>-26588.69</v>
      </c>
      <c r="U9" s="2">
        <f t="shared" si="2"/>
        <v>0</v>
      </c>
      <c r="V9" s="2" t="str">
        <f>IF(banking_loan_data[[#This Row],[Loan Status]]="FULLY PAID","GOOD",IF(banking_loan_data[[#This Row],[Loan Status]]="CURRENT","ACTIVE","BAD"))</f>
        <v>ACTIVE</v>
      </c>
      <c r="W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" s="3">
        <f t="shared" si="3"/>
        <v>57763.8</v>
      </c>
      <c r="Y9" s="4">
        <f t="shared" si="4"/>
        <v>-0.87457042299848686</v>
      </c>
      <c r="Z9" s="2" t="str">
        <f t="shared" si="5"/>
        <v>High Risk</v>
      </c>
    </row>
    <row r="10" spans="1:26" x14ac:dyDescent="0.3">
      <c r="A10" t="s">
        <v>51</v>
      </c>
      <c r="B10" s="1">
        <v>44966</v>
      </c>
      <c r="C10" t="s">
        <v>52</v>
      </c>
      <c r="D10" t="s">
        <v>53</v>
      </c>
      <c r="E10">
        <v>5263</v>
      </c>
      <c r="F10">
        <v>14</v>
      </c>
      <c r="G10">
        <v>36</v>
      </c>
      <c r="H10" t="s">
        <v>26</v>
      </c>
      <c r="I10" t="s">
        <v>27</v>
      </c>
      <c r="J10" t="s">
        <v>32</v>
      </c>
      <c r="K10">
        <v>99300</v>
      </c>
      <c r="L10" t="s">
        <v>33</v>
      </c>
      <c r="M10">
        <v>0.21</v>
      </c>
      <c r="N10">
        <v>0.68</v>
      </c>
      <c r="O10">
        <v>885.74</v>
      </c>
      <c r="P10">
        <v>0</v>
      </c>
      <c r="Q10">
        <f ca="1">DATEDIF(banking_loan_data[[#This Row],[Issue Date]],TODAY(),"M")</f>
        <v>37</v>
      </c>
      <c r="R10">
        <f t="shared" si="0"/>
        <v>2210.46</v>
      </c>
      <c r="S10">
        <f>+banking_loan_data[[#This Row],[Loan Amount]]+banking_loan_data[[#This Row],[Interest earned]]</f>
        <v>7473.46</v>
      </c>
      <c r="T10" s="2">
        <f t="shared" si="1"/>
        <v>-4377.26</v>
      </c>
      <c r="U10" s="2">
        <f t="shared" si="2"/>
        <v>0</v>
      </c>
      <c r="V10" s="2" t="str">
        <f>IF(banking_loan_data[[#This Row],[Loan Status]]="FULLY PAID","GOOD",IF(banking_loan_data[[#This Row],[Loan Status]]="CURRENT","ACTIVE","BAD"))</f>
        <v>ACTIVE</v>
      </c>
      <c r="W1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0" s="3">
        <f t="shared" si="3"/>
        <v>6140.1666666716746</v>
      </c>
      <c r="Y10" s="4">
        <f t="shared" si="4"/>
        <v>-0.83170435113053398</v>
      </c>
      <c r="Z10" s="2" t="str">
        <f t="shared" si="5"/>
        <v>Normal</v>
      </c>
    </row>
    <row r="11" spans="1:26" x14ac:dyDescent="0.3">
      <c r="A11" t="s">
        <v>54</v>
      </c>
      <c r="B11" s="1">
        <v>44540</v>
      </c>
      <c r="C11" t="s">
        <v>55</v>
      </c>
      <c r="D11" t="s">
        <v>56</v>
      </c>
      <c r="E11">
        <v>31987</v>
      </c>
      <c r="F11">
        <v>22.6</v>
      </c>
      <c r="G11">
        <v>60</v>
      </c>
      <c r="H11" t="s">
        <v>26</v>
      </c>
      <c r="I11" t="s">
        <v>57</v>
      </c>
      <c r="J11" t="s">
        <v>21</v>
      </c>
      <c r="K11">
        <v>73949</v>
      </c>
      <c r="L11" t="s">
        <v>33</v>
      </c>
      <c r="M11">
        <v>0.18</v>
      </c>
      <c r="N11">
        <v>0.86</v>
      </c>
      <c r="O11">
        <v>2113.92</v>
      </c>
      <c r="P11">
        <v>0</v>
      </c>
      <c r="Q11">
        <f ca="1">DATEDIF(banking_loan_data[[#This Row],[Issue Date]],TODAY(),"M")</f>
        <v>51</v>
      </c>
      <c r="R11">
        <f t="shared" si="0"/>
        <v>36145.310000000005</v>
      </c>
      <c r="S11">
        <f>+banking_loan_data[[#This Row],[Loan Amount]]+banking_loan_data[[#This Row],[Interest earned]]</f>
        <v>68132.31</v>
      </c>
      <c r="T11" s="2">
        <f t="shared" si="1"/>
        <v>-29873.08</v>
      </c>
      <c r="U11" s="2">
        <f t="shared" si="2"/>
        <v>0</v>
      </c>
      <c r="V11" s="2" t="str">
        <f>IF(banking_loan_data[[#This Row],[Loan Status]]="FULLY PAID","GOOD",IF(banking_loan_data[[#This Row],[Loan Status]]="CURRENT","ACTIVE","BAD"))</f>
        <v>ACTIVE</v>
      </c>
      <c r="W1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1" s="3">
        <f t="shared" si="3"/>
        <v>60242.183333333342</v>
      </c>
      <c r="Y11" s="4">
        <f t="shared" si="4"/>
        <v>-0.93391315221808868</v>
      </c>
      <c r="Z11" s="2" t="str">
        <f t="shared" si="5"/>
        <v>High Risk</v>
      </c>
    </row>
    <row r="12" spans="1:26" x14ac:dyDescent="0.3">
      <c r="A12" t="s">
        <v>58</v>
      </c>
      <c r="B12" s="1">
        <v>45002</v>
      </c>
      <c r="C12" t="s">
        <v>59</v>
      </c>
      <c r="D12" t="s">
        <v>25</v>
      </c>
      <c r="E12">
        <v>9646</v>
      </c>
      <c r="F12">
        <v>7.1</v>
      </c>
      <c r="G12">
        <v>60</v>
      </c>
      <c r="H12" t="s">
        <v>60</v>
      </c>
      <c r="I12" t="s">
        <v>27</v>
      </c>
      <c r="J12" t="s">
        <v>47</v>
      </c>
      <c r="K12">
        <v>67405</v>
      </c>
      <c r="L12" t="s">
        <v>33</v>
      </c>
      <c r="M12">
        <v>0.11</v>
      </c>
      <c r="N12">
        <v>0.6</v>
      </c>
      <c r="O12">
        <v>0</v>
      </c>
      <c r="P12">
        <v>0</v>
      </c>
      <c r="Q12">
        <f ca="1">DATEDIF(banking_loan_data[[#This Row],[Issue Date]],TODAY(),"M")</f>
        <v>36</v>
      </c>
      <c r="R12">
        <f t="shared" si="0"/>
        <v>3424.3299999999995</v>
      </c>
      <c r="S12">
        <f>+banking_loan_data[[#This Row],[Loan Amount]]+banking_loan_data[[#This Row],[Interest earned]]</f>
        <v>13070.33</v>
      </c>
      <c r="T12" s="2">
        <f t="shared" si="1"/>
        <v>-9646</v>
      </c>
      <c r="U12" s="2">
        <f t="shared" si="2"/>
        <v>0</v>
      </c>
      <c r="V12" s="2" t="str">
        <f>IF(banking_loan_data[[#This Row],[Loan Status]]="FULLY PAID","GOOD",IF(banking_loan_data[[#This Row],[Loan Status]]="CURRENT","ACTIVE","BAD"))</f>
        <v>BAD</v>
      </c>
      <c r="W1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2" s="3">
        <f t="shared" si="3"/>
        <v>5707.2166666710855</v>
      </c>
      <c r="Y12" s="4">
        <f t="shared" si="4"/>
        <v>-1</v>
      </c>
      <c r="Z12" s="2" t="str">
        <f t="shared" si="5"/>
        <v>Normal</v>
      </c>
    </row>
    <row r="13" spans="1:26" x14ac:dyDescent="0.3">
      <c r="A13" t="s">
        <v>61</v>
      </c>
      <c r="B13" s="1">
        <v>44582</v>
      </c>
      <c r="C13" t="s">
        <v>62</v>
      </c>
      <c r="D13" t="s">
        <v>46</v>
      </c>
      <c r="E13">
        <v>28529</v>
      </c>
      <c r="F13">
        <v>24.8</v>
      </c>
      <c r="G13">
        <v>60</v>
      </c>
      <c r="H13" t="s">
        <v>19</v>
      </c>
      <c r="I13" t="s">
        <v>57</v>
      </c>
      <c r="J13" t="s">
        <v>32</v>
      </c>
      <c r="K13">
        <v>64872</v>
      </c>
      <c r="L13" t="s">
        <v>33</v>
      </c>
      <c r="M13">
        <v>0.37</v>
      </c>
      <c r="N13">
        <v>0.57999999999999996</v>
      </c>
      <c r="O13">
        <v>35604.19</v>
      </c>
      <c r="P13">
        <v>0</v>
      </c>
      <c r="Q13">
        <f ca="1">DATEDIF(banking_loan_data[[#This Row],[Issue Date]],TODAY(),"M")</f>
        <v>49</v>
      </c>
      <c r="R13">
        <f t="shared" si="0"/>
        <v>35375.960000000006</v>
      </c>
      <c r="S13">
        <f>+banking_loan_data[[#This Row],[Loan Amount]]+banking_loan_data[[#This Row],[Interest earned]]</f>
        <v>63904.960000000006</v>
      </c>
      <c r="T13" s="2">
        <f t="shared" si="1"/>
        <v>7075.1900000000023</v>
      </c>
      <c r="U13" s="2">
        <f t="shared" si="2"/>
        <v>0</v>
      </c>
      <c r="V13" s="2" t="str">
        <f>IF(banking_loan_data[[#This Row],[Loan Status]]="FULLY PAID","GOOD",IF(banking_loan_data[[#This Row],[Loan Status]]="CURRENT","ACTIVE","BAD"))</f>
        <v>GOOD</v>
      </c>
      <c r="W1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3" s="3">
        <f t="shared" si="3"/>
        <v>58959.933333333342</v>
      </c>
      <c r="Y13" s="4">
        <f t="shared" si="4"/>
        <v>0.24799992989589548</v>
      </c>
      <c r="Z13" s="2" t="str">
        <f t="shared" si="5"/>
        <v>Normal</v>
      </c>
    </row>
    <row r="14" spans="1:26" x14ac:dyDescent="0.3">
      <c r="A14" t="s">
        <v>63</v>
      </c>
      <c r="B14" s="1">
        <v>45152</v>
      </c>
      <c r="C14" t="s">
        <v>64</v>
      </c>
      <c r="D14" t="s">
        <v>65</v>
      </c>
      <c r="E14">
        <v>12664</v>
      </c>
      <c r="F14">
        <v>13.9</v>
      </c>
      <c r="G14">
        <v>36</v>
      </c>
      <c r="H14" t="s">
        <v>19</v>
      </c>
      <c r="I14" t="s">
        <v>20</v>
      </c>
      <c r="J14" t="s">
        <v>32</v>
      </c>
      <c r="K14">
        <v>72215</v>
      </c>
      <c r="L14" t="s">
        <v>29</v>
      </c>
      <c r="M14">
        <v>0.13</v>
      </c>
      <c r="N14">
        <v>0.93</v>
      </c>
      <c r="O14">
        <v>14424.3</v>
      </c>
      <c r="P14">
        <v>0</v>
      </c>
      <c r="Q14">
        <f ca="1">DATEDIF(banking_loan_data[[#This Row],[Issue Date]],TODAY(),"M")</f>
        <v>31</v>
      </c>
      <c r="R14">
        <f t="shared" si="0"/>
        <v>5280.8879999999999</v>
      </c>
      <c r="S14">
        <f>+banking_loan_data[[#This Row],[Loan Amount]]+banking_loan_data[[#This Row],[Interest earned]]</f>
        <v>17944.887999999999</v>
      </c>
      <c r="T14" s="2">
        <f t="shared" si="1"/>
        <v>1760.2999999999993</v>
      </c>
      <c r="U14" s="2">
        <f t="shared" si="2"/>
        <v>0</v>
      </c>
      <c r="V14" s="2" t="str">
        <f>IF(banking_loan_data[[#This Row],[Loan Status]]="FULLY PAID","GOOD",IF(banking_loan_data[[#This Row],[Loan Status]]="CURRENT","ACTIVE","BAD"))</f>
        <v>GOOD</v>
      </c>
      <c r="W1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4" s="3">
        <f t="shared" si="3"/>
        <v>14669.133333347081</v>
      </c>
      <c r="Y14" s="4">
        <f t="shared" si="4"/>
        <v>0.13900031585596961</v>
      </c>
      <c r="Z14" s="2" t="str">
        <f t="shared" si="5"/>
        <v>High Risk</v>
      </c>
    </row>
    <row r="15" spans="1:26" x14ac:dyDescent="0.3">
      <c r="A15" t="s">
        <v>66</v>
      </c>
      <c r="B15" s="1">
        <v>44473</v>
      </c>
      <c r="C15" t="s">
        <v>67</v>
      </c>
      <c r="D15" t="s">
        <v>46</v>
      </c>
      <c r="E15">
        <v>36737</v>
      </c>
      <c r="F15">
        <v>6</v>
      </c>
      <c r="G15">
        <v>60</v>
      </c>
      <c r="H15" t="s">
        <v>19</v>
      </c>
      <c r="I15" t="s">
        <v>57</v>
      </c>
      <c r="J15" t="s">
        <v>28</v>
      </c>
      <c r="K15">
        <v>53185</v>
      </c>
      <c r="L15" t="s">
        <v>33</v>
      </c>
      <c r="M15">
        <v>0.27</v>
      </c>
      <c r="N15">
        <v>0.59</v>
      </c>
      <c r="O15">
        <v>38941.22</v>
      </c>
      <c r="P15">
        <v>0</v>
      </c>
      <c r="Q15">
        <f ca="1">DATEDIF(banking_loan_data[[#This Row],[Issue Date]],TODAY(),"M")</f>
        <v>53</v>
      </c>
      <c r="R15">
        <f t="shared" si="0"/>
        <v>11021.099999999999</v>
      </c>
      <c r="S15">
        <f>+banking_loan_data[[#This Row],[Loan Amount]]+banking_loan_data[[#This Row],[Interest earned]]</f>
        <v>47758.1</v>
      </c>
      <c r="T15" s="2">
        <f t="shared" si="1"/>
        <v>2204.2200000000012</v>
      </c>
      <c r="U15" s="2">
        <f t="shared" si="2"/>
        <v>0</v>
      </c>
      <c r="V15" s="2" t="str">
        <f>IF(banking_loan_data[[#This Row],[Loan Status]]="FULLY PAID","GOOD",IF(banking_loan_data[[#This Row],[Loan Status]]="CURRENT","ACTIVE","BAD"))</f>
        <v>GOOD</v>
      </c>
      <c r="W1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5" s="3">
        <f t="shared" si="3"/>
        <v>18368.500000499571</v>
      </c>
      <c r="Y15" s="4">
        <f t="shared" si="4"/>
        <v>6.0000000000000032E-2</v>
      </c>
      <c r="Z15" s="2" t="str">
        <f t="shared" si="5"/>
        <v>Normal</v>
      </c>
    </row>
    <row r="16" spans="1:26" x14ac:dyDescent="0.3">
      <c r="A16" t="s">
        <v>68</v>
      </c>
      <c r="B16" s="1">
        <v>44656</v>
      </c>
      <c r="C16" t="s">
        <v>69</v>
      </c>
      <c r="D16" t="s">
        <v>65</v>
      </c>
      <c r="E16">
        <v>36796</v>
      </c>
      <c r="F16">
        <v>5.8</v>
      </c>
      <c r="G16">
        <v>60</v>
      </c>
      <c r="H16" t="s">
        <v>26</v>
      </c>
      <c r="I16" t="s">
        <v>20</v>
      </c>
      <c r="J16" t="s">
        <v>21</v>
      </c>
      <c r="K16">
        <v>73442</v>
      </c>
      <c r="L16" t="s">
        <v>29</v>
      </c>
      <c r="M16">
        <v>0.34</v>
      </c>
      <c r="N16">
        <v>0.62</v>
      </c>
      <c r="O16">
        <v>13503.79</v>
      </c>
      <c r="P16">
        <v>0</v>
      </c>
      <c r="Q16">
        <f ca="1">DATEDIF(banking_loan_data[[#This Row],[Issue Date]],TODAY(),"M")</f>
        <v>47</v>
      </c>
      <c r="R16">
        <f t="shared" si="0"/>
        <v>10670.839999999998</v>
      </c>
      <c r="S16">
        <f>+banking_loan_data[[#This Row],[Loan Amount]]+banking_loan_data[[#This Row],[Interest earned]]</f>
        <v>47466.84</v>
      </c>
      <c r="T16" s="2">
        <f t="shared" si="1"/>
        <v>-23292.21</v>
      </c>
      <c r="U16" s="2">
        <f t="shared" si="2"/>
        <v>0</v>
      </c>
      <c r="V16" s="2" t="str">
        <f>IF(banking_loan_data[[#This Row],[Loan Status]]="FULLY PAID","GOOD",IF(banking_loan_data[[#This Row],[Loan Status]]="CURRENT","ACTIVE","BAD"))</f>
        <v>ACTIVE</v>
      </c>
      <c r="W1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6" s="3">
        <f t="shared" si="3"/>
        <v>17784.733334278968</v>
      </c>
      <c r="Y16" s="4">
        <f t="shared" si="4"/>
        <v>-0.63300929448853138</v>
      </c>
      <c r="Z16" s="2" t="str">
        <f t="shared" si="5"/>
        <v>Normal</v>
      </c>
    </row>
    <row r="17" spans="1:26" x14ac:dyDescent="0.3">
      <c r="A17" t="s">
        <v>70</v>
      </c>
      <c r="B17" s="1">
        <v>44218</v>
      </c>
      <c r="C17" t="s">
        <v>71</v>
      </c>
      <c r="D17" t="s">
        <v>72</v>
      </c>
      <c r="E17">
        <v>25027</v>
      </c>
      <c r="F17">
        <v>19.899999999999999</v>
      </c>
      <c r="G17">
        <v>36</v>
      </c>
      <c r="H17" t="s">
        <v>19</v>
      </c>
      <c r="I17" t="s">
        <v>73</v>
      </c>
      <c r="J17" t="s">
        <v>21</v>
      </c>
      <c r="K17">
        <v>81759</v>
      </c>
      <c r="L17" t="s">
        <v>33</v>
      </c>
      <c r="M17">
        <v>0.47</v>
      </c>
      <c r="N17">
        <v>0.94</v>
      </c>
      <c r="O17">
        <v>30007.37</v>
      </c>
      <c r="P17">
        <v>0</v>
      </c>
      <c r="Q17">
        <f ca="1">DATEDIF(banking_loan_data[[#This Row],[Issue Date]],TODAY(),"M")</f>
        <v>61</v>
      </c>
      <c r="R17">
        <f t="shared" si="0"/>
        <v>14941.118999999999</v>
      </c>
      <c r="S17">
        <f>+banking_loan_data[[#This Row],[Loan Amount]]+banking_loan_data[[#This Row],[Interest earned]]</f>
        <v>39968.118999999999</v>
      </c>
      <c r="T17" s="2">
        <f t="shared" si="1"/>
        <v>4980.369999999999</v>
      </c>
      <c r="U17" s="2">
        <f t="shared" si="2"/>
        <v>0</v>
      </c>
      <c r="V17" s="2" t="str">
        <f>IF(banking_loan_data[[#This Row],[Loan Status]]="FULLY PAID","GOOD",IF(banking_loan_data[[#This Row],[Loan Status]]="CURRENT","ACTIVE","BAD"))</f>
        <v>GOOD</v>
      </c>
      <c r="W1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7" s="3">
        <f t="shared" si="3"/>
        <v>41503.108333333352</v>
      </c>
      <c r="Y17" s="4">
        <f t="shared" si="4"/>
        <v>0.19899988012946015</v>
      </c>
      <c r="Z17" s="2" t="str">
        <f t="shared" si="5"/>
        <v>High Risk</v>
      </c>
    </row>
    <row r="18" spans="1:26" x14ac:dyDescent="0.3">
      <c r="A18" t="s">
        <v>74</v>
      </c>
      <c r="B18" s="1">
        <v>44449</v>
      </c>
      <c r="C18" t="s">
        <v>75</v>
      </c>
      <c r="D18" t="s">
        <v>76</v>
      </c>
      <c r="E18">
        <v>30373</v>
      </c>
      <c r="F18">
        <v>18.2</v>
      </c>
      <c r="G18">
        <v>60</v>
      </c>
      <c r="H18" t="s">
        <v>26</v>
      </c>
      <c r="I18" t="s">
        <v>20</v>
      </c>
      <c r="J18" t="s">
        <v>28</v>
      </c>
      <c r="K18">
        <v>71153</v>
      </c>
      <c r="L18" t="s">
        <v>22</v>
      </c>
      <c r="M18">
        <v>0.22</v>
      </c>
      <c r="N18">
        <v>0.83</v>
      </c>
      <c r="O18">
        <v>8244.83</v>
      </c>
      <c r="P18">
        <v>0</v>
      </c>
      <c r="Q18">
        <f ca="1">DATEDIF(banking_loan_data[[#This Row],[Issue Date]],TODAY(),"M")</f>
        <v>54</v>
      </c>
      <c r="R18">
        <f t="shared" si="0"/>
        <v>27639.429999999997</v>
      </c>
      <c r="S18">
        <f>+banking_loan_data[[#This Row],[Loan Amount]]+banking_loan_data[[#This Row],[Interest earned]]</f>
        <v>58012.429999999993</v>
      </c>
      <c r="T18" s="2">
        <f t="shared" si="1"/>
        <v>-22128.17</v>
      </c>
      <c r="U18" s="2">
        <f t="shared" si="2"/>
        <v>0</v>
      </c>
      <c r="V18" s="2" t="str">
        <f>IF(banking_loan_data[[#This Row],[Loan Status]]="FULLY PAID","GOOD",IF(banking_loan_data[[#This Row],[Loan Status]]="CURRENT","ACTIVE","BAD"))</f>
        <v>ACTIVE</v>
      </c>
      <c r="W1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8" s="3">
        <f t="shared" si="3"/>
        <v>46065.716666666667</v>
      </c>
      <c r="Y18" s="4">
        <f t="shared" si="4"/>
        <v>-0.72854739406709901</v>
      </c>
      <c r="Z18" s="2" t="str">
        <f t="shared" si="5"/>
        <v>High Risk</v>
      </c>
    </row>
    <row r="19" spans="1:26" x14ac:dyDescent="0.3">
      <c r="A19" t="s">
        <v>77</v>
      </c>
      <c r="B19" s="1">
        <v>44944</v>
      </c>
      <c r="C19" t="s">
        <v>78</v>
      </c>
      <c r="D19" t="s">
        <v>18</v>
      </c>
      <c r="E19">
        <v>37397</v>
      </c>
      <c r="F19">
        <v>21</v>
      </c>
      <c r="G19">
        <v>60</v>
      </c>
      <c r="H19" t="s">
        <v>19</v>
      </c>
      <c r="I19" t="s">
        <v>73</v>
      </c>
      <c r="J19" t="s">
        <v>37</v>
      </c>
      <c r="K19">
        <v>107535</v>
      </c>
      <c r="L19" t="s">
        <v>29</v>
      </c>
      <c r="M19">
        <v>0.2</v>
      </c>
      <c r="N19">
        <v>0.81</v>
      </c>
      <c r="O19">
        <v>45250.37</v>
      </c>
      <c r="P19">
        <v>0</v>
      </c>
      <c r="Q19">
        <f ca="1">DATEDIF(banking_loan_data[[#This Row],[Issue Date]],TODAY(),"M")</f>
        <v>38</v>
      </c>
      <c r="R19">
        <f t="shared" si="0"/>
        <v>39266.85</v>
      </c>
      <c r="S19">
        <f>+banking_loan_data[[#This Row],[Loan Amount]]+banking_loan_data[[#This Row],[Interest earned]]</f>
        <v>76663.850000000006</v>
      </c>
      <c r="T19" s="2">
        <f t="shared" si="1"/>
        <v>7853.3700000000026</v>
      </c>
      <c r="U19" s="2">
        <f t="shared" si="2"/>
        <v>0</v>
      </c>
      <c r="V19" s="2" t="str">
        <f>IF(banking_loan_data[[#This Row],[Loan Status]]="FULLY PAID","GOOD",IF(banking_loan_data[[#This Row],[Loan Status]]="CURRENT","ACTIVE","BAD"))</f>
        <v>GOOD</v>
      </c>
      <c r="W1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9" s="3">
        <f t="shared" si="3"/>
        <v>65444.75</v>
      </c>
      <c r="Y19" s="4">
        <f t="shared" si="4"/>
        <v>0.21000000000000008</v>
      </c>
      <c r="Z19" s="2" t="str">
        <f t="shared" si="5"/>
        <v>High Risk</v>
      </c>
    </row>
    <row r="20" spans="1:26" x14ac:dyDescent="0.3">
      <c r="A20" t="s">
        <v>79</v>
      </c>
      <c r="B20" s="1">
        <v>45053</v>
      </c>
      <c r="C20" t="s">
        <v>80</v>
      </c>
      <c r="D20" t="s">
        <v>76</v>
      </c>
      <c r="E20">
        <v>21609</v>
      </c>
      <c r="F20">
        <v>7.1</v>
      </c>
      <c r="G20">
        <v>60</v>
      </c>
      <c r="H20" t="s">
        <v>81</v>
      </c>
      <c r="I20" t="s">
        <v>36</v>
      </c>
      <c r="J20" t="s">
        <v>47</v>
      </c>
      <c r="K20">
        <v>132023</v>
      </c>
      <c r="L20" t="s">
        <v>22</v>
      </c>
      <c r="M20">
        <v>0.36</v>
      </c>
      <c r="N20">
        <v>0.88</v>
      </c>
      <c r="O20">
        <v>2771.85</v>
      </c>
      <c r="P20">
        <v>10111.4</v>
      </c>
      <c r="Q20">
        <f ca="1">DATEDIF(banking_loan_data[[#This Row],[Issue Date]],TODAY(),"M")</f>
        <v>34</v>
      </c>
      <c r="R20">
        <f t="shared" si="0"/>
        <v>7671.1949999999997</v>
      </c>
      <c r="S20">
        <f>+banking_loan_data[[#This Row],[Loan Amount]]+banking_loan_data[[#This Row],[Interest earned]]</f>
        <v>29280.195</v>
      </c>
      <c r="T20" s="2">
        <f t="shared" si="1"/>
        <v>-8725.75</v>
      </c>
      <c r="U20" s="2">
        <f t="shared" si="2"/>
        <v>1</v>
      </c>
      <c r="V20" s="2" t="str">
        <f>IF(banking_loan_data[[#This Row],[Loan Status]]="FULLY PAID","GOOD",IF(banking_loan_data[[#This Row],[Loan Status]]="CURRENT","ACTIVE","BAD"))</f>
        <v>BAD</v>
      </c>
      <c r="W2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0" s="3">
        <f t="shared" si="3"/>
        <v>12785.3250000099</v>
      </c>
      <c r="Y20" s="4">
        <f t="shared" si="4"/>
        <v>-0.4038016567171086</v>
      </c>
      <c r="Z20" s="2" t="str">
        <f t="shared" si="5"/>
        <v>High Risk</v>
      </c>
    </row>
    <row r="21" spans="1:26" x14ac:dyDescent="0.3">
      <c r="A21" t="s">
        <v>82</v>
      </c>
      <c r="B21" s="1">
        <v>44671</v>
      </c>
      <c r="C21" t="s">
        <v>83</v>
      </c>
      <c r="D21" t="s">
        <v>46</v>
      </c>
      <c r="E21">
        <v>36835</v>
      </c>
      <c r="F21">
        <v>5.7</v>
      </c>
      <c r="G21">
        <v>60</v>
      </c>
      <c r="H21" t="s">
        <v>81</v>
      </c>
      <c r="I21" t="s">
        <v>84</v>
      </c>
      <c r="J21" t="s">
        <v>21</v>
      </c>
      <c r="K21">
        <v>32581</v>
      </c>
      <c r="L21" t="s">
        <v>33</v>
      </c>
      <c r="M21">
        <v>0.35</v>
      </c>
      <c r="N21">
        <v>0.55000000000000004</v>
      </c>
      <c r="O21">
        <v>5580.8</v>
      </c>
      <c r="P21">
        <v>9880.57</v>
      </c>
      <c r="Q21">
        <f ca="1">DATEDIF(banking_loan_data[[#This Row],[Issue Date]],TODAY(),"M")</f>
        <v>46</v>
      </c>
      <c r="R21">
        <f t="shared" si="0"/>
        <v>10497.974999999999</v>
      </c>
      <c r="S21">
        <f>+banking_loan_data[[#This Row],[Loan Amount]]+banking_loan_data[[#This Row],[Interest earned]]</f>
        <v>47332.974999999999</v>
      </c>
      <c r="T21" s="2">
        <f t="shared" si="1"/>
        <v>-21373.63</v>
      </c>
      <c r="U21" s="2">
        <f t="shared" si="2"/>
        <v>1</v>
      </c>
      <c r="V21" s="2" t="str">
        <f>IF(banking_loan_data[[#This Row],[Loan Status]]="FULLY PAID","GOOD",IF(banking_loan_data[[#This Row],[Loan Status]]="CURRENT","ACTIVE","BAD"))</f>
        <v>BAD</v>
      </c>
      <c r="W2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1" s="3">
        <f t="shared" si="3"/>
        <v>17496.625001304466</v>
      </c>
      <c r="Y21" s="4">
        <f t="shared" si="4"/>
        <v>-0.58025329170625761</v>
      </c>
      <c r="Z21" s="2" t="str">
        <f t="shared" si="5"/>
        <v>Normal</v>
      </c>
    </row>
    <row r="22" spans="1:26" x14ac:dyDescent="0.3">
      <c r="A22" t="s">
        <v>85</v>
      </c>
      <c r="B22" s="1">
        <v>45279</v>
      </c>
      <c r="C22" t="s">
        <v>86</v>
      </c>
      <c r="D22" t="s">
        <v>76</v>
      </c>
      <c r="E22">
        <v>39709</v>
      </c>
      <c r="F22">
        <v>15.2</v>
      </c>
      <c r="G22">
        <v>36</v>
      </c>
      <c r="H22" t="s">
        <v>19</v>
      </c>
      <c r="I22" t="s">
        <v>36</v>
      </c>
      <c r="J22" t="s">
        <v>28</v>
      </c>
      <c r="K22">
        <v>81717</v>
      </c>
      <c r="L22" t="s">
        <v>33</v>
      </c>
      <c r="M22">
        <v>0.23</v>
      </c>
      <c r="N22">
        <v>0.82</v>
      </c>
      <c r="O22">
        <v>45744.77</v>
      </c>
      <c r="P22">
        <v>0</v>
      </c>
      <c r="Q22">
        <f ca="1">DATEDIF(banking_loan_data[[#This Row],[Issue Date]],TODAY(),"M")</f>
        <v>27</v>
      </c>
      <c r="R22">
        <f t="shared" si="0"/>
        <v>18107.303999999996</v>
      </c>
      <c r="S22">
        <f>+banking_loan_data[[#This Row],[Loan Amount]]+banking_loan_data[[#This Row],[Interest earned]]</f>
        <v>57816.303999999996</v>
      </c>
      <c r="T22" s="2">
        <f t="shared" si="1"/>
        <v>6035.7699999999968</v>
      </c>
      <c r="U22" s="2">
        <f t="shared" si="2"/>
        <v>0</v>
      </c>
      <c r="V22" s="2" t="str">
        <f>IF(banking_loan_data[[#This Row],[Loan Status]]="FULLY PAID","GOOD",IF(banking_loan_data[[#This Row],[Loan Status]]="CURRENT","ACTIVE","BAD"))</f>
        <v>GOOD</v>
      </c>
      <c r="W2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2" s="3">
        <f t="shared" si="3"/>
        <v>50298.066666674749</v>
      </c>
      <c r="Y22" s="4">
        <f t="shared" si="4"/>
        <v>0.15200005036641559</v>
      </c>
      <c r="Z22" s="2" t="str">
        <f t="shared" si="5"/>
        <v>High Risk</v>
      </c>
    </row>
    <row r="23" spans="1:26" x14ac:dyDescent="0.3">
      <c r="A23" t="s">
        <v>87</v>
      </c>
      <c r="B23" s="1">
        <v>44707</v>
      </c>
      <c r="C23" t="s">
        <v>88</v>
      </c>
      <c r="D23" t="s">
        <v>56</v>
      </c>
      <c r="E23">
        <v>20250</v>
      </c>
      <c r="F23">
        <v>12.8</v>
      </c>
      <c r="G23">
        <v>60</v>
      </c>
      <c r="H23" t="s">
        <v>19</v>
      </c>
      <c r="I23" t="s">
        <v>36</v>
      </c>
      <c r="J23" t="s">
        <v>32</v>
      </c>
      <c r="K23">
        <v>32763</v>
      </c>
      <c r="L23" t="s">
        <v>22</v>
      </c>
      <c r="M23">
        <v>0.47</v>
      </c>
      <c r="N23">
        <v>0.73</v>
      </c>
      <c r="O23">
        <v>22842</v>
      </c>
      <c r="P23">
        <v>0</v>
      </c>
      <c r="Q23">
        <f ca="1">DATEDIF(banking_loan_data[[#This Row],[Issue Date]],TODAY(),"M")</f>
        <v>45</v>
      </c>
      <c r="R23">
        <f t="shared" si="0"/>
        <v>12960</v>
      </c>
      <c r="S23">
        <f>+banking_loan_data[[#This Row],[Loan Amount]]+banking_loan_data[[#This Row],[Interest earned]]</f>
        <v>33210</v>
      </c>
      <c r="T23" s="2">
        <f t="shared" si="1"/>
        <v>2592</v>
      </c>
      <c r="U23" s="2">
        <f t="shared" si="2"/>
        <v>0</v>
      </c>
      <c r="V23" s="2" t="str">
        <f>IF(banking_loan_data[[#This Row],[Loan Status]]="FULLY PAID","GOOD",IF(banking_loan_data[[#This Row],[Loan Status]]="CURRENT","ACTIVE","BAD"))</f>
        <v>GOOD</v>
      </c>
      <c r="W2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3" s="3">
        <f t="shared" si="3"/>
        <v>21600</v>
      </c>
      <c r="Y23" s="4">
        <f t="shared" si="4"/>
        <v>0.128</v>
      </c>
      <c r="Z23" s="2" t="str">
        <f t="shared" si="5"/>
        <v>High Risk</v>
      </c>
    </row>
    <row r="24" spans="1:26" x14ac:dyDescent="0.3">
      <c r="A24" t="s">
        <v>89</v>
      </c>
      <c r="B24" s="1">
        <v>44896</v>
      </c>
      <c r="C24" t="s">
        <v>90</v>
      </c>
      <c r="D24" t="s">
        <v>72</v>
      </c>
      <c r="E24">
        <v>22172</v>
      </c>
      <c r="F24">
        <v>14.2</v>
      </c>
      <c r="G24">
        <v>60</v>
      </c>
      <c r="H24" t="s">
        <v>26</v>
      </c>
      <c r="I24" t="s">
        <v>20</v>
      </c>
      <c r="J24" t="s">
        <v>28</v>
      </c>
      <c r="K24">
        <v>122910</v>
      </c>
      <c r="L24" t="s">
        <v>33</v>
      </c>
      <c r="M24">
        <v>0.44</v>
      </c>
      <c r="N24">
        <v>0.87</v>
      </c>
      <c r="O24">
        <v>2131.63</v>
      </c>
      <c r="P24">
        <v>0</v>
      </c>
      <c r="Q24">
        <f ca="1">DATEDIF(banking_loan_data[[#This Row],[Issue Date]],TODAY(),"M")</f>
        <v>39</v>
      </c>
      <c r="R24">
        <f t="shared" si="0"/>
        <v>15742.119999999997</v>
      </c>
      <c r="S24">
        <f>+banking_loan_data[[#This Row],[Loan Amount]]+banking_loan_data[[#This Row],[Interest earned]]</f>
        <v>37914.119999999995</v>
      </c>
      <c r="T24" s="2">
        <f t="shared" si="1"/>
        <v>-20040.37</v>
      </c>
      <c r="U24" s="2">
        <f t="shared" si="2"/>
        <v>0</v>
      </c>
      <c r="V24" s="2" t="str">
        <f>IF(banking_loan_data[[#This Row],[Loan Status]]="FULLY PAID","GOOD",IF(banking_loan_data[[#This Row],[Loan Status]]="CURRENT","ACTIVE","BAD"))</f>
        <v>ACTIVE</v>
      </c>
      <c r="W2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4" s="3">
        <f t="shared" si="3"/>
        <v>26236.866666666669</v>
      </c>
      <c r="Y24" s="4">
        <f t="shared" si="4"/>
        <v>-0.90385937218112933</v>
      </c>
      <c r="Z24" s="2" t="str">
        <f t="shared" si="5"/>
        <v>High Risk</v>
      </c>
    </row>
    <row r="25" spans="1:26" x14ac:dyDescent="0.3">
      <c r="A25" t="s">
        <v>91</v>
      </c>
      <c r="B25" s="1">
        <v>45172</v>
      </c>
      <c r="C25" t="s">
        <v>92</v>
      </c>
      <c r="D25" t="s">
        <v>53</v>
      </c>
      <c r="E25">
        <v>12555</v>
      </c>
      <c r="F25">
        <v>24.8</v>
      </c>
      <c r="G25">
        <v>36</v>
      </c>
      <c r="H25" t="s">
        <v>19</v>
      </c>
      <c r="I25" t="s">
        <v>20</v>
      </c>
      <c r="J25" t="s">
        <v>37</v>
      </c>
      <c r="K25">
        <v>85480</v>
      </c>
      <c r="L25" t="s">
        <v>22</v>
      </c>
      <c r="M25">
        <v>0.19</v>
      </c>
      <c r="N25">
        <v>0.73</v>
      </c>
      <c r="O25">
        <v>15668.64</v>
      </c>
      <c r="P25">
        <v>0</v>
      </c>
      <c r="Q25">
        <f ca="1">DATEDIF(banking_loan_data[[#This Row],[Issue Date]],TODAY(),"M")</f>
        <v>30</v>
      </c>
      <c r="R25">
        <f t="shared" si="0"/>
        <v>9340.92</v>
      </c>
      <c r="S25">
        <f>+banking_loan_data[[#This Row],[Loan Amount]]+banking_loan_data[[#This Row],[Interest earned]]</f>
        <v>21895.919999999998</v>
      </c>
      <c r="T25" s="2">
        <f t="shared" si="1"/>
        <v>3113.6399999999994</v>
      </c>
      <c r="U25" s="2">
        <f t="shared" si="2"/>
        <v>0</v>
      </c>
      <c r="V25" s="2" t="str">
        <f>IF(banking_loan_data[[#This Row],[Loan Status]]="FULLY PAID","GOOD",IF(banking_loan_data[[#This Row],[Loan Status]]="CURRENT","ACTIVE","BAD"))</f>
        <v>GOOD</v>
      </c>
      <c r="W2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5" s="3">
        <f t="shared" si="3"/>
        <v>25947.000000000004</v>
      </c>
      <c r="Y25" s="4">
        <f t="shared" si="4"/>
        <v>0.24799999999999994</v>
      </c>
      <c r="Z25" s="2" t="str">
        <f t="shared" si="5"/>
        <v>Normal</v>
      </c>
    </row>
    <row r="26" spans="1:26" x14ac:dyDescent="0.3">
      <c r="A26" t="s">
        <v>93</v>
      </c>
      <c r="B26" s="1">
        <v>44386</v>
      </c>
      <c r="C26" t="s">
        <v>94</v>
      </c>
      <c r="D26" t="s">
        <v>72</v>
      </c>
      <c r="E26">
        <v>22874</v>
      </c>
      <c r="F26">
        <v>24.4</v>
      </c>
      <c r="G26">
        <v>60</v>
      </c>
      <c r="H26" t="s">
        <v>19</v>
      </c>
      <c r="I26" t="s">
        <v>73</v>
      </c>
      <c r="J26" t="s">
        <v>47</v>
      </c>
      <c r="K26">
        <v>68759</v>
      </c>
      <c r="L26" t="s">
        <v>33</v>
      </c>
      <c r="M26">
        <v>0.2</v>
      </c>
      <c r="N26">
        <v>0.78</v>
      </c>
      <c r="O26">
        <v>28455.26</v>
      </c>
      <c r="P26">
        <v>0</v>
      </c>
      <c r="Q26">
        <f ca="1">DATEDIF(banking_loan_data[[#This Row],[Issue Date]],TODAY(),"M")</f>
        <v>56</v>
      </c>
      <c r="R26">
        <f t="shared" si="0"/>
        <v>27906.28</v>
      </c>
      <c r="S26">
        <f>+banking_loan_data[[#This Row],[Loan Amount]]+banking_loan_data[[#This Row],[Interest earned]]</f>
        <v>50780.28</v>
      </c>
      <c r="T26" s="2">
        <f t="shared" si="1"/>
        <v>5581.2599999999984</v>
      </c>
      <c r="U26" s="2">
        <f t="shared" si="2"/>
        <v>0</v>
      </c>
      <c r="V26" s="2" t="str">
        <f>IF(banking_loan_data[[#This Row],[Loan Status]]="FULLY PAID","GOOD",IF(banking_loan_data[[#This Row],[Loan Status]]="CURRENT","ACTIVE","BAD"))</f>
        <v>GOOD</v>
      </c>
      <c r="W2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6" s="3">
        <f t="shared" si="3"/>
        <v>46510.466666666667</v>
      </c>
      <c r="Y26" s="4">
        <f t="shared" si="4"/>
        <v>0.24400017487103254</v>
      </c>
      <c r="Z26" s="2" t="str">
        <f t="shared" si="5"/>
        <v>Normal</v>
      </c>
    </row>
    <row r="27" spans="1:26" x14ac:dyDescent="0.3">
      <c r="A27" t="s">
        <v>95</v>
      </c>
      <c r="B27" s="1">
        <v>45154</v>
      </c>
      <c r="C27" t="s">
        <v>96</v>
      </c>
      <c r="D27" t="s">
        <v>25</v>
      </c>
      <c r="E27">
        <v>14081</v>
      </c>
      <c r="F27">
        <v>23.8</v>
      </c>
      <c r="G27">
        <v>36</v>
      </c>
      <c r="H27" t="s">
        <v>26</v>
      </c>
      <c r="I27" t="s">
        <v>36</v>
      </c>
      <c r="J27" t="s">
        <v>37</v>
      </c>
      <c r="K27">
        <v>106067</v>
      </c>
      <c r="L27" t="s">
        <v>33</v>
      </c>
      <c r="M27">
        <v>0.3</v>
      </c>
      <c r="N27">
        <v>0.71</v>
      </c>
      <c r="O27">
        <v>4585.71</v>
      </c>
      <c r="P27">
        <v>0</v>
      </c>
      <c r="Q27">
        <f ca="1">DATEDIF(banking_loan_data[[#This Row],[Issue Date]],TODAY(),"M")</f>
        <v>31</v>
      </c>
      <c r="R27">
        <f t="shared" si="0"/>
        <v>10053.833999999999</v>
      </c>
      <c r="S27">
        <f>+banking_loan_data[[#This Row],[Loan Amount]]+banking_loan_data[[#This Row],[Interest earned]]</f>
        <v>24134.833999999999</v>
      </c>
      <c r="T27" s="2">
        <f t="shared" si="1"/>
        <v>-9495.2900000000009</v>
      </c>
      <c r="U27" s="2">
        <f t="shared" si="2"/>
        <v>0</v>
      </c>
      <c r="V27" s="2" t="str">
        <f>IF(banking_loan_data[[#This Row],[Loan Status]]="FULLY PAID","GOOD",IF(banking_loan_data[[#This Row],[Loan Status]]="CURRENT","ACTIVE","BAD"))</f>
        <v>ACTIVE</v>
      </c>
      <c r="W2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7" s="3">
        <f t="shared" si="3"/>
        <v>27927.316666666666</v>
      </c>
      <c r="Y27" s="4">
        <f t="shared" si="4"/>
        <v>-0.67433349904126139</v>
      </c>
      <c r="Z27" s="2" t="str">
        <f t="shared" si="5"/>
        <v>Normal</v>
      </c>
    </row>
    <row r="28" spans="1:26" x14ac:dyDescent="0.3">
      <c r="A28" t="s">
        <v>97</v>
      </c>
      <c r="B28" s="1">
        <v>44883</v>
      </c>
      <c r="C28" t="s">
        <v>98</v>
      </c>
      <c r="D28" t="s">
        <v>56</v>
      </c>
      <c r="E28">
        <v>25063</v>
      </c>
      <c r="F28">
        <v>20.7</v>
      </c>
      <c r="G28">
        <v>36</v>
      </c>
      <c r="H28" t="s">
        <v>19</v>
      </c>
      <c r="I28" t="s">
        <v>41</v>
      </c>
      <c r="J28" t="s">
        <v>32</v>
      </c>
      <c r="K28">
        <v>148094</v>
      </c>
      <c r="L28" t="s">
        <v>29</v>
      </c>
      <c r="M28">
        <v>0.41</v>
      </c>
      <c r="N28">
        <v>0.72</v>
      </c>
      <c r="O28">
        <v>30251.040000000001</v>
      </c>
      <c r="P28">
        <v>0</v>
      </c>
      <c r="Q28">
        <f ca="1">DATEDIF(banking_loan_data[[#This Row],[Issue Date]],TODAY(),"M")</f>
        <v>40</v>
      </c>
      <c r="R28">
        <f t="shared" si="0"/>
        <v>15564.123</v>
      </c>
      <c r="S28">
        <f>+banking_loan_data[[#This Row],[Loan Amount]]+banking_loan_data[[#This Row],[Interest earned]]</f>
        <v>40627.123</v>
      </c>
      <c r="T28" s="2">
        <f t="shared" si="1"/>
        <v>5188.0400000000009</v>
      </c>
      <c r="U28" s="2">
        <f t="shared" si="2"/>
        <v>0</v>
      </c>
      <c r="V28" s="2" t="str">
        <f>IF(banking_loan_data[[#This Row],[Loan Status]]="FULLY PAID","GOOD",IF(banking_loan_data[[#This Row],[Loan Status]]="CURRENT","ACTIVE","BAD"))</f>
        <v>GOOD</v>
      </c>
      <c r="W2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8" s="3">
        <f t="shared" si="3"/>
        <v>43233.67500000001</v>
      </c>
      <c r="Y28" s="4">
        <f t="shared" si="4"/>
        <v>0.20699996010054666</v>
      </c>
      <c r="Z28" s="2" t="str">
        <f t="shared" si="5"/>
        <v>High Risk</v>
      </c>
    </row>
    <row r="29" spans="1:26" x14ac:dyDescent="0.3">
      <c r="A29" t="s">
        <v>99</v>
      </c>
      <c r="B29" s="1">
        <v>45154</v>
      </c>
      <c r="C29" t="s">
        <v>100</v>
      </c>
      <c r="D29" t="s">
        <v>76</v>
      </c>
      <c r="E29">
        <v>7819</v>
      </c>
      <c r="F29">
        <v>12.1</v>
      </c>
      <c r="G29">
        <v>36</v>
      </c>
      <c r="H29" t="s">
        <v>26</v>
      </c>
      <c r="I29" t="s">
        <v>20</v>
      </c>
      <c r="J29" t="s">
        <v>32</v>
      </c>
      <c r="K29">
        <v>55307</v>
      </c>
      <c r="L29" t="s">
        <v>22</v>
      </c>
      <c r="M29">
        <v>0.12</v>
      </c>
      <c r="N29">
        <v>0.85</v>
      </c>
      <c r="O29">
        <v>722.43</v>
      </c>
      <c r="P29">
        <v>0</v>
      </c>
      <c r="Q29">
        <f ca="1">DATEDIF(banking_loan_data[[#This Row],[Issue Date]],TODAY(),"M")</f>
        <v>31</v>
      </c>
      <c r="R29">
        <f t="shared" si="0"/>
        <v>2838.297</v>
      </c>
      <c r="S29">
        <f>+banking_loan_data[[#This Row],[Loan Amount]]+banking_loan_data[[#This Row],[Interest earned]]</f>
        <v>10657.297</v>
      </c>
      <c r="T29" s="2">
        <f t="shared" si="1"/>
        <v>-7096.57</v>
      </c>
      <c r="U29" s="2">
        <f t="shared" si="2"/>
        <v>0</v>
      </c>
      <c r="V29" s="2" t="str">
        <f>IF(banking_loan_data[[#This Row],[Loan Status]]="FULLY PAID","GOOD",IF(banking_loan_data[[#This Row],[Loan Status]]="CURRENT","ACTIVE","BAD"))</f>
        <v>ACTIVE</v>
      </c>
      <c r="W2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9" s="3">
        <f t="shared" si="3"/>
        <v>7884.1583334321131</v>
      </c>
      <c r="Y29" s="4">
        <f t="shared" si="4"/>
        <v>-0.90760583194781941</v>
      </c>
      <c r="Z29" s="2" t="str">
        <f t="shared" si="5"/>
        <v>High Risk</v>
      </c>
    </row>
    <row r="30" spans="1:26" x14ac:dyDescent="0.3">
      <c r="A30" t="s">
        <v>101</v>
      </c>
      <c r="B30" s="1">
        <v>44759</v>
      </c>
      <c r="C30" t="s">
        <v>102</v>
      </c>
      <c r="D30" t="s">
        <v>53</v>
      </c>
      <c r="E30">
        <v>26712</v>
      </c>
      <c r="F30">
        <v>13.2</v>
      </c>
      <c r="G30">
        <v>60</v>
      </c>
      <c r="H30" t="s">
        <v>26</v>
      </c>
      <c r="I30" t="s">
        <v>57</v>
      </c>
      <c r="J30" t="s">
        <v>32</v>
      </c>
      <c r="K30">
        <v>126371</v>
      </c>
      <c r="L30" t="s">
        <v>33</v>
      </c>
      <c r="M30">
        <v>0.38</v>
      </c>
      <c r="N30">
        <v>0.78</v>
      </c>
      <c r="O30">
        <v>10402.379999999999</v>
      </c>
      <c r="P30">
        <v>0</v>
      </c>
      <c r="Q30">
        <f ca="1">DATEDIF(banking_loan_data[[#This Row],[Issue Date]],TODAY(),"M")</f>
        <v>44</v>
      </c>
      <c r="R30">
        <f t="shared" si="0"/>
        <v>17629.919999999998</v>
      </c>
      <c r="S30">
        <f>+banking_loan_data[[#This Row],[Loan Amount]]+banking_loan_data[[#This Row],[Interest earned]]</f>
        <v>44341.919999999998</v>
      </c>
      <c r="T30" s="2">
        <f t="shared" si="1"/>
        <v>-16309.62</v>
      </c>
      <c r="U30" s="2">
        <f t="shared" si="2"/>
        <v>0</v>
      </c>
      <c r="V30" s="2" t="str">
        <f>IF(banking_loan_data[[#This Row],[Loan Status]]="FULLY PAID","GOOD",IF(banking_loan_data[[#This Row],[Loan Status]]="CURRENT","ACTIVE","BAD"))</f>
        <v>ACTIVE</v>
      </c>
      <c r="W3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0" s="3">
        <f t="shared" si="3"/>
        <v>29383.199999999997</v>
      </c>
      <c r="Y30" s="4">
        <f t="shared" si="4"/>
        <v>-0.61057277628032347</v>
      </c>
      <c r="Z30" s="2" t="str">
        <f t="shared" si="5"/>
        <v>Normal</v>
      </c>
    </row>
    <row r="31" spans="1:26" x14ac:dyDescent="0.3">
      <c r="A31" t="s">
        <v>103</v>
      </c>
      <c r="B31" s="1">
        <v>45028</v>
      </c>
      <c r="C31" t="s">
        <v>104</v>
      </c>
      <c r="D31" t="s">
        <v>76</v>
      </c>
      <c r="E31">
        <v>25762</v>
      </c>
      <c r="F31">
        <v>16</v>
      </c>
      <c r="G31">
        <v>36</v>
      </c>
      <c r="H31" t="s">
        <v>19</v>
      </c>
      <c r="I31" t="s">
        <v>20</v>
      </c>
      <c r="J31" t="s">
        <v>32</v>
      </c>
      <c r="K31">
        <v>41064</v>
      </c>
      <c r="L31" t="s">
        <v>22</v>
      </c>
      <c r="M31">
        <v>0.36</v>
      </c>
      <c r="N31">
        <v>0.78</v>
      </c>
      <c r="O31">
        <v>29883.919999999998</v>
      </c>
      <c r="P31">
        <v>0</v>
      </c>
      <c r="Q31">
        <f ca="1">DATEDIF(banking_loan_data[[#This Row],[Issue Date]],TODAY(),"M")</f>
        <v>35</v>
      </c>
      <c r="R31">
        <f t="shared" si="0"/>
        <v>12365.76</v>
      </c>
      <c r="S31">
        <f>+banking_loan_data[[#This Row],[Loan Amount]]+banking_loan_data[[#This Row],[Interest earned]]</f>
        <v>38127.760000000002</v>
      </c>
      <c r="T31" s="2">
        <f t="shared" si="1"/>
        <v>4121.9199999999983</v>
      </c>
      <c r="U31" s="2">
        <f t="shared" si="2"/>
        <v>0</v>
      </c>
      <c r="V31" s="2" t="str">
        <f>IF(banking_loan_data[[#This Row],[Loan Status]]="FULLY PAID","GOOD",IF(banking_loan_data[[#This Row],[Loan Status]]="CURRENT","ACTIVE","BAD"))</f>
        <v>GOOD</v>
      </c>
      <c r="W3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1" s="3">
        <f t="shared" si="3"/>
        <v>34349.333333335278</v>
      </c>
      <c r="Y31" s="4">
        <f t="shared" si="4"/>
        <v>0.15999999999999992</v>
      </c>
      <c r="Z31" s="2" t="str">
        <f t="shared" si="5"/>
        <v>Normal</v>
      </c>
    </row>
    <row r="32" spans="1:26" x14ac:dyDescent="0.3">
      <c r="A32" t="s">
        <v>105</v>
      </c>
      <c r="B32" s="1">
        <v>44843</v>
      </c>
      <c r="C32" t="s">
        <v>106</v>
      </c>
      <c r="D32" t="s">
        <v>50</v>
      </c>
      <c r="E32">
        <v>12046</v>
      </c>
      <c r="F32">
        <v>21.6</v>
      </c>
      <c r="G32">
        <v>36</v>
      </c>
      <c r="H32" t="s">
        <v>19</v>
      </c>
      <c r="I32" t="s">
        <v>27</v>
      </c>
      <c r="J32" t="s">
        <v>28</v>
      </c>
      <c r="K32">
        <v>106848</v>
      </c>
      <c r="L32" t="s">
        <v>29</v>
      </c>
      <c r="M32">
        <v>0.19</v>
      </c>
      <c r="N32">
        <v>0.7</v>
      </c>
      <c r="O32">
        <v>14647.94</v>
      </c>
      <c r="P32">
        <v>0</v>
      </c>
      <c r="Q32">
        <f ca="1">DATEDIF(banking_loan_data[[#This Row],[Issue Date]],TODAY(),"M")</f>
        <v>41</v>
      </c>
      <c r="R32">
        <f t="shared" si="0"/>
        <v>7805.8080000000009</v>
      </c>
      <c r="S32">
        <f>+banking_loan_data[[#This Row],[Loan Amount]]+banking_loan_data[[#This Row],[Interest earned]]</f>
        <v>19851.808000000001</v>
      </c>
      <c r="T32" s="2">
        <f t="shared" si="1"/>
        <v>2601.9400000000005</v>
      </c>
      <c r="U32" s="2">
        <f t="shared" si="2"/>
        <v>0</v>
      </c>
      <c r="V32" s="2" t="str">
        <f>IF(banking_loan_data[[#This Row],[Loan Status]]="FULLY PAID","GOOD",IF(banking_loan_data[[#This Row],[Loan Status]]="CURRENT","ACTIVE","BAD"))</f>
        <v>GOOD</v>
      </c>
      <c r="W3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2" s="3">
        <f t="shared" si="3"/>
        <v>21682.800000000003</v>
      </c>
      <c r="Y32" s="4">
        <f t="shared" si="4"/>
        <v>0.21600033206043504</v>
      </c>
      <c r="Z32" s="2" t="str">
        <f t="shared" si="5"/>
        <v>Normal</v>
      </c>
    </row>
    <row r="33" spans="1:26" x14ac:dyDescent="0.3">
      <c r="A33" t="s">
        <v>107</v>
      </c>
      <c r="B33" s="1">
        <v>44217</v>
      </c>
      <c r="C33" t="s">
        <v>108</v>
      </c>
      <c r="D33" t="s">
        <v>50</v>
      </c>
      <c r="E33">
        <v>32463</v>
      </c>
      <c r="F33">
        <v>6.4</v>
      </c>
      <c r="G33">
        <v>36</v>
      </c>
      <c r="H33" t="s">
        <v>19</v>
      </c>
      <c r="I33" t="s">
        <v>27</v>
      </c>
      <c r="J33" t="s">
        <v>32</v>
      </c>
      <c r="K33">
        <v>67548</v>
      </c>
      <c r="L33" t="s">
        <v>22</v>
      </c>
      <c r="M33">
        <v>0.37</v>
      </c>
      <c r="N33">
        <v>0.74</v>
      </c>
      <c r="O33">
        <v>34540.629999999997</v>
      </c>
      <c r="P33">
        <v>0</v>
      </c>
      <c r="Q33">
        <f ca="1">DATEDIF(banking_loan_data[[#This Row],[Issue Date]],TODAY(),"M")</f>
        <v>61</v>
      </c>
      <c r="R33">
        <f t="shared" si="0"/>
        <v>6232.8960000000006</v>
      </c>
      <c r="S33">
        <f>+banking_loan_data[[#This Row],[Loan Amount]]+banking_loan_data[[#This Row],[Interest earned]]</f>
        <v>38695.896000000001</v>
      </c>
      <c r="T33" s="2">
        <f t="shared" si="1"/>
        <v>2077.6299999999974</v>
      </c>
      <c r="U33" s="2">
        <f t="shared" si="2"/>
        <v>0</v>
      </c>
      <c r="V33" s="2" t="str">
        <f>IF(banking_loan_data[[#This Row],[Loan Status]]="FULLY PAID","GOOD",IF(banking_loan_data[[#This Row],[Loan Status]]="CURRENT","ACTIVE","BAD"))</f>
        <v>GOOD</v>
      </c>
      <c r="W3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3" s="3">
        <f t="shared" si="3"/>
        <v>17313.60359311154</v>
      </c>
      <c r="Y33" s="4">
        <f t="shared" si="4"/>
        <v>6.3999938391399364E-2</v>
      </c>
      <c r="Z33" s="2" t="str">
        <f t="shared" si="5"/>
        <v>Normal</v>
      </c>
    </row>
    <row r="34" spans="1:26" x14ac:dyDescent="0.3">
      <c r="A34" t="s">
        <v>109</v>
      </c>
      <c r="B34" s="1">
        <v>45037</v>
      </c>
      <c r="C34" t="s">
        <v>110</v>
      </c>
      <c r="D34" t="s">
        <v>40</v>
      </c>
      <c r="E34">
        <v>29769</v>
      </c>
      <c r="F34">
        <v>13.5</v>
      </c>
      <c r="G34">
        <v>60</v>
      </c>
      <c r="H34" t="s">
        <v>26</v>
      </c>
      <c r="I34" t="s">
        <v>20</v>
      </c>
      <c r="J34" t="s">
        <v>32</v>
      </c>
      <c r="K34">
        <v>66945</v>
      </c>
      <c r="L34" t="s">
        <v>29</v>
      </c>
      <c r="M34">
        <v>0.48</v>
      </c>
      <c r="N34">
        <v>0.84</v>
      </c>
      <c r="O34">
        <v>1763.22</v>
      </c>
      <c r="P34">
        <v>0</v>
      </c>
      <c r="Q34">
        <f ca="1">DATEDIF(banking_loan_data[[#This Row],[Issue Date]],TODAY(),"M")</f>
        <v>34</v>
      </c>
      <c r="R34">
        <f t="shared" si="0"/>
        <v>20094.075000000001</v>
      </c>
      <c r="S34">
        <f>+banking_loan_data[[#This Row],[Loan Amount]]+banking_loan_data[[#This Row],[Interest earned]]</f>
        <v>49863.074999999997</v>
      </c>
      <c r="T34" s="2">
        <f t="shared" si="1"/>
        <v>-28005.78</v>
      </c>
      <c r="U34" s="2">
        <f t="shared" si="2"/>
        <v>0</v>
      </c>
      <c r="V34" s="2" t="str">
        <f>IF(banking_loan_data[[#This Row],[Loan Status]]="FULLY PAID","GOOD",IF(banking_loan_data[[#This Row],[Loan Status]]="CURRENT","ACTIVE","BAD"))</f>
        <v>ACTIVE</v>
      </c>
      <c r="W3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4" s="3">
        <f t="shared" si="3"/>
        <v>33490.125</v>
      </c>
      <c r="Y34" s="4">
        <f t="shared" si="4"/>
        <v>-0.94076992844905771</v>
      </c>
      <c r="Z34" s="2" t="str">
        <f t="shared" si="5"/>
        <v>High Risk</v>
      </c>
    </row>
    <row r="35" spans="1:26" x14ac:dyDescent="0.3">
      <c r="A35" t="s">
        <v>111</v>
      </c>
      <c r="B35" s="1">
        <v>44363</v>
      </c>
      <c r="C35" t="s">
        <v>112</v>
      </c>
      <c r="D35" t="s">
        <v>72</v>
      </c>
      <c r="E35">
        <v>24150</v>
      </c>
      <c r="F35">
        <v>6.7</v>
      </c>
      <c r="G35">
        <v>60</v>
      </c>
      <c r="H35" t="s">
        <v>19</v>
      </c>
      <c r="I35" t="s">
        <v>73</v>
      </c>
      <c r="J35" t="s">
        <v>28</v>
      </c>
      <c r="K35">
        <v>77937</v>
      </c>
      <c r="L35" t="s">
        <v>22</v>
      </c>
      <c r="M35">
        <v>0.12</v>
      </c>
      <c r="N35">
        <v>0.87</v>
      </c>
      <c r="O35">
        <v>25768.05</v>
      </c>
      <c r="P35">
        <v>0</v>
      </c>
      <c r="Q35">
        <f ca="1">DATEDIF(banking_loan_data[[#This Row],[Issue Date]],TODAY(),"M")</f>
        <v>57</v>
      </c>
      <c r="R35">
        <f t="shared" si="0"/>
        <v>8090.25</v>
      </c>
      <c r="S35">
        <f>+banking_loan_data[[#This Row],[Loan Amount]]+banking_loan_data[[#This Row],[Interest earned]]</f>
        <v>32240.25</v>
      </c>
      <c r="T35" s="2">
        <f t="shared" si="1"/>
        <v>1618.0499999999993</v>
      </c>
      <c r="U35" s="2">
        <f t="shared" si="2"/>
        <v>0</v>
      </c>
      <c r="V35" s="2" t="str">
        <f>IF(banking_loan_data[[#This Row],[Loan Status]]="FULLY PAID","GOOD",IF(banking_loan_data[[#This Row],[Loan Status]]="CURRENT","ACTIVE","BAD"))</f>
        <v>GOOD</v>
      </c>
      <c r="W3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35" s="3">
        <f t="shared" si="3"/>
        <v>13483.750000037171</v>
      </c>
      <c r="Y35" s="4">
        <f t="shared" si="4"/>
        <v>6.6999999999999976E-2</v>
      </c>
      <c r="Z35" s="2" t="str">
        <f t="shared" si="5"/>
        <v>High Risk</v>
      </c>
    </row>
    <row r="36" spans="1:26" x14ac:dyDescent="0.3">
      <c r="A36" t="s">
        <v>113</v>
      </c>
      <c r="B36" s="1">
        <v>44584</v>
      </c>
      <c r="C36" t="s">
        <v>114</v>
      </c>
      <c r="D36" t="s">
        <v>53</v>
      </c>
      <c r="E36">
        <v>3711</v>
      </c>
      <c r="F36">
        <v>15.3</v>
      </c>
      <c r="G36">
        <v>60</v>
      </c>
      <c r="H36" t="s">
        <v>81</v>
      </c>
      <c r="I36" t="s">
        <v>27</v>
      </c>
      <c r="J36" t="s">
        <v>32</v>
      </c>
      <c r="K36">
        <v>36476</v>
      </c>
      <c r="L36" t="s">
        <v>22</v>
      </c>
      <c r="M36">
        <v>0.23</v>
      </c>
      <c r="N36">
        <v>0.81</v>
      </c>
      <c r="O36">
        <v>648.73</v>
      </c>
      <c r="P36">
        <v>938.22</v>
      </c>
      <c r="Q36">
        <f ca="1">DATEDIF(banking_loan_data[[#This Row],[Issue Date]],TODAY(),"M")</f>
        <v>49</v>
      </c>
      <c r="R36">
        <f t="shared" si="0"/>
        <v>2838.9150000000004</v>
      </c>
      <c r="S36">
        <f>+banking_loan_data[[#This Row],[Loan Amount]]+banking_loan_data[[#This Row],[Interest earned]]</f>
        <v>6549.9150000000009</v>
      </c>
      <c r="T36" s="2">
        <f t="shared" si="1"/>
        <v>-2124.0500000000002</v>
      </c>
      <c r="U36" s="2">
        <f t="shared" si="2"/>
        <v>1</v>
      </c>
      <c r="V36" s="2" t="str">
        <f>IF(banking_loan_data[[#This Row],[Loan Status]]="FULLY PAID","GOOD",IF(banking_loan_data[[#This Row],[Loan Status]]="CURRENT","ACTIVE","BAD"))</f>
        <v>BAD</v>
      </c>
      <c r="W3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6" s="3">
        <f t="shared" si="3"/>
        <v>4731.5250000000005</v>
      </c>
      <c r="Y36" s="4">
        <f t="shared" si="4"/>
        <v>-0.57236593909997313</v>
      </c>
      <c r="Z36" s="2" t="str">
        <f t="shared" si="5"/>
        <v>High Risk</v>
      </c>
    </row>
    <row r="37" spans="1:26" x14ac:dyDescent="0.3">
      <c r="A37" t="s">
        <v>115</v>
      </c>
      <c r="B37" s="1">
        <v>44797</v>
      </c>
      <c r="C37" t="s">
        <v>116</v>
      </c>
      <c r="D37" t="s">
        <v>50</v>
      </c>
      <c r="E37">
        <v>5853</v>
      </c>
      <c r="F37">
        <v>23</v>
      </c>
      <c r="G37">
        <v>60</v>
      </c>
      <c r="H37" t="s">
        <v>19</v>
      </c>
      <c r="I37" t="s">
        <v>27</v>
      </c>
      <c r="J37" t="s">
        <v>37</v>
      </c>
      <c r="K37">
        <v>81756</v>
      </c>
      <c r="L37" t="s">
        <v>29</v>
      </c>
      <c r="M37">
        <v>0.28000000000000003</v>
      </c>
      <c r="N37">
        <v>0.92</v>
      </c>
      <c r="O37">
        <v>7199.19</v>
      </c>
      <c r="P37">
        <v>0</v>
      </c>
      <c r="Q37">
        <f ca="1">DATEDIF(banking_loan_data[[#This Row],[Issue Date]],TODAY(),"M")</f>
        <v>42</v>
      </c>
      <c r="R37">
        <f t="shared" si="0"/>
        <v>6730.9500000000007</v>
      </c>
      <c r="S37">
        <f>+banking_loan_data[[#This Row],[Loan Amount]]+banking_loan_data[[#This Row],[Interest earned]]</f>
        <v>12583.95</v>
      </c>
      <c r="T37" s="2">
        <f t="shared" si="1"/>
        <v>1346.1899999999996</v>
      </c>
      <c r="U37" s="2">
        <f t="shared" si="2"/>
        <v>0</v>
      </c>
      <c r="V37" s="2" t="str">
        <f>IF(banking_loan_data[[#This Row],[Loan Status]]="FULLY PAID","GOOD",IF(banking_loan_data[[#This Row],[Loan Status]]="CURRENT","ACTIVE","BAD"))</f>
        <v>GOOD</v>
      </c>
      <c r="W3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7" s="3">
        <f t="shared" si="3"/>
        <v>11218.25</v>
      </c>
      <c r="Y37" s="4">
        <f t="shared" si="4"/>
        <v>0.22999999999999993</v>
      </c>
      <c r="Z37" s="2" t="str">
        <f t="shared" si="5"/>
        <v>High Risk</v>
      </c>
    </row>
    <row r="38" spans="1:26" x14ac:dyDescent="0.3">
      <c r="A38" t="s">
        <v>117</v>
      </c>
      <c r="B38" s="1">
        <v>44512</v>
      </c>
      <c r="C38" t="s">
        <v>118</v>
      </c>
      <c r="D38" t="s">
        <v>40</v>
      </c>
      <c r="E38">
        <v>30077</v>
      </c>
      <c r="F38">
        <v>20.6</v>
      </c>
      <c r="G38">
        <v>60</v>
      </c>
      <c r="H38" t="s">
        <v>19</v>
      </c>
      <c r="I38" t="s">
        <v>20</v>
      </c>
      <c r="J38" t="s">
        <v>37</v>
      </c>
      <c r="K38">
        <v>120101</v>
      </c>
      <c r="L38" t="s">
        <v>33</v>
      </c>
      <c r="M38">
        <v>0.46</v>
      </c>
      <c r="N38">
        <v>0.87</v>
      </c>
      <c r="O38">
        <v>36272.86</v>
      </c>
      <c r="P38">
        <v>0</v>
      </c>
      <c r="Q38">
        <f ca="1">DATEDIF(banking_loan_data[[#This Row],[Issue Date]],TODAY(),"M")</f>
        <v>52</v>
      </c>
      <c r="R38">
        <f t="shared" si="0"/>
        <v>30979.310000000009</v>
      </c>
      <c r="S38">
        <f>+banking_loan_data[[#This Row],[Loan Amount]]+banking_loan_data[[#This Row],[Interest earned]]</f>
        <v>61056.310000000012</v>
      </c>
      <c r="T38" s="2">
        <f t="shared" si="1"/>
        <v>6195.8600000000006</v>
      </c>
      <c r="U38" s="2">
        <f t="shared" si="2"/>
        <v>0</v>
      </c>
      <c r="V38" s="2" t="str">
        <f>IF(banking_loan_data[[#This Row],[Loan Status]]="FULLY PAID","GOOD",IF(banking_loan_data[[#This Row],[Loan Status]]="CURRENT","ACTIVE","BAD"))</f>
        <v>GOOD</v>
      </c>
      <c r="W3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8" s="3">
        <f t="shared" si="3"/>
        <v>51632.183333333334</v>
      </c>
      <c r="Y38" s="4">
        <f t="shared" si="4"/>
        <v>0.20599993350400642</v>
      </c>
      <c r="Z38" s="2" t="str">
        <f t="shared" si="5"/>
        <v>High Risk</v>
      </c>
    </row>
    <row r="39" spans="1:26" x14ac:dyDescent="0.3">
      <c r="A39" t="s">
        <v>119</v>
      </c>
      <c r="B39" s="1">
        <v>44210</v>
      </c>
      <c r="C39" t="s">
        <v>120</v>
      </c>
      <c r="D39" t="s">
        <v>56</v>
      </c>
      <c r="E39">
        <v>24863</v>
      </c>
      <c r="F39">
        <v>9.6</v>
      </c>
      <c r="G39">
        <v>60</v>
      </c>
      <c r="H39" t="s">
        <v>19</v>
      </c>
      <c r="I39" t="s">
        <v>36</v>
      </c>
      <c r="J39" t="s">
        <v>21</v>
      </c>
      <c r="K39">
        <v>32382</v>
      </c>
      <c r="L39" t="s">
        <v>33</v>
      </c>
      <c r="M39">
        <v>0.48</v>
      </c>
      <c r="N39">
        <v>0.75</v>
      </c>
      <c r="O39">
        <v>27249.85</v>
      </c>
      <c r="P39">
        <v>0</v>
      </c>
      <c r="Q39">
        <f ca="1">DATEDIF(banking_loan_data[[#This Row],[Issue Date]],TODAY(),"M")</f>
        <v>62</v>
      </c>
      <c r="R39">
        <f t="shared" si="0"/>
        <v>11934.24</v>
      </c>
      <c r="S39">
        <f>+banking_loan_data[[#This Row],[Loan Amount]]+banking_loan_data[[#This Row],[Interest earned]]</f>
        <v>36797.24</v>
      </c>
      <c r="T39" s="2">
        <f t="shared" si="1"/>
        <v>2386.8499999999985</v>
      </c>
      <c r="U39" s="2">
        <f t="shared" si="2"/>
        <v>0</v>
      </c>
      <c r="V39" s="2" t="str">
        <f>IF(banking_loan_data[[#This Row],[Loan Status]]="FULLY PAID","GOOD",IF(banking_loan_data[[#This Row],[Loan Status]]="CURRENT","ACTIVE","BAD"))</f>
        <v>GOOD</v>
      </c>
      <c r="W3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9" s="3">
        <f t="shared" si="3"/>
        <v>19890.400000000009</v>
      </c>
      <c r="Y39" s="4">
        <f t="shared" si="4"/>
        <v>9.6000080440815608E-2</v>
      </c>
      <c r="Z39" s="2" t="str">
        <f t="shared" si="5"/>
        <v>High Risk</v>
      </c>
    </row>
    <row r="40" spans="1:26" x14ac:dyDescent="0.3">
      <c r="A40" t="s">
        <v>121</v>
      </c>
      <c r="B40" s="1">
        <v>44438</v>
      </c>
      <c r="C40" t="s">
        <v>122</v>
      </c>
      <c r="D40" t="s">
        <v>53</v>
      </c>
      <c r="E40">
        <v>22792</v>
      </c>
      <c r="F40">
        <v>24.5</v>
      </c>
      <c r="G40">
        <v>60</v>
      </c>
      <c r="H40" t="s">
        <v>19</v>
      </c>
      <c r="I40" t="s">
        <v>73</v>
      </c>
      <c r="J40" t="s">
        <v>37</v>
      </c>
      <c r="K40">
        <v>79683</v>
      </c>
      <c r="L40" t="s">
        <v>33</v>
      </c>
      <c r="M40">
        <v>0.28000000000000003</v>
      </c>
      <c r="N40">
        <v>0.8</v>
      </c>
      <c r="O40">
        <v>28376.04</v>
      </c>
      <c r="P40">
        <v>0</v>
      </c>
      <c r="Q40">
        <f ca="1">DATEDIF(banking_loan_data[[#This Row],[Issue Date]],TODAY(),"M")</f>
        <v>54</v>
      </c>
      <c r="R40">
        <f t="shared" si="0"/>
        <v>27920.2</v>
      </c>
      <c r="S40">
        <f>+banking_loan_data[[#This Row],[Loan Amount]]+banking_loan_data[[#This Row],[Interest earned]]</f>
        <v>50712.2</v>
      </c>
      <c r="T40" s="2">
        <f t="shared" si="1"/>
        <v>5584.0400000000009</v>
      </c>
      <c r="U40" s="2">
        <f t="shared" si="2"/>
        <v>0</v>
      </c>
      <c r="V40" s="2" t="str">
        <f>IF(banking_loan_data[[#This Row],[Loan Status]]="FULLY PAID","GOOD",IF(banking_loan_data[[#This Row],[Loan Status]]="CURRENT","ACTIVE","BAD"))</f>
        <v>GOOD</v>
      </c>
      <c r="W4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40" s="3">
        <f t="shared" si="3"/>
        <v>46533.666666666664</v>
      </c>
      <c r="Y40" s="4">
        <f t="shared" si="4"/>
        <v>0.24500000000000005</v>
      </c>
      <c r="Z40" s="2" t="str">
        <f t="shared" si="5"/>
        <v>Normal</v>
      </c>
    </row>
    <row r="41" spans="1:26" x14ac:dyDescent="0.3">
      <c r="A41" t="s">
        <v>123</v>
      </c>
      <c r="B41" s="1">
        <v>44973</v>
      </c>
      <c r="C41" t="s">
        <v>124</v>
      </c>
      <c r="D41" t="s">
        <v>40</v>
      </c>
      <c r="E41">
        <v>9942</v>
      </c>
      <c r="F41">
        <v>18.3</v>
      </c>
      <c r="G41">
        <v>36</v>
      </c>
      <c r="H41" t="s">
        <v>19</v>
      </c>
      <c r="I41" t="s">
        <v>84</v>
      </c>
      <c r="J41" t="s">
        <v>47</v>
      </c>
      <c r="K41">
        <v>117999</v>
      </c>
      <c r="L41" t="s">
        <v>22</v>
      </c>
      <c r="M41">
        <v>0.4</v>
      </c>
      <c r="N41">
        <v>0.92</v>
      </c>
      <c r="O41">
        <v>11761.39</v>
      </c>
      <c r="P41">
        <v>0</v>
      </c>
      <c r="Q41">
        <f ca="1">DATEDIF(banking_loan_data[[#This Row],[Issue Date]],TODAY(),"M")</f>
        <v>37</v>
      </c>
      <c r="R41">
        <f t="shared" si="0"/>
        <v>5458.1580000000004</v>
      </c>
      <c r="S41">
        <f>+banking_loan_data[[#This Row],[Loan Amount]]+banking_loan_data[[#This Row],[Interest earned]]</f>
        <v>15400.157999999999</v>
      </c>
      <c r="T41" s="2">
        <f t="shared" si="1"/>
        <v>1819.3899999999994</v>
      </c>
      <c r="U41" s="2">
        <f t="shared" si="2"/>
        <v>0</v>
      </c>
      <c r="V41" s="2" t="str">
        <f>IF(banking_loan_data[[#This Row],[Loan Status]]="FULLY PAID","GOOD",IF(banking_loan_data[[#This Row],[Loan Status]]="CURRENT","ACTIVE","BAD"))</f>
        <v>GOOD</v>
      </c>
      <c r="W4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1" s="3">
        <f t="shared" si="3"/>
        <v>15161.550000000052</v>
      </c>
      <c r="Y41" s="4">
        <f t="shared" si="4"/>
        <v>0.18300040233353443</v>
      </c>
      <c r="Z41" s="2" t="str">
        <f t="shared" si="5"/>
        <v>High Risk</v>
      </c>
    </row>
    <row r="42" spans="1:26" x14ac:dyDescent="0.3">
      <c r="A42" t="s">
        <v>125</v>
      </c>
      <c r="B42" s="1">
        <v>44761</v>
      </c>
      <c r="C42" t="s">
        <v>126</v>
      </c>
      <c r="D42" t="s">
        <v>18</v>
      </c>
      <c r="E42">
        <v>2762</v>
      </c>
      <c r="F42">
        <v>5.2</v>
      </c>
      <c r="G42">
        <v>36</v>
      </c>
      <c r="H42" t="s">
        <v>26</v>
      </c>
      <c r="I42" t="s">
        <v>84</v>
      </c>
      <c r="J42" t="s">
        <v>47</v>
      </c>
      <c r="K42">
        <v>75276</v>
      </c>
      <c r="L42" t="s">
        <v>22</v>
      </c>
      <c r="M42">
        <v>0.31</v>
      </c>
      <c r="N42">
        <v>0.78</v>
      </c>
      <c r="O42">
        <v>1245.1099999999999</v>
      </c>
      <c r="P42">
        <v>0</v>
      </c>
      <c r="Q42">
        <f ca="1">DATEDIF(banking_loan_data[[#This Row],[Issue Date]],TODAY(),"M")</f>
        <v>44</v>
      </c>
      <c r="R42">
        <f t="shared" si="0"/>
        <v>430.87200000000001</v>
      </c>
      <c r="S42">
        <f>+banking_loan_data[[#This Row],[Loan Amount]]+banking_loan_data[[#This Row],[Interest earned]]</f>
        <v>3192.8719999999998</v>
      </c>
      <c r="T42" s="2">
        <f t="shared" si="1"/>
        <v>-1516.89</v>
      </c>
      <c r="U42" s="2">
        <f t="shared" si="2"/>
        <v>0</v>
      </c>
      <c r="V42" s="2" t="str">
        <f>IF(banking_loan_data[[#This Row],[Loan Status]]="FULLY PAID","GOOD",IF(banking_loan_data[[#This Row],[Loan Status]]="CURRENT","ACTIVE","BAD"))</f>
        <v>ACTIVE</v>
      </c>
      <c r="W4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2" s="3">
        <f t="shared" si="3"/>
        <v>1196.8694821150034</v>
      </c>
      <c r="Y42" s="4">
        <f t="shared" si="4"/>
        <v>-0.54919985517740766</v>
      </c>
      <c r="Z42" s="2" t="str">
        <f t="shared" si="5"/>
        <v>Normal</v>
      </c>
    </row>
    <row r="43" spans="1:26" x14ac:dyDescent="0.3">
      <c r="A43" t="s">
        <v>127</v>
      </c>
      <c r="B43" s="1">
        <v>45094</v>
      </c>
      <c r="C43" t="s">
        <v>128</v>
      </c>
      <c r="D43" t="s">
        <v>53</v>
      </c>
      <c r="E43">
        <v>32987</v>
      </c>
      <c r="F43">
        <v>10.1</v>
      </c>
      <c r="G43">
        <v>36</v>
      </c>
      <c r="H43" t="s">
        <v>19</v>
      </c>
      <c r="I43" t="s">
        <v>20</v>
      </c>
      <c r="J43" t="s">
        <v>47</v>
      </c>
      <c r="K43">
        <v>63402</v>
      </c>
      <c r="L43" t="s">
        <v>33</v>
      </c>
      <c r="M43">
        <v>0.32</v>
      </c>
      <c r="N43">
        <v>0.87</v>
      </c>
      <c r="O43">
        <v>36318.69</v>
      </c>
      <c r="P43">
        <v>0</v>
      </c>
      <c r="Q43">
        <f ca="1">DATEDIF(banking_loan_data[[#This Row],[Issue Date]],TODAY(),"M")</f>
        <v>33</v>
      </c>
      <c r="R43">
        <f t="shared" si="0"/>
        <v>9995.0609999999997</v>
      </c>
      <c r="S43">
        <f>+banking_loan_data[[#This Row],[Loan Amount]]+banking_loan_data[[#This Row],[Interest earned]]</f>
        <v>42982.061000000002</v>
      </c>
      <c r="T43" s="2">
        <f t="shared" si="1"/>
        <v>3331.6900000000023</v>
      </c>
      <c r="U43" s="2">
        <f t="shared" si="2"/>
        <v>0</v>
      </c>
      <c r="V43" s="2" t="str">
        <f>IF(banking_loan_data[[#This Row],[Loan Status]]="FULLY PAID","GOOD",IF(banking_loan_data[[#This Row],[Loan Status]]="CURRENT","ACTIVE","BAD"))</f>
        <v>GOOD</v>
      </c>
      <c r="W4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3" s="3">
        <f t="shared" si="3"/>
        <v>27764.058341201726</v>
      </c>
      <c r="Y43" s="4">
        <f t="shared" si="4"/>
        <v>0.10100009094491777</v>
      </c>
      <c r="Z43" s="2" t="str">
        <f t="shared" si="5"/>
        <v>High Risk</v>
      </c>
    </row>
    <row r="44" spans="1:26" x14ac:dyDescent="0.3">
      <c r="A44" t="s">
        <v>129</v>
      </c>
      <c r="B44" s="1">
        <v>44288</v>
      </c>
      <c r="C44" t="s">
        <v>130</v>
      </c>
      <c r="D44" t="s">
        <v>46</v>
      </c>
      <c r="E44">
        <v>16850</v>
      </c>
      <c r="F44">
        <v>10.199999999999999</v>
      </c>
      <c r="G44">
        <v>36</v>
      </c>
      <c r="H44" t="s">
        <v>19</v>
      </c>
      <c r="I44" t="s">
        <v>20</v>
      </c>
      <c r="J44" t="s">
        <v>28</v>
      </c>
      <c r="K44">
        <v>121881</v>
      </c>
      <c r="L44" t="s">
        <v>22</v>
      </c>
      <c r="M44">
        <v>0.21</v>
      </c>
      <c r="N44">
        <v>0.81</v>
      </c>
      <c r="O44">
        <v>18568.7</v>
      </c>
      <c r="P44">
        <v>0</v>
      </c>
      <c r="Q44">
        <f ca="1">DATEDIF(banking_loan_data[[#This Row],[Issue Date]],TODAY(),"M")</f>
        <v>59</v>
      </c>
      <c r="R44">
        <f t="shared" si="0"/>
        <v>5156.1000000000004</v>
      </c>
      <c r="S44">
        <f>+banking_loan_data[[#This Row],[Loan Amount]]+banking_loan_data[[#This Row],[Interest earned]]</f>
        <v>22006.1</v>
      </c>
      <c r="T44" s="2">
        <f t="shared" si="1"/>
        <v>1718.7000000000007</v>
      </c>
      <c r="U44" s="2">
        <f t="shared" si="2"/>
        <v>0</v>
      </c>
      <c r="V44" s="2" t="str">
        <f>IF(banking_loan_data[[#This Row],[Loan Status]]="FULLY PAID","GOOD",IF(banking_loan_data[[#This Row],[Loan Status]]="CURRENT","ACTIVE","BAD"))</f>
        <v>GOOD</v>
      </c>
      <c r="W4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4" s="3">
        <f t="shared" si="3"/>
        <v>14322.500003450139</v>
      </c>
      <c r="Y44" s="4">
        <f t="shared" si="4"/>
        <v>0.10200000000000005</v>
      </c>
      <c r="Z44" s="2" t="str">
        <f t="shared" si="5"/>
        <v>High Risk</v>
      </c>
    </row>
    <row r="45" spans="1:26" x14ac:dyDescent="0.3">
      <c r="A45" t="s">
        <v>131</v>
      </c>
      <c r="B45" s="1">
        <v>45152</v>
      </c>
      <c r="C45" t="s">
        <v>132</v>
      </c>
      <c r="D45" t="s">
        <v>40</v>
      </c>
      <c r="E45">
        <v>13112</v>
      </c>
      <c r="F45">
        <v>6.4</v>
      </c>
      <c r="G45">
        <v>60</v>
      </c>
      <c r="H45" t="s">
        <v>19</v>
      </c>
      <c r="I45" t="s">
        <v>27</v>
      </c>
      <c r="J45" t="s">
        <v>37</v>
      </c>
      <c r="K45">
        <v>140300</v>
      </c>
      <c r="L45" t="s">
        <v>22</v>
      </c>
      <c r="M45">
        <v>0.19</v>
      </c>
      <c r="N45">
        <v>0.75</v>
      </c>
      <c r="O45">
        <v>13951.17</v>
      </c>
      <c r="P45">
        <v>0</v>
      </c>
      <c r="Q45">
        <f ca="1">DATEDIF(banking_loan_data[[#This Row],[Issue Date]],TODAY(),"M")</f>
        <v>31</v>
      </c>
      <c r="R45">
        <f t="shared" si="0"/>
        <v>4195.84</v>
      </c>
      <c r="S45">
        <f>+banking_loan_data[[#This Row],[Loan Amount]]+banking_loan_data[[#This Row],[Interest earned]]</f>
        <v>17307.84</v>
      </c>
      <c r="T45" s="2">
        <f t="shared" si="1"/>
        <v>839.17000000000007</v>
      </c>
      <c r="U45" s="2">
        <f t="shared" si="2"/>
        <v>0</v>
      </c>
      <c r="V45" s="2" t="str">
        <f>IF(banking_loan_data[[#This Row],[Loan Status]]="FULLY PAID","GOOD",IF(banking_loan_data[[#This Row],[Loan Status]]="CURRENT","ACTIVE","BAD"))</f>
        <v>GOOD</v>
      </c>
      <c r="W4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5" s="3">
        <f t="shared" si="3"/>
        <v>6993.0666667175383</v>
      </c>
      <c r="Y45" s="4">
        <f t="shared" si="4"/>
        <v>6.4000152532031729E-2</v>
      </c>
      <c r="Z45" s="2" t="str">
        <f t="shared" si="5"/>
        <v>Normal</v>
      </c>
    </row>
    <row r="46" spans="1:26" x14ac:dyDescent="0.3">
      <c r="A46" t="s">
        <v>133</v>
      </c>
      <c r="B46" s="1">
        <v>44705</v>
      </c>
      <c r="C46" t="s">
        <v>134</v>
      </c>
      <c r="D46" t="s">
        <v>76</v>
      </c>
      <c r="E46">
        <v>25058</v>
      </c>
      <c r="F46">
        <v>24.2</v>
      </c>
      <c r="G46">
        <v>36</v>
      </c>
      <c r="H46" t="s">
        <v>26</v>
      </c>
      <c r="I46" t="s">
        <v>20</v>
      </c>
      <c r="J46" t="s">
        <v>47</v>
      </c>
      <c r="K46">
        <v>56946</v>
      </c>
      <c r="L46" t="s">
        <v>33</v>
      </c>
      <c r="M46">
        <v>0.22</v>
      </c>
      <c r="N46">
        <v>0.61</v>
      </c>
      <c r="O46">
        <v>9355.1299999999992</v>
      </c>
      <c r="P46">
        <v>0</v>
      </c>
      <c r="Q46">
        <f ca="1">DATEDIF(banking_loan_data[[#This Row],[Issue Date]],TODAY(),"M")</f>
        <v>45</v>
      </c>
      <c r="R46">
        <f t="shared" si="0"/>
        <v>18192.108</v>
      </c>
      <c r="S46">
        <f>+banking_loan_data[[#This Row],[Loan Amount]]+banking_loan_data[[#This Row],[Interest earned]]</f>
        <v>43250.108</v>
      </c>
      <c r="T46" s="2">
        <f t="shared" si="1"/>
        <v>-15702.87</v>
      </c>
      <c r="U46" s="2">
        <f t="shared" si="2"/>
        <v>0</v>
      </c>
      <c r="V46" s="2" t="str">
        <f>IF(banking_loan_data[[#This Row],[Loan Status]]="FULLY PAID","GOOD",IF(banking_loan_data[[#This Row],[Loan Status]]="CURRENT","ACTIVE","BAD"))</f>
        <v>ACTIVE</v>
      </c>
      <c r="W4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6" s="3">
        <f t="shared" si="3"/>
        <v>50533.633333333331</v>
      </c>
      <c r="Y46" s="4">
        <f t="shared" si="4"/>
        <v>-0.62666094660387905</v>
      </c>
      <c r="Z46" s="2" t="str">
        <f t="shared" si="5"/>
        <v>Normal</v>
      </c>
    </row>
    <row r="47" spans="1:26" x14ac:dyDescent="0.3">
      <c r="A47" t="s">
        <v>135</v>
      </c>
      <c r="B47" s="1">
        <v>44972</v>
      </c>
      <c r="C47" t="s">
        <v>136</v>
      </c>
      <c r="D47" t="s">
        <v>46</v>
      </c>
      <c r="E47">
        <v>39890</v>
      </c>
      <c r="F47">
        <v>14.6</v>
      </c>
      <c r="G47">
        <v>36</v>
      </c>
      <c r="H47" t="s">
        <v>26</v>
      </c>
      <c r="I47" t="s">
        <v>84</v>
      </c>
      <c r="J47" t="s">
        <v>21</v>
      </c>
      <c r="K47">
        <v>109698</v>
      </c>
      <c r="L47" t="s">
        <v>29</v>
      </c>
      <c r="M47">
        <v>0.32</v>
      </c>
      <c r="N47">
        <v>0.69</v>
      </c>
      <c r="O47">
        <v>3304.32</v>
      </c>
      <c r="P47">
        <v>0</v>
      </c>
      <c r="Q47">
        <f ca="1">DATEDIF(banking_loan_data[[#This Row],[Issue Date]],TODAY(),"M")</f>
        <v>37</v>
      </c>
      <c r="R47">
        <f t="shared" si="0"/>
        <v>17471.82</v>
      </c>
      <c r="S47">
        <f>+banking_loan_data[[#This Row],[Loan Amount]]+banking_loan_data[[#This Row],[Interest earned]]</f>
        <v>57361.82</v>
      </c>
      <c r="T47" s="2">
        <f t="shared" si="1"/>
        <v>-36585.68</v>
      </c>
      <c r="U47" s="2">
        <f t="shared" si="2"/>
        <v>0</v>
      </c>
      <c r="V47" s="2" t="str">
        <f>IF(banking_loan_data[[#This Row],[Loan Status]]="FULLY PAID","GOOD",IF(banking_loan_data[[#This Row],[Loan Status]]="CURRENT","ACTIVE","BAD"))</f>
        <v>ACTIVE</v>
      </c>
      <c r="W4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7" s="3">
        <f t="shared" si="3"/>
        <v>48532.83333335074</v>
      </c>
      <c r="Y47" s="4">
        <f t="shared" si="4"/>
        <v>-0.91716420155427425</v>
      </c>
      <c r="Z47" s="2" t="str">
        <f t="shared" si="5"/>
        <v>Normal</v>
      </c>
    </row>
    <row r="48" spans="1:26" x14ac:dyDescent="0.3">
      <c r="A48" t="s">
        <v>137</v>
      </c>
      <c r="B48" s="1">
        <v>44231</v>
      </c>
      <c r="C48" t="s">
        <v>138</v>
      </c>
      <c r="D48" t="s">
        <v>18</v>
      </c>
      <c r="E48">
        <v>1481</v>
      </c>
      <c r="F48">
        <v>22.9</v>
      </c>
      <c r="G48">
        <v>36</v>
      </c>
      <c r="H48" t="s">
        <v>19</v>
      </c>
      <c r="I48" t="s">
        <v>27</v>
      </c>
      <c r="J48" t="s">
        <v>28</v>
      </c>
      <c r="K48">
        <v>144690</v>
      </c>
      <c r="L48" t="s">
        <v>22</v>
      </c>
      <c r="M48">
        <v>0.11</v>
      </c>
      <c r="N48">
        <v>0.94</v>
      </c>
      <c r="O48">
        <v>1820.15</v>
      </c>
      <c r="P48">
        <v>0</v>
      </c>
      <c r="Q48">
        <f ca="1">DATEDIF(banking_loan_data[[#This Row],[Issue Date]],TODAY(),"M")</f>
        <v>61</v>
      </c>
      <c r="R48">
        <f t="shared" si="0"/>
        <v>1017.447</v>
      </c>
      <c r="S48">
        <f>+banking_loan_data[[#This Row],[Loan Amount]]+banking_loan_data[[#This Row],[Interest earned]]</f>
        <v>2498.4470000000001</v>
      </c>
      <c r="T48" s="2">
        <f t="shared" si="1"/>
        <v>339.15000000000009</v>
      </c>
      <c r="U48" s="2">
        <f t="shared" si="2"/>
        <v>0</v>
      </c>
      <c r="V48" s="2" t="str">
        <f>IF(banking_loan_data[[#This Row],[Loan Status]]="FULLY PAID","GOOD",IF(banking_loan_data[[#This Row],[Loan Status]]="CURRENT","ACTIVE","BAD"))</f>
        <v>GOOD</v>
      </c>
      <c r="W4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8" s="3">
        <f t="shared" si="3"/>
        <v>2826.2416666666663</v>
      </c>
      <c r="Y48" s="4">
        <f t="shared" si="4"/>
        <v>0.22900067521944639</v>
      </c>
      <c r="Z48" s="2" t="str">
        <f t="shared" si="5"/>
        <v>High Risk</v>
      </c>
    </row>
    <row r="49" spans="1:26" x14ac:dyDescent="0.3">
      <c r="A49" t="s">
        <v>139</v>
      </c>
      <c r="B49" s="1">
        <v>44402</v>
      </c>
      <c r="C49" t="s">
        <v>140</v>
      </c>
      <c r="D49" t="s">
        <v>50</v>
      </c>
      <c r="E49">
        <v>33921</v>
      </c>
      <c r="F49">
        <v>11.4</v>
      </c>
      <c r="G49">
        <v>36</v>
      </c>
      <c r="H49" t="s">
        <v>26</v>
      </c>
      <c r="I49" t="s">
        <v>84</v>
      </c>
      <c r="J49" t="s">
        <v>21</v>
      </c>
      <c r="K49">
        <v>142309</v>
      </c>
      <c r="L49" t="s">
        <v>22</v>
      </c>
      <c r="M49">
        <v>0.46</v>
      </c>
      <c r="N49">
        <v>0.8</v>
      </c>
      <c r="O49">
        <v>14230.09</v>
      </c>
      <c r="P49">
        <v>0</v>
      </c>
      <c r="Q49">
        <f ca="1">DATEDIF(banking_loan_data[[#This Row],[Issue Date]],TODAY(),"M")</f>
        <v>55</v>
      </c>
      <c r="R49">
        <f t="shared" si="0"/>
        <v>11600.982000000002</v>
      </c>
      <c r="S49">
        <f>+banking_loan_data[[#This Row],[Loan Amount]]+banking_loan_data[[#This Row],[Interest earned]]</f>
        <v>45521.982000000004</v>
      </c>
      <c r="T49" s="2">
        <f t="shared" si="1"/>
        <v>-19690.91</v>
      </c>
      <c r="U49" s="2">
        <f t="shared" si="2"/>
        <v>0</v>
      </c>
      <c r="V49" s="2" t="str">
        <f>IF(banking_loan_data[[#This Row],[Loan Status]]="FULLY PAID","GOOD",IF(banking_loan_data[[#This Row],[Loan Status]]="CURRENT","ACTIVE","BAD"))</f>
        <v>ACTIVE</v>
      </c>
      <c r="W4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9" s="3">
        <f t="shared" si="3"/>
        <v>32224.950001166671</v>
      </c>
      <c r="Y49" s="4">
        <f t="shared" si="4"/>
        <v>-0.58049320479938682</v>
      </c>
      <c r="Z49" s="2" t="str">
        <f t="shared" si="5"/>
        <v>High Risk</v>
      </c>
    </row>
    <row r="50" spans="1:26" x14ac:dyDescent="0.3">
      <c r="A50" t="s">
        <v>141</v>
      </c>
      <c r="B50" s="1">
        <v>45222</v>
      </c>
      <c r="C50" t="s">
        <v>142</v>
      </c>
      <c r="D50" t="s">
        <v>65</v>
      </c>
      <c r="E50">
        <v>2524</v>
      </c>
      <c r="F50">
        <v>7.5</v>
      </c>
      <c r="G50">
        <v>60</v>
      </c>
      <c r="H50" t="s">
        <v>19</v>
      </c>
      <c r="I50" t="s">
        <v>57</v>
      </c>
      <c r="J50" t="s">
        <v>37</v>
      </c>
      <c r="K50">
        <v>103933</v>
      </c>
      <c r="L50" t="s">
        <v>22</v>
      </c>
      <c r="M50">
        <v>0.16</v>
      </c>
      <c r="N50">
        <v>0.75</v>
      </c>
      <c r="O50">
        <v>2713.3</v>
      </c>
      <c r="P50">
        <v>0</v>
      </c>
      <c r="Q50">
        <f ca="1">DATEDIF(banking_loan_data[[#This Row],[Issue Date]],TODAY(),"M")</f>
        <v>28</v>
      </c>
      <c r="R50">
        <f t="shared" si="0"/>
        <v>946.5</v>
      </c>
      <c r="S50">
        <f>+banking_loan_data[[#This Row],[Loan Amount]]+banking_loan_data[[#This Row],[Interest earned]]</f>
        <v>3470.5</v>
      </c>
      <c r="T50" s="2">
        <f t="shared" si="1"/>
        <v>189.30000000000018</v>
      </c>
      <c r="U50" s="2">
        <f t="shared" si="2"/>
        <v>0</v>
      </c>
      <c r="V50" s="2" t="str">
        <f>IF(banking_loan_data[[#This Row],[Loan Status]]="FULLY PAID","GOOD",IF(banking_loan_data[[#This Row],[Loan Status]]="CURRENT","ACTIVE","BAD"))</f>
        <v>GOOD</v>
      </c>
      <c r="W5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0" s="3">
        <f t="shared" si="3"/>
        <v>1577.5000000003522</v>
      </c>
      <c r="Y50" s="4">
        <f t="shared" si="4"/>
        <v>7.5000000000000067E-2</v>
      </c>
      <c r="Z50" s="2" t="str">
        <f t="shared" si="5"/>
        <v>Normal</v>
      </c>
    </row>
    <row r="51" spans="1:26" x14ac:dyDescent="0.3">
      <c r="A51" t="s">
        <v>143</v>
      </c>
      <c r="B51" s="1">
        <v>45218</v>
      </c>
      <c r="C51" t="s">
        <v>144</v>
      </c>
      <c r="D51" t="s">
        <v>40</v>
      </c>
      <c r="E51">
        <v>35888</v>
      </c>
      <c r="F51">
        <v>14.5</v>
      </c>
      <c r="G51">
        <v>60</v>
      </c>
      <c r="H51" t="s">
        <v>26</v>
      </c>
      <c r="I51" t="s">
        <v>57</v>
      </c>
      <c r="J51" t="s">
        <v>32</v>
      </c>
      <c r="K51">
        <v>52335</v>
      </c>
      <c r="L51" t="s">
        <v>22</v>
      </c>
      <c r="M51">
        <v>0.19</v>
      </c>
      <c r="N51">
        <v>0.92</v>
      </c>
      <c r="O51">
        <v>9756.7199999999993</v>
      </c>
      <c r="P51">
        <v>0</v>
      </c>
      <c r="Q51">
        <f ca="1">DATEDIF(banking_loan_data[[#This Row],[Issue Date]],TODAY(),"M")</f>
        <v>29</v>
      </c>
      <c r="R51">
        <f t="shared" si="0"/>
        <v>26018.800000000003</v>
      </c>
      <c r="S51">
        <f>+banking_loan_data[[#This Row],[Loan Amount]]+banking_loan_data[[#This Row],[Interest earned]]</f>
        <v>61906.8</v>
      </c>
      <c r="T51" s="2">
        <f t="shared" si="1"/>
        <v>-26131.279999999999</v>
      </c>
      <c r="U51" s="2">
        <f t="shared" si="2"/>
        <v>0</v>
      </c>
      <c r="V51" s="2" t="str">
        <f>IF(banking_loan_data[[#This Row],[Loan Status]]="FULLY PAID","GOOD",IF(banking_loan_data[[#This Row],[Loan Status]]="CURRENT","ACTIVE","BAD"))</f>
        <v>ACTIVE</v>
      </c>
      <c r="W5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1" s="3">
        <f t="shared" si="3"/>
        <v>43364.666666666664</v>
      </c>
      <c r="Y51" s="4">
        <f t="shared" si="4"/>
        <v>-0.72813419527418632</v>
      </c>
      <c r="Z51" s="2" t="str">
        <f t="shared" si="5"/>
        <v>High Risk</v>
      </c>
    </row>
    <row r="52" spans="1:26" x14ac:dyDescent="0.3">
      <c r="A52" t="s">
        <v>145</v>
      </c>
      <c r="B52" s="1">
        <v>44762</v>
      </c>
      <c r="C52" t="s">
        <v>146</v>
      </c>
      <c r="D52" t="s">
        <v>56</v>
      </c>
      <c r="E52">
        <v>16048</v>
      </c>
      <c r="F52">
        <v>7.3</v>
      </c>
      <c r="G52">
        <v>60</v>
      </c>
      <c r="H52" t="s">
        <v>19</v>
      </c>
      <c r="I52" t="s">
        <v>27</v>
      </c>
      <c r="J52" t="s">
        <v>21</v>
      </c>
      <c r="K52">
        <v>75095</v>
      </c>
      <c r="L52" t="s">
        <v>29</v>
      </c>
      <c r="M52">
        <v>0.31</v>
      </c>
      <c r="N52">
        <v>0.76</v>
      </c>
      <c r="O52">
        <v>17219.5</v>
      </c>
      <c r="P52">
        <v>0</v>
      </c>
      <c r="Q52">
        <f ca="1">DATEDIF(banking_loan_data[[#This Row],[Issue Date]],TODAY(),"M")</f>
        <v>43</v>
      </c>
      <c r="R52">
        <f t="shared" si="0"/>
        <v>5857.5199999999995</v>
      </c>
      <c r="S52">
        <f>+banking_loan_data[[#This Row],[Loan Amount]]+banking_loan_data[[#This Row],[Interest earned]]</f>
        <v>21905.52</v>
      </c>
      <c r="T52" s="2">
        <f t="shared" si="1"/>
        <v>1171.5</v>
      </c>
      <c r="U52" s="2">
        <f t="shared" si="2"/>
        <v>0</v>
      </c>
      <c r="V52" s="2" t="str">
        <f>IF(banking_loan_data[[#This Row],[Loan Status]]="FULLY PAID","GOOD",IF(banking_loan_data[[#This Row],[Loan Status]]="CURRENT","ACTIVE","BAD"))</f>
        <v>GOOD</v>
      </c>
      <c r="W5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2" s="3">
        <f t="shared" si="3"/>
        <v>9762.5333333373783</v>
      </c>
      <c r="Y52" s="4">
        <f t="shared" si="4"/>
        <v>7.2999750747756734E-2</v>
      </c>
      <c r="Z52" s="2" t="str">
        <f t="shared" si="5"/>
        <v>Normal</v>
      </c>
    </row>
    <row r="53" spans="1:26" x14ac:dyDescent="0.3">
      <c r="A53" t="s">
        <v>147</v>
      </c>
      <c r="B53" s="1">
        <v>44899</v>
      </c>
      <c r="C53" t="s">
        <v>148</v>
      </c>
      <c r="D53" t="s">
        <v>40</v>
      </c>
      <c r="E53">
        <v>36111</v>
      </c>
      <c r="F53">
        <v>14.7</v>
      </c>
      <c r="G53">
        <v>36</v>
      </c>
      <c r="H53" t="s">
        <v>19</v>
      </c>
      <c r="I53" t="s">
        <v>20</v>
      </c>
      <c r="J53" t="s">
        <v>32</v>
      </c>
      <c r="K53">
        <v>109930</v>
      </c>
      <c r="L53" t="s">
        <v>33</v>
      </c>
      <c r="M53">
        <v>0.38</v>
      </c>
      <c r="N53">
        <v>0.74</v>
      </c>
      <c r="O53">
        <v>41419.32</v>
      </c>
      <c r="P53">
        <v>0</v>
      </c>
      <c r="Q53">
        <f ca="1">DATEDIF(banking_loan_data[[#This Row],[Issue Date]],TODAY(),"M")</f>
        <v>39</v>
      </c>
      <c r="R53">
        <f t="shared" si="0"/>
        <v>15924.950999999995</v>
      </c>
      <c r="S53">
        <f>+banking_loan_data[[#This Row],[Loan Amount]]+banking_loan_data[[#This Row],[Interest earned]]</f>
        <v>52035.950999999994</v>
      </c>
      <c r="T53" s="2">
        <f t="shared" si="1"/>
        <v>5308.32</v>
      </c>
      <c r="U53" s="2">
        <f t="shared" si="2"/>
        <v>0</v>
      </c>
      <c r="V53" s="2" t="str">
        <f>IF(banking_loan_data[[#This Row],[Loan Status]]="FULLY PAID","GOOD",IF(banking_loan_data[[#This Row],[Loan Status]]="CURRENT","ACTIVE","BAD"))</f>
        <v>GOOD</v>
      </c>
      <c r="W5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3" s="3">
        <f t="shared" si="3"/>
        <v>44235.975000013867</v>
      </c>
      <c r="Y53" s="4">
        <f t="shared" si="4"/>
        <v>0.14700008307717868</v>
      </c>
      <c r="Z53" s="2" t="str">
        <f t="shared" si="5"/>
        <v>Normal</v>
      </c>
    </row>
    <row r="54" spans="1:26" x14ac:dyDescent="0.3">
      <c r="A54" t="s">
        <v>149</v>
      </c>
      <c r="B54" s="1">
        <v>44598</v>
      </c>
      <c r="C54" t="s">
        <v>150</v>
      </c>
      <c r="D54" t="s">
        <v>65</v>
      </c>
      <c r="E54">
        <v>38904</v>
      </c>
      <c r="F54">
        <v>23.4</v>
      </c>
      <c r="G54">
        <v>60</v>
      </c>
      <c r="H54" t="s">
        <v>81</v>
      </c>
      <c r="I54" t="s">
        <v>27</v>
      </c>
      <c r="J54" t="s">
        <v>28</v>
      </c>
      <c r="K54">
        <v>57197</v>
      </c>
      <c r="L54" t="s">
        <v>22</v>
      </c>
      <c r="M54">
        <v>0.14000000000000001</v>
      </c>
      <c r="N54">
        <v>0.84</v>
      </c>
      <c r="O54">
        <v>13773.37</v>
      </c>
      <c r="P54">
        <v>12116.05</v>
      </c>
      <c r="Q54">
        <f ca="1">DATEDIF(banking_loan_data[[#This Row],[Issue Date]],TODAY(),"M")</f>
        <v>49</v>
      </c>
      <c r="R54">
        <f t="shared" si="0"/>
        <v>45517.68</v>
      </c>
      <c r="S54">
        <f>+banking_loan_data[[#This Row],[Loan Amount]]+banking_loan_data[[#This Row],[Interest earned]]</f>
        <v>84421.68</v>
      </c>
      <c r="T54" s="2">
        <f t="shared" si="1"/>
        <v>-13014.580000000002</v>
      </c>
      <c r="U54" s="2">
        <f t="shared" si="2"/>
        <v>1</v>
      </c>
      <c r="V54" s="2" t="str">
        <f>IF(banking_loan_data[[#This Row],[Loan Status]]="FULLY PAID","GOOD",IF(banking_loan_data[[#This Row],[Loan Status]]="CURRENT","ACTIVE","BAD"))</f>
        <v>BAD</v>
      </c>
      <c r="W5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4" s="3">
        <f t="shared" si="3"/>
        <v>75862.8</v>
      </c>
      <c r="Y54" s="4">
        <f t="shared" si="4"/>
        <v>-0.33453063952292827</v>
      </c>
      <c r="Z54" s="2" t="str">
        <f t="shared" si="5"/>
        <v>High Risk</v>
      </c>
    </row>
    <row r="55" spans="1:26" x14ac:dyDescent="0.3">
      <c r="A55" t="s">
        <v>151</v>
      </c>
      <c r="B55" s="1">
        <v>44926</v>
      </c>
      <c r="C55" t="s">
        <v>152</v>
      </c>
      <c r="D55" t="s">
        <v>18</v>
      </c>
      <c r="E55">
        <v>35008</v>
      </c>
      <c r="F55">
        <v>15.4</v>
      </c>
      <c r="G55">
        <v>36</v>
      </c>
      <c r="H55" t="s">
        <v>19</v>
      </c>
      <c r="I55" t="s">
        <v>84</v>
      </c>
      <c r="J55" t="s">
        <v>21</v>
      </c>
      <c r="K55">
        <v>52010</v>
      </c>
      <c r="L55" t="s">
        <v>33</v>
      </c>
      <c r="M55">
        <v>0.23</v>
      </c>
      <c r="N55">
        <v>0.82</v>
      </c>
      <c r="O55">
        <v>40399.230000000003</v>
      </c>
      <c r="P55">
        <v>0</v>
      </c>
      <c r="Q55">
        <f ca="1">DATEDIF(banking_loan_data[[#This Row],[Issue Date]],TODAY(),"M")</f>
        <v>38</v>
      </c>
      <c r="R55">
        <f t="shared" si="0"/>
        <v>16173.696000000004</v>
      </c>
      <c r="S55">
        <f>+banking_loan_data[[#This Row],[Loan Amount]]+banking_loan_data[[#This Row],[Interest earned]]</f>
        <v>51181.696000000004</v>
      </c>
      <c r="T55" s="2">
        <f t="shared" si="1"/>
        <v>5391.2300000000032</v>
      </c>
      <c r="U55" s="2">
        <f t="shared" si="2"/>
        <v>0</v>
      </c>
      <c r="V55" s="2" t="str">
        <f>IF(banking_loan_data[[#This Row],[Loan Status]]="FULLY PAID","GOOD",IF(banking_loan_data[[#This Row],[Loan Status]]="CURRENT","ACTIVE","BAD"))</f>
        <v>GOOD</v>
      </c>
      <c r="W5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5" s="3">
        <f t="shared" si="3"/>
        <v>44926.933333338886</v>
      </c>
      <c r="Y55" s="4">
        <f t="shared" si="4"/>
        <v>0.15399994287020119</v>
      </c>
      <c r="Z55" s="2" t="str">
        <f t="shared" si="5"/>
        <v>High Risk</v>
      </c>
    </row>
    <row r="56" spans="1:26" x14ac:dyDescent="0.3">
      <c r="A56" t="s">
        <v>153</v>
      </c>
      <c r="B56" s="1">
        <v>44358</v>
      </c>
      <c r="C56" t="s">
        <v>154</v>
      </c>
      <c r="D56" t="s">
        <v>18</v>
      </c>
      <c r="E56">
        <v>1060</v>
      </c>
      <c r="F56">
        <v>17.3</v>
      </c>
      <c r="G56">
        <v>60</v>
      </c>
      <c r="H56" t="s">
        <v>26</v>
      </c>
      <c r="I56" t="s">
        <v>57</v>
      </c>
      <c r="J56" t="s">
        <v>21</v>
      </c>
      <c r="K56">
        <v>54123</v>
      </c>
      <c r="L56" t="s">
        <v>22</v>
      </c>
      <c r="M56">
        <v>0.49</v>
      </c>
      <c r="N56">
        <v>0.59</v>
      </c>
      <c r="O56">
        <v>339.55</v>
      </c>
      <c r="P56">
        <v>0</v>
      </c>
      <c r="Q56">
        <f ca="1">DATEDIF(banking_loan_data[[#This Row],[Issue Date]],TODAY(),"M")</f>
        <v>57</v>
      </c>
      <c r="R56">
        <f t="shared" si="0"/>
        <v>916.9</v>
      </c>
      <c r="S56">
        <f>+banking_loan_data[[#This Row],[Loan Amount]]+banking_loan_data[[#This Row],[Interest earned]]</f>
        <v>1976.9</v>
      </c>
      <c r="T56" s="2">
        <f t="shared" si="1"/>
        <v>-720.45</v>
      </c>
      <c r="U56" s="2">
        <f t="shared" si="2"/>
        <v>0</v>
      </c>
      <c r="V56" s="2" t="str">
        <f>IF(banking_loan_data[[#This Row],[Loan Status]]="FULLY PAID","GOOD",IF(banking_loan_data[[#This Row],[Loan Status]]="CURRENT","ACTIVE","BAD"))</f>
        <v>ACTIVE</v>
      </c>
      <c r="W5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6" s="3">
        <f t="shared" si="3"/>
        <v>1528.1666666666667</v>
      </c>
      <c r="Y56" s="4">
        <f t="shared" si="4"/>
        <v>-0.67966981132075477</v>
      </c>
      <c r="Z56" s="2" t="str">
        <f t="shared" si="5"/>
        <v>High Risk</v>
      </c>
    </row>
    <row r="57" spans="1:26" x14ac:dyDescent="0.3">
      <c r="A57" t="s">
        <v>155</v>
      </c>
      <c r="B57" s="1">
        <v>44398</v>
      </c>
      <c r="C57" t="s">
        <v>156</v>
      </c>
      <c r="D57" t="s">
        <v>46</v>
      </c>
      <c r="E57">
        <v>10130</v>
      </c>
      <c r="F57">
        <v>8.1</v>
      </c>
      <c r="G57">
        <v>60</v>
      </c>
      <c r="H57" t="s">
        <v>19</v>
      </c>
      <c r="I57" t="s">
        <v>27</v>
      </c>
      <c r="J57" t="s">
        <v>28</v>
      </c>
      <c r="K57">
        <v>117923</v>
      </c>
      <c r="L57" t="s">
        <v>29</v>
      </c>
      <c r="M57">
        <v>0.2</v>
      </c>
      <c r="N57">
        <v>0.71</v>
      </c>
      <c r="O57">
        <v>10950.53</v>
      </c>
      <c r="P57">
        <v>0</v>
      </c>
      <c r="Q57">
        <f ca="1">DATEDIF(banking_loan_data[[#This Row],[Issue Date]],TODAY(),"M")</f>
        <v>55</v>
      </c>
      <c r="R57">
        <f t="shared" si="0"/>
        <v>4102.6499999999996</v>
      </c>
      <c r="S57">
        <f>+banking_loan_data[[#This Row],[Loan Amount]]+banking_loan_data[[#This Row],[Interest earned]]</f>
        <v>14232.65</v>
      </c>
      <c r="T57" s="2">
        <f t="shared" si="1"/>
        <v>820.53000000000065</v>
      </c>
      <c r="U57" s="2">
        <f t="shared" si="2"/>
        <v>0</v>
      </c>
      <c r="V57" s="2" t="str">
        <f>IF(banking_loan_data[[#This Row],[Loan Status]]="FULLY PAID","GOOD",IF(banking_loan_data[[#This Row],[Loan Status]]="CURRENT","ACTIVE","BAD"))</f>
        <v>GOOD</v>
      </c>
      <c r="W5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7" s="3">
        <f t="shared" si="3"/>
        <v>6837.7500000002474</v>
      </c>
      <c r="Y57" s="4">
        <f t="shared" si="4"/>
        <v>8.1000000000000058E-2</v>
      </c>
      <c r="Z57" s="2" t="str">
        <f t="shared" si="5"/>
        <v>Normal</v>
      </c>
    </row>
    <row r="58" spans="1:26" x14ac:dyDescent="0.3">
      <c r="A58" t="s">
        <v>157</v>
      </c>
      <c r="B58" s="1">
        <v>45192</v>
      </c>
      <c r="C58" t="s">
        <v>158</v>
      </c>
      <c r="D58" t="s">
        <v>53</v>
      </c>
      <c r="E58">
        <v>19023</v>
      </c>
      <c r="F58">
        <v>5.9</v>
      </c>
      <c r="G58">
        <v>60</v>
      </c>
      <c r="H58" t="s">
        <v>26</v>
      </c>
      <c r="I58" t="s">
        <v>20</v>
      </c>
      <c r="J58" t="s">
        <v>28</v>
      </c>
      <c r="K58">
        <v>32890</v>
      </c>
      <c r="L58" t="s">
        <v>33</v>
      </c>
      <c r="M58">
        <v>0.23</v>
      </c>
      <c r="N58">
        <v>0.71</v>
      </c>
      <c r="O58">
        <v>6787.88</v>
      </c>
      <c r="P58">
        <v>0</v>
      </c>
      <c r="Q58">
        <f ca="1">DATEDIF(banking_loan_data[[#This Row],[Issue Date]],TODAY(),"M")</f>
        <v>29</v>
      </c>
      <c r="R58">
        <f t="shared" si="0"/>
        <v>5611.7850000000008</v>
      </c>
      <c r="S58">
        <f>+banking_loan_data[[#This Row],[Loan Amount]]+banking_loan_data[[#This Row],[Interest earned]]</f>
        <v>24634.785</v>
      </c>
      <c r="T58" s="2">
        <f t="shared" si="1"/>
        <v>-12235.119999999999</v>
      </c>
      <c r="U58" s="2">
        <f t="shared" si="2"/>
        <v>0</v>
      </c>
      <c r="V58" s="2" t="str">
        <f>IF(banking_loan_data[[#This Row],[Loan Status]]="FULLY PAID","GOOD",IF(banking_loan_data[[#This Row],[Loan Status]]="CURRENT","ACTIVE","BAD"))</f>
        <v>ACTIVE</v>
      </c>
      <c r="W5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8" s="3">
        <f t="shared" si="3"/>
        <v>9352.9750003553399</v>
      </c>
      <c r="Y58" s="4">
        <f t="shared" si="4"/>
        <v>-0.64317510382168952</v>
      </c>
      <c r="Z58" s="2" t="str">
        <f t="shared" si="5"/>
        <v>Normal</v>
      </c>
    </row>
    <row r="59" spans="1:26" x14ac:dyDescent="0.3">
      <c r="A59" t="s">
        <v>159</v>
      </c>
      <c r="B59" s="1">
        <v>44466</v>
      </c>
      <c r="C59" t="s">
        <v>160</v>
      </c>
      <c r="D59" t="s">
        <v>56</v>
      </c>
      <c r="E59">
        <v>14350</v>
      </c>
      <c r="F59">
        <v>7.2</v>
      </c>
      <c r="G59">
        <v>60</v>
      </c>
      <c r="H59" t="s">
        <v>81</v>
      </c>
      <c r="I59" t="s">
        <v>57</v>
      </c>
      <c r="J59" t="s">
        <v>47</v>
      </c>
      <c r="K59">
        <v>123305</v>
      </c>
      <c r="L59" t="s">
        <v>29</v>
      </c>
      <c r="M59">
        <v>0.43</v>
      </c>
      <c r="N59">
        <v>0.67</v>
      </c>
      <c r="O59">
        <v>5712.02</v>
      </c>
      <c r="P59">
        <v>3379.84</v>
      </c>
      <c r="Q59">
        <f ca="1">DATEDIF(banking_loan_data[[#This Row],[Issue Date]],TODAY(),"M")</f>
        <v>53</v>
      </c>
      <c r="R59">
        <f t="shared" si="0"/>
        <v>5166</v>
      </c>
      <c r="S59">
        <f>+banking_loan_data[[#This Row],[Loan Amount]]+banking_loan_data[[#This Row],[Interest earned]]</f>
        <v>19516</v>
      </c>
      <c r="T59" s="2">
        <f t="shared" si="1"/>
        <v>-5258.1399999999994</v>
      </c>
      <c r="U59" s="2">
        <f t="shared" si="2"/>
        <v>1</v>
      </c>
      <c r="V59" s="2" t="str">
        <f>IF(banking_loan_data[[#This Row],[Loan Status]]="FULLY PAID","GOOD",IF(banking_loan_data[[#This Row],[Loan Status]]="CURRENT","ACTIVE","BAD"))</f>
        <v>BAD</v>
      </c>
      <c r="W5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9" s="3">
        <f t="shared" si="3"/>
        <v>8610.0000000048731</v>
      </c>
      <c r="Y59" s="4">
        <f t="shared" si="4"/>
        <v>-0.36642090592334492</v>
      </c>
      <c r="Z59" s="2" t="str">
        <f t="shared" si="5"/>
        <v>High Risk</v>
      </c>
    </row>
    <row r="60" spans="1:26" x14ac:dyDescent="0.3">
      <c r="A60" t="s">
        <v>161</v>
      </c>
      <c r="B60" s="1">
        <v>45012</v>
      </c>
      <c r="C60" t="s">
        <v>162</v>
      </c>
      <c r="D60" t="s">
        <v>46</v>
      </c>
      <c r="E60">
        <v>25354</v>
      </c>
      <c r="F60">
        <v>17</v>
      </c>
      <c r="G60">
        <v>60</v>
      </c>
      <c r="H60" t="s">
        <v>19</v>
      </c>
      <c r="I60" t="s">
        <v>41</v>
      </c>
      <c r="J60" t="s">
        <v>37</v>
      </c>
      <c r="K60">
        <v>139162</v>
      </c>
      <c r="L60" t="s">
        <v>22</v>
      </c>
      <c r="M60">
        <v>0.12</v>
      </c>
      <c r="N60">
        <v>0.73</v>
      </c>
      <c r="O60">
        <v>29664.18</v>
      </c>
      <c r="P60">
        <v>0</v>
      </c>
      <c r="Q60">
        <f ca="1">DATEDIF(banking_loan_data[[#This Row],[Issue Date]],TODAY(),"M")</f>
        <v>35</v>
      </c>
      <c r="R60">
        <f t="shared" si="0"/>
        <v>21550.9</v>
      </c>
      <c r="S60">
        <f>+banking_loan_data[[#This Row],[Loan Amount]]+banking_loan_data[[#This Row],[Interest earned]]</f>
        <v>46904.9</v>
      </c>
      <c r="T60" s="2">
        <f t="shared" si="1"/>
        <v>4310.18</v>
      </c>
      <c r="U60" s="2">
        <f t="shared" si="2"/>
        <v>0</v>
      </c>
      <c r="V60" s="2" t="str">
        <f>IF(banking_loan_data[[#This Row],[Loan Status]]="FULLY PAID","GOOD",IF(banking_loan_data[[#This Row],[Loan Status]]="CURRENT","ACTIVE","BAD"))</f>
        <v>GOOD</v>
      </c>
      <c r="W6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0" s="3">
        <f t="shared" si="3"/>
        <v>35918.166666666672</v>
      </c>
      <c r="Y60" s="4">
        <f t="shared" si="4"/>
        <v>0.17</v>
      </c>
      <c r="Z60" s="2" t="str">
        <f t="shared" si="5"/>
        <v>Normal</v>
      </c>
    </row>
    <row r="61" spans="1:26" x14ac:dyDescent="0.3">
      <c r="A61" t="s">
        <v>163</v>
      </c>
      <c r="B61" s="1">
        <v>44652</v>
      </c>
      <c r="C61" t="s">
        <v>164</v>
      </c>
      <c r="D61" t="s">
        <v>56</v>
      </c>
      <c r="E61">
        <v>29145</v>
      </c>
      <c r="F61">
        <v>6.9</v>
      </c>
      <c r="G61">
        <v>36</v>
      </c>
      <c r="H61" t="s">
        <v>26</v>
      </c>
      <c r="I61" t="s">
        <v>41</v>
      </c>
      <c r="J61" t="s">
        <v>21</v>
      </c>
      <c r="K61">
        <v>38026</v>
      </c>
      <c r="L61" t="s">
        <v>29</v>
      </c>
      <c r="M61">
        <v>0.28999999999999998</v>
      </c>
      <c r="N61">
        <v>0.69</v>
      </c>
      <c r="O61">
        <v>4504.3900000000003</v>
      </c>
      <c r="P61">
        <v>0</v>
      </c>
      <c r="Q61">
        <f ca="1">DATEDIF(banking_loan_data[[#This Row],[Issue Date]],TODAY(),"M")</f>
        <v>47</v>
      </c>
      <c r="R61">
        <f t="shared" si="0"/>
        <v>6033.0150000000003</v>
      </c>
      <c r="S61">
        <f>+banking_loan_data[[#This Row],[Loan Amount]]+banking_loan_data[[#This Row],[Interest earned]]</f>
        <v>35178.014999999999</v>
      </c>
      <c r="T61" s="2">
        <f t="shared" si="1"/>
        <v>-24640.61</v>
      </c>
      <c r="U61" s="2">
        <f t="shared" si="2"/>
        <v>0</v>
      </c>
      <c r="V61" s="2" t="str">
        <f>IF(banking_loan_data[[#This Row],[Loan Status]]="FULLY PAID","GOOD",IF(banking_loan_data[[#This Row],[Loan Status]]="CURRENT","ACTIVE","BAD"))</f>
        <v>ACTIVE</v>
      </c>
      <c r="W6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1" s="3">
        <f t="shared" si="3"/>
        <v>16758.376324743655</v>
      </c>
      <c r="Y61" s="4">
        <f t="shared" si="4"/>
        <v>-0.84544896208612119</v>
      </c>
      <c r="Z61" s="2" t="str">
        <f t="shared" si="5"/>
        <v>Normal</v>
      </c>
    </row>
    <row r="62" spans="1:26" x14ac:dyDescent="0.3">
      <c r="A62" t="s">
        <v>165</v>
      </c>
      <c r="B62" s="1">
        <v>45213</v>
      </c>
      <c r="C62" t="s">
        <v>166</v>
      </c>
      <c r="D62" t="s">
        <v>56</v>
      </c>
      <c r="E62">
        <v>35020</v>
      </c>
      <c r="F62">
        <v>12.5</v>
      </c>
      <c r="G62">
        <v>60</v>
      </c>
      <c r="H62" t="s">
        <v>26</v>
      </c>
      <c r="I62" t="s">
        <v>73</v>
      </c>
      <c r="J62" t="s">
        <v>21</v>
      </c>
      <c r="K62">
        <v>94925</v>
      </c>
      <c r="L62" t="s">
        <v>29</v>
      </c>
      <c r="M62">
        <v>0.25</v>
      </c>
      <c r="N62">
        <v>0.59</v>
      </c>
      <c r="O62">
        <v>11583.76</v>
      </c>
      <c r="P62">
        <v>0</v>
      </c>
      <c r="Q62">
        <f ca="1">DATEDIF(banking_loan_data[[#This Row],[Issue Date]],TODAY(),"M")</f>
        <v>29</v>
      </c>
      <c r="R62">
        <f t="shared" si="0"/>
        <v>21887.5</v>
      </c>
      <c r="S62">
        <f>+banking_loan_data[[#This Row],[Loan Amount]]+banking_loan_data[[#This Row],[Interest earned]]</f>
        <v>56907.5</v>
      </c>
      <c r="T62" s="2">
        <f t="shared" si="1"/>
        <v>-23436.239999999998</v>
      </c>
      <c r="U62" s="2">
        <f t="shared" si="2"/>
        <v>0</v>
      </c>
      <c r="V62" s="2" t="str">
        <f>IF(banking_loan_data[[#This Row],[Loan Status]]="FULLY PAID","GOOD",IF(banking_loan_data[[#This Row],[Loan Status]]="CURRENT","ACTIVE","BAD"))</f>
        <v>ACTIVE</v>
      </c>
      <c r="W6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2" s="3">
        <f t="shared" si="3"/>
        <v>36479.166666666672</v>
      </c>
      <c r="Y62" s="4">
        <f t="shared" si="4"/>
        <v>-0.66922444317532837</v>
      </c>
      <c r="Z62" s="2" t="str">
        <f t="shared" si="5"/>
        <v>Normal</v>
      </c>
    </row>
    <row r="63" spans="1:26" x14ac:dyDescent="0.3">
      <c r="A63" t="s">
        <v>167</v>
      </c>
      <c r="B63" s="1">
        <v>44492</v>
      </c>
      <c r="C63" t="s">
        <v>168</v>
      </c>
      <c r="D63" t="s">
        <v>65</v>
      </c>
      <c r="E63">
        <v>21587</v>
      </c>
      <c r="F63">
        <v>16</v>
      </c>
      <c r="G63">
        <v>36</v>
      </c>
      <c r="H63" t="s">
        <v>26</v>
      </c>
      <c r="I63" t="s">
        <v>36</v>
      </c>
      <c r="J63" t="s">
        <v>28</v>
      </c>
      <c r="K63">
        <v>98842</v>
      </c>
      <c r="L63" t="s">
        <v>22</v>
      </c>
      <c r="M63">
        <v>0.23</v>
      </c>
      <c r="N63">
        <v>0.69</v>
      </c>
      <c r="O63">
        <v>5550.98</v>
      </c>
      <c r="P63">
        <v>0</v>
      </c>
      <c r="Q63">
        <f ca="1">DATEDIF(banking_loan_data[[#This Row],[Issue Date]],TODAY(),"M")</f>
        <v>52</v>
      </c>
      <c r="R63">
        <f t="shared" si="0"/>
        <v>10361.76</v>
      </c>
      <c r="S63">
        <f>+banking_loan_data[[#This Row],[Loan Amount]]+banking_loan_data[[#This Row],[Interest earned]]</f>
        <v>31948.760000000002</v>
      </c>
      <c r="T63" s="2">
        <f t="shared" si="1"/>
        <v>-16036.02</v>
      </c>
      <c r="U63" s="2">
        <f t="shared" si="2"/>
        <v>0</v>
      </c>
      <c r="V63" s="2" t="str">
        <f>IF(banking_loan_data[[#This Row],[Loan Status]]="FULLY PAID","GOOD",IF(banking_loan_data[[#This Row],[Loan Status]]="CURRENT","ACTIVE","BAD"))</f>
        <v>ACTIVE</v>
      </c>
      <c r="W6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3" s="3">
        <f t="shared" si="3"/>
        <v>28782.666666668294</v>
      </c>
      <c r="Y63" s="4">
        <f t="shared" si="4"/>
        <v>-0.74285542224486967</v>
      </c>
      <c r="Z63" s="2" t="str">
        <f t="shared" si="5"/>
        <v>Normal</v>
      </c>
    </row>
    <row r="64" spans="1:26" x14ac:dyDescent="0.3">
      <c r="A64" t="s">
        <v>169</v>
      </c>
      <c r="B64" s="1">
        <v>44916</v>
      </c>
      <c r="C64" t="s">
        <v>170</v>
      </c>
      <c r="D64" t="s">
        <v>46</v>
      </c>
      <c r="E64">
        <v>10650</v>
      </c>
      <c r="F64">
        <v>12.8</v>
      </c>
      <c r="G64">
        <v>36</v>
      </c>
      <c r="H64" t="s">
        <v>19</v>
      </c>
      <c r="I64" t="s">
        <v>73</v>
      </c>
      <c r="J64" t="s">
        <v>28</v>
      </c>
      <c r="K64">
        <v>63665</v>
      </c>
      <c r="L64" t="s">
        <v>22</v>
      </c>
      <c r="M64">
        <v>0.21</v>
      </c>
      <c r="N64">
        <v>0.53</v>
      </c>
      <c r="O64">
        <v>12013.2</v>
      </c>
      <c r="P64">
        <v>0</v>
      </c>
      <c r="Q64">
        <f ca="1">DATEDIF(banking_loan_data[[#This Row],[Issue Date]],TODAY(),"M")</f>
        <v>38</v>
      </c>
      <c r="R64">
        <f t="shared" si="0"/>
        <v>4089.6000000000004</v>
      </c>
      <c r="S64">
        <f>+banking_loan_data[[#This Row],[Loan Amount]]+banking_loan_data[[#This Row],[Interest earned]]</f>
        <v>14739.6</v>
      </c>
      <c r="T64" s="2">
        <f t="shared" si="1"/>
        <v>1363.2000000000007</v>
      </c>
      <c r="U64" s="2">
        <f t="shared" si="2"/>
        <v>0</v>
      </c>
      <c r="V64" s="2" t="str">
        <f>IF(banking_loan_data[[#This Row],[Loan Status]]="FULLY PAID","GOOD",IF(banking_loan_data[[#This Row],[Loan Status]]="CURRENT","ACTIVE","BAD"))</f>
        <v>GOOD</v>
      </c>
      <c r="W6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4" s="3">
        <f t="shared" si="3"/>
        <v>11360.000000050775</v>
      </c>
      <c r="Y64" s="4">
        <f t="shared" si="4"/>
        <v>0.12800000000000006</v>
      </c>
      <c r="Z64" s="2" t="str">
        <f t="shared" si="5"/>
        <v>Normal</v>
      </c>
    </row>
    <row r="65" spans="1:26" x14ac:dyDescent="0.3">
      <c r="A65" t="s">
        <v>171</v>
      </c>
      <c r="B65" s="1">
        <v>44534</v>
      </c>
      <c r="C65" t="s">
        <v>172</v>
      </c>
      <c r="D65" t="s">
        <v>56</v>
      </c>
      <c r="E65">
        <v>20933</v>
      </c>
      <c r="F65">
        <v>8.3000000000000007</v>
      </c>
      <c r="G65">
        <v>36</v>
      </c>
      <c r="H65" t="s">
        <v>81</v>
      </c>
      <c r="I65" t="s">
        <v>57</v>
      </c>
      <c r="J65" t="s">
        <v>37</v>
      </c>
      <c r="K65">
        <v>39277</v>
      </c>
      <c r="L65" t="s">
        <v>33</v>
      </c>
      <c r="M65">
        <v>0.14000000000000001</v>
      </c>
      <c r="N65">
        <v>0.76</v>
      </c>
      <c r="O65">
        <v>2341.0500000000002</v>
      </c>
      <c r="P65">
        <v>2519.27</v>
      </c>
      <c r="Q65">
        <f ca="1">DATEDIF(banking_loan_data[[#This Row],[Issue Date]],TODAY(),"M")</f>
        <v>51</v>
      </c>
      <c r="R65">
        <f t="shared" si="0"/>
        <v>5212.3170000000009</v>
      </c>
      <c r="S65">
        <f>+banking_loan_data[[#This Row],[Loan Amount]]+banking_loan_data[[#This Row],[Interest earned]]</f>
        <v>26145.317000000003</v>
      </c>
      <c r="T65" s="2">
        <f t="shared" si="1"/>
        <v>-16072.68</v>
      </c>
      <c r="U65" s="2">
        <f t="shared" si="2"/>
        <v>1</v>
      </c>
      <c r="V65" s="2" t="str">
        <f>IF(banking_loan_data[[#This Row],[Loan Status]]="FULLY PAID","GOOD",IF(banking_loan_data[[#This Row],[Loan Status]]="CURRENT","ACTIVE","BAD"))</f>
        <v>BAD</v>
      </c>
      <c r="W6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5" s="3">
        <f t="shared" si="3"/>
        <v>14478.658420710071</v>
      </c>
      <c r="Y65" s="4">
        <f t="shared" si="4"/>
        <v>-0.76781541107342477</v>
      </c>
      <c r="Z65" s="2" t="str">
        <f t="shared" si="5"/>
        <v>Normal</v>
      </c>
    </row>
    <row r="66" spans="1:26" x14ac:dyDescent="0.3">
      <c r="A66" t="s">
        <v>173</v>
      </c>
      <c r="B66" s="1">
        <v>45075</v>
      </c>
      <c r="C66" t="s">
        <v>174</v>
      </c>
      <c r="D66" t="s">
        <v>25</v>
      </c>
      <c r="E66">
        <v>21581</v>
      </c>
      <c r="F66">
        <v>10.5</v>
      </c>
      <c r="G66">
        <v>36</v>
      </c>
      <c r="H66" t="s">
        <v>19</v>
      </c>
      <c r="I66" t="s">
        <v>57</v>
      </c>
      <c r="J66" t="s">
        <v>28</v>
      </c>
      <c r="K66">
        <v>72239</v>
      </c>
      <c r="L66" t="s">
        <v>22</v>
      </c>
      <c r="M66">
        <v>0.23</v>
      </c>
      <c r="N66">
        <v>0.88</v>
      </c>
      <c r="O66">
        <v>23847</v>
      </c>
      <c r="P66">
        <v>0</v>
      </c>
      <c r="Q66">
        <f ca="1">DATEDIF(banking_loan_data[[#This Row],[Issue Date]],TODAY(),"M")</f>
        <v>33</v>
      </c>
      <c r="R66">
        <f t="shared" ref="R66:R129" si="6">(((E66*F66)/100)*G66)/12</f>
        <v>6798.0150000000003</v>
      </c>
      <c r="S66">
        <f>+banking_loan_data[[#This Row],[Loan Amount]]+banking_loan_data[[#This Row],[Interest earned]]</f>
        <v>28379.014999999999</v>
      </c>
      <c r="T66" s="2">
        <f t="shared" ref="T66:T129" si="7">O66 + P66 - E66</f>
        <v>2266</v>
      </c>
      <c r="U66" s="2">
        <f t="shared" ref="U66:U129" si="8">IF(H66="CHARGED OFF",1,0)</f>
        <v>0</v>
      </c>
      <c r="V66" s="2" t="str">
        <f>IF(banking_loan_data[[#This Row],[Loan Status]]="FULLY PAID","GOOD",IF(banking_loan_data[[#This Row],[Loan Status]]="CURRENT","ACTIVE","BAD"))</f>
        <v>GOOD</v>
      </c>
      <c r="W6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6" s="3">
        <f t="shared" ref="X66:X129" si="9">PMT(F66/12,G66,-E66)</f>
        <v>18883.375002805653</v>
      </c>
      <c r="Y66" s="4">
        <f t="shared" ref="Y66:Y129" si="10">IF(E66=0,0,T66/E66)</f>
        <v>0.10499976831472128</v>
      </c>
      <c r="Z66" s="2" t="str">
        <f t="shared" ref="Z66:Z129" si="11">IF(OR(M66&gt;0.4,N66&gt;0.8),"High Risk","Normal")</f>
        <v>High Risk</v>
      </c>
    </row>
    <row r="67" spans="1:26" x14ac:dyDescent="0.3">
      <c r="A67" t="s">
        <v>175</v>
      </c>
      <c r="B67" s="1">
        <v>45273</v>
      </c>
      <c r="C67" t="s">
        <v>176</v>
      </c>
      <c r="D67" t="s">
        <v>65</v>
      </c>
      <c r="E67">
        <v>24393</v>
      </c>
      <c r="F67">
        <v>23.6</v>
      </c>
      <c r="G67">
        <v>36</v>
      </c>
      <c r="H67" t="s">
        <v>19</v>
      </c>
      <c r="I67" t="s">
        <v>36</v>
      </c>
      <c r="J67" t="s">
        <v>32</v>
      </c>
      <c r="K67">
        <v>77664</v>
      </c>
      <c r="L67" t="s">
        <v>33</v>
      </c>
      <c r="M67">
        <v>0.12</v>
      </c>
      <c r="N67">
        <v>0.83</v>
      </c>
      <c r="O67">
        <v>30149.75</v>
      </c>
      <c r="P67">
        <v>0</v>
      </c>
      <c r="Q67">
        <f ca="1">DATEDIF(banking_loan_data[[#This Row],[Issue Date]],TODAY(),"M")</f>
        <v>27</v>
      </c>
      <c r="R67">
        <f t="shared" si="6"/>
        <v>17270.244000000002</v>
      </c>
      <c r="S67">
        <f>+banking_loan_data[[#This Row],[Loan Amount]]+banking_loan_data[[#This Row],[Interest earned]]</f>
        <v>41663.244000000006</v>
      </c>
      <c r="T67" s="2">
        <f t="shared" si="7"/>
        <v>5756.75</v>
      </c>
      <c r="U67" s="2">
        <f t="shared" si="8"/>
        <v>0</v>
      </c>
      <c r="V67" s="2" t="str">
        <f>IF(banking_loan_data[[#This Row],[Loan Status]]="FULLY PAID","GOOD",IF(banking_loan_data[[#This Row],[Loan Status]]="CURRENT","ACTIVE","BAD"))</f>
        <v>GOOD</v>
      </c>
      <c r="W6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7" s="3">
        <f t="shared" si="9"/>
        <v>47972.9</v>
      </c>
      <c r="Y67" s="4">
        <f t="shared" si="10"/>
        <v>0.23600008199073505</v>
      </c>
      <c r="Z67" s="2" t="str">
        <f t="shared" si="11"/>
        <v>High Risk</v>
      </c>
    </row>
    <row r="68" spans="1:26" x14ac:dyDescent="0.3">
      <c r="A68" t="s">
        <v>177</v>
      </c>
      <c r="B68" s="1">
        <v>44988</v>
      </c>
      <c r="C68" t="s">
        <v>178</v>
      </c>
      <c r="D68" t="s">
        <v>18</v>
      </c>
      <c r="E68">
        <v>24051</v>
      </c>
      <c r="F68">
        <v>18.5</v>
      </c>
      <c r="G68">
        <v>60</v>
      </c>
      <c r="H68" t="s">
        <v>81</v>
      </c>
      <c r="I68" t="s">
        <v>20</v>
      </c>
      <c r="J68" t="s">
        <v>32</v>
      </c>
      <c r="K68">
        <v>78008</v>
      </c>
      <c r="L68" t="s">
        <v>29</v>
      </c>
      <c r="M68">
        <v>0.41</v>
      </c>
      <c r="N68">
        <v>0.66</v>
      </c>
      <c r="O68">
        <v>2509.5100000000002</v>
      </c>
      <c r="P68">
        <v>11762.86</v>
      </c>
      <c r="Q68">
        <f ca="1">DATEDIF(banking_loan_data[[#This Row],[Issue Date]],TODAY(),"M")</f>
        <v>36</v>
      </c>
      <c r="R68">
        <f t="shared" si="6"/>
        <v>22247.175000000003</v>
      </c>
      <c r="S68">
        <f>+banking_loan_data[[#This Row],[Loan Amount]]+banking_loan_data[[#This Row],[Interest earned]]</f>
        <v>46298.175000000003</v>
      </c>
      <c r="T68" s="2">
        <f t="shared" si="7"/>
        <v>-9778.6299999999992</v>
      </c>
      <c r="U68" s="2">
        <f t="shared" si="8"/>
        <v>1</v>
      </c>
      <c r="V68" s="2" t="str">
        <f>IF(banking_loan_data[[#This Row],[Loan Status]]="FULLY PAID","GOOD",IF(banking_loan_data[[#This Row],[Loan Status]]="CURRENT","ACTIVE","BAD"))</f>
        <v>BAD</v>
      </c>
      <c r="W6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8" s="3">
        <f t="shared" si="9"/>
        <v>37078.625</v>
      </c>
      <c r="Y68" s="4">
        <f t="shared" si="10"/>
        <v>-0.4065789364267598</v>
      </c>
      <c r="Z68" s="2" t="str">
        <f t="shared" si="11"/>
        <v>High Risk</v>
      </c>
    </row>
    <row r="69" spans="1:26" x14ac:dyDescent="0.3">
      <c r="A69" t="s">
        <v>179</v>
      </c>
      <c r="B69" s="1">
        <v>44413</v>
      </c>
      <c r="C69" t="s">
        <v>180</v>
      </c>
      <c r="D69" t="s">
        <v>65</v>
      </c>
      <c r="E69">
        <v>27212</v>
      </c>
      <c r="F69">
        <v>14.9</v>
      </c>
      <c r="G69">
        <v>60</v>
      </c>
      <c r="H69" t="s">
        <v>26</v>
      </c>
      <c r="I69" t="s">
        <v>73</v>
      </c>
      <c r="J69" t="s">
        <v>32</v>
      </c>
      <c r="K69">
        <v>44683</v>
      </c>
      <c r="L69" t="s">
        <v>29</v>
      </c>
      <c r="M69">
        <v>0.26</v>
      </c>
      <c r="N69">
        <v>0.54</v>
      </c>
      <c r="O69">
        <v>2820.6</v>
      </c>
      <c r="P69">
        <v>0</v>
      </c>
      <c r="Q69">
        <f ca="1">DATEDIF(banking_loan_data[[#This Row],[Issue Date]],TODAY(),"M")</f>
        <v>55</v>
      </c>
      <c r="R69">
        <f t="shared" si="6"/>
        <v>20272.939999999999</v>
      </c>
      <c r="S69">
        <f>+banking_loan_data[[#This Row],[Loan Amount]]+banking_loan_data[[#This Row],[Interest earned]]</f>
        <v>47484.94</v>
      </c>
      <c r="T69" s="2">
        <f t="shared" si="7"/>
        <v>-24391.4</v>
      </c>
      <c r="U69" s="2">
        <f t="shared" si="8"/>
        <v>0</v>
      </c>
      <c r="V69" s="2" t="str">
        <f>IF(banking_loan_data[[#This Row],[Loan Status]]="FULLY PAID","GOOD",IF(banking_loan_data[[#This Row],[Loan Status]]="CURRENT","ACTIVE","BAD"))</f>
        <v>ACTIVE</v>
      </c>
      <c r="W6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9" s="3">
        <f t="shared" si="9"/>
        <v>33788.233333333337</v>
      </c>
      <c r="Y69" s="4">
        <f t="shared" si="10"/>
        <v>-0.8963471997648097</v>
      </c>
      <c r="Z69" s="2" t="str">
        <f t="shared" si="11"/>
        <v>Normal</v>
      </c>
    </row>
    <row r="70" spans="1:26" x14ac:dyDescent="0.3">
      <c r="A70" t="s">
        <v>181</v>
      </c>
      <c r="B70" s="1">
        <v>44960</v>
      </c>
      <c r="C70" t="s">
        <v>182</v>
      </c>
      <c r="D70" t="s">
        <v>76</v>
      </c>
      <c r="E70">
        <v>5090</v>
      </c>
      <c r="F70">
        <v>5.3</v>
      </c>
      <c r="G70">
        <v>60</v>
      </c>
      <c r="H70" t="s">
        <v>19</v>
      </c>
      <c r="I70" t="s">
        <v>73</v>
      </c>
      <c r="J70" t="s">
        <v>32</v>
      </c>
      <c r="K70">
        <v>30670</v>
      </c>
      <c r="L70" t="s">
        <v>33</v>
      </c>
      <c r="M70">
        <v>0.28000000000000003</v>
      </c>
      <c r="N70">
        <v>0.59</v>
      </c>
      <c r="O70">
        <v>5359.77</v>
      </c>
      <c r="P70">
        <v>0</v>
      </c>
      <c r="Q70">
        <f ca="1">DATEDIF(banking_loan_data[[#This Row],[Issue Date]],TODAY(),"M")</f>
        <v>37</v>
      </c>
      <c r="R70">
        <f t="shared" si="6"/>
        <v>1348.85</v>
      </c>
      <c r="S70">
        <f>+banking_loan_data[[#This Row],[Loan Amount]]+banking_loan_data[[#This Row],[Interest earned]]</f>
        <v>6438.85</v>
      </c>
      <c r="T70" s="2">
        <f t="shared" si="7"/>
        <v>269.77000000000044</v>
      </c>
      <c r="U70" s="2">
        <f t="shared" si="8"/>
        <v>0</v>
      </c>
      <c r="V70" s="2" t="str">
        <f>IF(banking_loan_data[[#This Row],[Loan Status]]="FULLY PAID","GOOD",IF(banking_loan_data[[#This Row],[Loan Status]]="CURRENT","ACTIVE","BAD"))</f>
        <v>GOOD</v>
      </c>
      <c r="W7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0" s="3">
        <f t="shared" si="9"/>
        <v>2248.0833339939068</v>
      </c>
      <c r="Y70" s="4">
        <f t="shared" si="10"/>
        <v>5.3000000000000089E-2</v>
      </c>
      <c r="Z70" s="2" t="str">
        <f t="shared" si="11"/>
        <v>Normal</v>
      </c>
    </row>
    <row r="71" spans="1:26" x14ac:dyDescent="0.3">
      <c r="A71" t="s">
        <v>183</v>
      </c>
      <c r="B71" s="1">
        <v>44384</v>
      </c>
      <c r="C71" t="s">
        <v>184</v>
      </c>
      <c r="D71" t="s">
        <v>76</v>
      </c>
      <c r="E71">
        <v>7960</v>
      </c>
      <c r="F71">
        <v>24.8</v>
      </c>
      <c r="G71">
        <v>60</v>
      </c>
      <c r="H71" t="s">
        <v>19</v>
      </c>
      <c r="I71" t="s">
        <v>27</v>
      </c>
      <c r="J71" t="s">
        <v>37</v>
      </c>
      <c r="K71">
        <v>119211</v>
      </c>
      <c r="L71" t="s">
        <v>22</v>
      </c>
      <c r="M71">
        <v>0.46</v>
      </c>
      <c r="N71">
        <v>0.75</v>
      </c>
      <c r="O71">
        <v>9934.08</v>
      </c>
      <c r="P71">
        <v>0</v>
      </c>
      <c r="Q71">
        <f ca="1">DATEDIF(banking_loan_data[[#This Row],[Issue Date]],TODAY(),"M")</f>
        <v>56</v>
      </c>
      <c r="R71">
        <f t="shared" si="6"/>
        <v>9870.4</v>
      </c>
      <c r="S71">
        <f>+banking_loan_data[[#This Row],[Loan Amount]]+banking_loan_data[[#This Row],[Interest earned]]</f>
        <v>17830.400000000001</v>
      </c>
      <c r="T71" s="2">
        <f t="shared" si="7"/>
        <v>1974.08</v>
      </c>
      <c r="U71" s="2">
        <f t="shared" si="8"/>
        <v>0</v>
      </c>
      <c r="V71" s="2" t="str">
        <f>IF(banking_loan_data[[#This Row],[Loan Status]]="FULLY PAID","GOOD",IF(banking_loan_data[[#This Row],[Loan Status]]="CURRENT","ACTIVE","BAD"))</f>
        <v>GOOD</v>
      </c>
      <c r="W7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1" s="3">
        <f t="shared" si="9"/>
        <v>16450.666666666668</v>
      </c>
      <c r="Y71" s="4">
        <f t="shared" si="10"/>
        <v>0.248</v>
      </c>
      <c r="Z71" s="2" t="str">
        <f t="shared" si="11"/>
        <v>High Risk</v>
      </c>
    </row>
    <row r="72" spans="1:26" x14ac:dyDescent="0.3">
      <c r="A72" t="s">
        <v>185</v>
      </c>
      <c r="B72" s="1">
        <v>44576</v>
      </c>
      <c r="C72" t="s">
        <v>186</v>
      </c>
      <c r="D72" t="s">
        <v>56</v>
      </c>
      <c r="E72">
        <v>36772</v>
      </c>
      <c r="F72">
        <v>18.399999999999999</v>
      </c>
      <c r="G72">
        <v>36</v>
      </c>
      <c r="H72" t="s">
        <v>19</v>
      </c>
      <c r="I72" t="s">
        <v>73</v>
      </c>
      <c r="J72" t="s">
        <v>21</v>
      </c>
      <c r="K72">
        <v>47889</v>
      </c>
      <c r="L72" t="s">
        <v>22</v>
      </c>
      <c r="M72">
        <v>0.36</v>
      </c>
      <c r="N72">
        <v>0.59</v>
      </c>
      <c r="O72">
        <v>43538.05</v>
      </c>
      <c r="P72">
        <v>0</v>
      </c>
      <c r="Q72">
        <f ca="1">DATEDIF(banking_loan_data[[#This Row],[Issue Date]],TODAY(),"M")</f>
        <v>50</v>
      </c>
      <c r="R72">
        <f t="shared" si="6"/>
        <v>20298.143999999997</v>
      </c>
      <c r="S72">
        <f>+banking_loan_data[[#This Row],[Loan Amount]]+banking_loan_data[[#This Row],[Interest earned]]</f>
        <v>57070.144</v>
      </c>
      <c r="T72" s="2">
        <f t="shared" si="7"/>
        <v>6766.0500000000029</v>
      </c>
      <c r="U72" s="2">
        <f t="shared" si="8"/>
        <v>0</v>
      </c>
      <c r="V72" s="2" t="str">
        <f>IF(banking_loan_data[[#This Row],[Loan Status]]="FULLY PAID","GOOD",IF(banking_loan_data[[#This Row],[Loan Status]]="CURRENT","ACTIVE","BAD"))</f>
        <v>GOOD</v>
      </c>
      <c r="W7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2" s="3">
        <f t="shared" si="9"/>
        <v>56383.733333333497</v>
      </c>
      <c r="Y72" s="4">
        <f t="shared" si="10"/>
        <v>0.18400005438920927</v>
      </c>
      <c r="Z72" s="2" t="str">
        <f t="shared" si="11"/>
        <v>Normal</v>
      </c>
    </row>
    <row r="73" spans="1:26" x14ac:dyDescent="0.3">
      <c r="A73" t="s">
        <v>187</v>
      </c>
      <c r="B73" s="1">
        <v>44689</v>
      </c>
      <c r="C73" t="s">
        <v>188</v>
      </c>
      <c r="D73" t="s">
        <v>46</v>
      </c>
      <c r="E73">
        <v>22520</v>
      </c>
      <c r="F73">
        <v>11.3</v>
      </c>
      <c r="G73">
        <v>60</v>
      </c>
      <c r="H73" t="s">
        <v>19</v>
      </c>
      <c r="I73" t="s">
        <v>57</v>
      </c>
      <c r="J73" t="s">
        <v>32</v>
      </c>
      <c r="K73">
        <v>85612</v>
      </c>
      <c r="L73" t="s">
        <v>29</v>
      </c>
      <c r="M73">
        <v>0.1</v>
      </c>
      <c r="N73">
        <v>0.74</v>
      </c>
      <c r="O73">
        <v>25064.76</v>
      </c>
      <c r="P73">
        <v>0</v>
      </c>
      <c r="Q73">
        <f ca="1">DATEDIF(banking_loan_data[[#This Row],[Issue Date]],TODAY(),"M")</f>
        <v>46</v>
      </c>
      <c r="R73">
        <f t="shared" si="6"/>
        <v>12723.800000000001</v>
      </c>
      <c r="S73">
        <f>+banking_loan_data[[#This Row],[Loan Amount]]+banking_loan_data[[#This Row],[Interest earned]]</f>
        <v>35243.800000000003</v>
      </c>
      <c r="T73" s="2">
        <f t="shared" si="7"/>
        <v>2544.7599999999984</v>
      </c>
      <c r="U73" s="2">
        <f t="shared" si="8"/>
        <v>0</v>
      </c>
      <c r="V73" s="2" t="str">
        <f>IF(banking_loan_data[[#This Row],[Loan Status]]="FULLY PAID","GOOD",IF(banking_loan_data[[#This Row],[Loan Status]]="CURRENT","ACTIVE","BAD"))</f>
        <v>GOOD</v>
      </c>
      <c r="W7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3" s="3">
        <f t="shared" si="9"/>
        <v>21206.333333333336</v>
      </c>
      <c r="Y73" s="4">
        <f t="shared" si="10"/>
        <v>0.11299999999999993</v>
      </c>
      <c r="Z73" s="2" t="str">
        <f t="shared" si="11"/>
        <v>Normal</v>
      </c>
    </row>
    <row r="74" spans="1:26" x14ac:dyDescent="0.3">
      <c r="A74" t="s">
        <v>189</v>
      </c>
      <c r="B74" s="1">
        <v>45261</v>
      </c>
      <c r="C74" t="s">
        <v>190</v>
      </c>
      <c r="D74" t="s">
        <v>18</v>
      </c>
      <c r="E74">
        <v>37408</v>
      </c>
      <c r="F74">
        <v>22.6</v>
      </c>
      <c r="G74">
        <v>60</v>
      </c>
      <c r="H74" t="s">
        <v>19</v>
      </c>
      <c r="I74" t="s">
        <v>20</v>
      </c>
      <c r="J74" t="s">
        <v>28</v>
      </c>
      <c r="K74">
        <v>74535</v>
      </c>
      <c r="L74" t="s">
        <v>33</v>
      </c>
      <c r="M74">
        <v>0.48</v>
      </c>
      <c r="N74">
        <v>0.6</v>
      </c>
      <c r="O74">
        <v>45862.21</v>
      </c>
      <c r="P74">
        <v>0</v>
      </c>
      <c r="Q74">
        <f ca="1">DATEDIF(banking_loan_data[[#This Row],[Issue Date]],TODAY(),"M")</f>
        <v>27</v>
      </c>
      <c r="R74">
        <f t="shared" si="6"/>
        <v>42271.040000000001</v>
      </c>
      <c r="S74">
        <f>+banking_loan_data[[#This Row],[Loan Amount]]+banking_loan_data[[#This Row],[Interest earned]]</f>
        <v>79679.040000000008</v>
      </c>
      <c r="T74" s="2">
        <f t="shared" si="7"/>
        <v>8454.2099999999991</v>
      </c>
      <c r="U74" s="2">
        <f t="shared" si="8"/>
        <v>0</v>
      </c>
      <c r="V74" s="2" t="str">
        <f>IF(banking_loan_data[[#This Row],[Loan Status]]="FULLY PAID","GOOD",IF(banking_loan_data[[#This Row],[Loan Status]]="CURRENT","ACTIVE","BAD"))</f>
        <v>GOOD</v>
      </c>
      <c r="W7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4" s="3">
        <f t="shared" si="9"/>
        <v>70451.733333333337</v>
      </c>
      <c r="Y74" s="4">
        <f t="shared" si="10"/>
        <v>0.22600005346449956</v>
      </c>
      <c r="Z74" s="2" t="str">
        <f t="shared" si="11"/>
        <v>High Risk</v>
      </c>
    </row>
    <row r="75" spans="1:26" x14ac:dyDescent="0.3">
      <c r="A75" t="s">
        <v>191</v>
      </c>
      <c r="B75" s="1">
        <v>44211</v>
      </c>
      <c r="C75" t="s">
        <v>192</v>
      </c>
      <c r="D75" t="s">
        <v>65</v>
      </c>
      <c r="E75">
        <v>29470</v>
      </c>
      <c r="F75">
        <v>10.199999999999999</v>
      </c>
      <c r="G75">
        <v>36</v>
      </c>
      <c r="H75" t="s">
        <v>26</v>
      </c>
      <c r="I75" t="s">
        <v>73</v>
      </c>
      <c r="J75" t="s">
        <v>32</v>
      </c>
      <c r="K75">
        <v>108542</v>
      </c>
      <c r="L75" t="s">
        <v>29</v>
      </c>
      <c r="M75">
        <v>0.19</v>
      </c>
      <c r="N75">
        <v>0.88</v>
      </c>
      <c r="O75">
        <v>10081.43</v>
      </c>
      <c r="P75">
        <v>0</v>
      </c>
      <c r="Q75">
        <f ca="1">DATEDIF(banking_loan_data[[#This Row],[Issue Date]],TODAY(),"M")</f>
        <v>62</v>
      </c>
      <c r="R75">
        <f t="shared" si="6"/>
        <v>9017.82</v>
      </c>
      <c r="S75">
        <f>+banking_loan_data[[#This Row],[Loan Amount]]+banking_loan_data[[#This Row],[Interest earned]]</f>
        <v>38487.82</v>
      </c>
      <c r="T75" s="2">
        <f t="shared" si="7"/>
        <v>-19388.57</v>
      </c>
      <c r="U75" s="2">
        <f t="shared" si="8"/>
        <v>0</v>
      </c>
      <c r="V75" s="2" t="str">
        <f>IF(banking_loan_data[[#This Row],[Loan Status]]="FULLY PAID","GOOD",IF(banking_loan_data[[#This Row],[Loan Status]]="CURRENT","ACTIVE","BAD"))</f>
        <v>ACTIVE</v>
      </c>
      <c r="W7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5" s="3">
        <f t="shared" si="9"/>
        <v>25049.500006034159</v>
      </c>
      <c r="Y75" s="4">
        <f t="shared" si="10"/>
        <v>-0.6579087207329487</v>
      </c>
      <c r="Z75" s="2" t="str">
        <f t="shared" si="11"/>
        <v>High Risk</v>
      </c>
    </row>
    <row r="76" spans="1:26" x14ac:dyDescent="0.3">
      <c r="A76" t="s">
        <v>193</v>
      </c>
      <c r="B76" s="1">
        <v>44261</v>
      </c>
      <c r="C76" t="s">
        <v>194</v>
      </c>
      <c r="D76" t="s">
        <v>46</v>
      </c>
      <c r="E76">
        <v>21491</v>
      </c>
      <c r="F76">
        <v>15.9</v>
      </c>
      <c r="G76">
        <v>36</v>
      </c>
      <c r="H76" t="s">
        <v>19</v>
      </c>
      <c r="I76" t="s">
        <v>27</v>
      </c>
      <c r="J76" t="s">
        <v>37</v>
      </c>
      <c r="K76">
        <v>84319</v>
      </c>
      <c r="L76" t="s">
        <v>29</v>
      </c>
      <c r="M76">
        <v>0.14000000000000001</v>
      </c>
      <c r="N76">
        <v>0.68</v>
      </c>
      <c r="O76">
        <v>24908.07</v>
      </c>
      <c r="P76">
        <v>0</v>
      </c>
      <c r="Q76">
        <f ca="1">DATEDIF(banking_loan_data[[#This Row],[Issue Date]],TODAY(),"M")</f>
        <v>60</v>
      </c>
      <c r="R76">
        <f t="shared" si="6"/>
        <v>10251.207</v>
      </c>
      <c r="S76">
        <f>+banking_loan_data[[#This Row],[Loan Amount]]+banking_loan_data[[#This Row],[Interest earned]]</f>
        <v>31742.207000000002</v>
      </c>
      <c r="T76" s="2">
        <f t="shared" si="7"/>
        <v>3417.0699999999997</v>
      </c>
      <c r="U76" s="2">
        <f t="shared" si="8"/>
        <v>0</v>
      </c>
      <c r="V76" s="2" t="str">
        <f>IF(banking_loan_data[[#This Row],[Loan Status]]="FULLY PAID","GOOD",IF(banking_loan_data[[#This Row],[Loan Status]]="CURRENT","ACTIVE","BAD"))</f>
        <v>GOOD</v>
      </c>
      <c r="W7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6" s="3">
        <f t="shared" si="9"/>
        <v>28475.575000001831</v>
      </c>
      <c r="Y76" s="4">
        <f t="shared" si="10"/>
        <v>0.15900004653110603</v>
      </c>
      <c r="Z76" s="2" t="str">
        <f t="shared" si="11"/>
        <v>Normal</v>
      </c>
    </row>
    <row r="77" spans="1:26" x14ac:dyDescent="0.3">
      <c r="A77" t="s">
        <v>195</v>
      </c>
      <c r="B77" s="1">
        <v>44717</v>
      </c>
      <c r="C77" t="s">
        <v>196</v>
      </c>
      <c r="D77" t="s">
        <v>65</v>
      </c>
      <c r="E77">
        <v>2341</v>
      </c>
      <c r="F77">
        <v>17.7</v>
      </c>
      <c r="G77">
        <v>60</v>
      </c>
      <c r="H77" t="s">
        <v>26</v>
      </c>
      <c r="I77" t="s">
        <v>73</v>
      </c>
      <c r="J77" t="s">
        <v>28</v>
      </c>
      <c r="K77">
        <v>144072</v>
      </c>
      <c r="L77" t="s">
        <v>22</v>
      </c>
      <c r="M77">
        <v>0.41</v>
      </c>
      <c r="N77">
        <v>0.61</v>
      </c>
      <c r="O77">
        <v>714.53</v>
      </c>
      <c r="P77">
        <v>0</v>
      </c>
      <c r="Q77">
        <f ca="1">DATEDIF(banking_loan_data[[#This Row],[Issue Date]],TODAY(),"M")</f>
        <v>45</v>
      </c>
      <c r="R77">
        <f t="shared" si="6"/>
        <v>2071.7849999999999</v>
      </c>
      <c r="S77">
        <f>+banking_loan_data[[#This Row],[Loan Amount]]+banking_loan_data[[#This Row],[Interest earned]]</f>
        <v>4412.7849999999999</v>
      </c>
      <c r="T77" s="2">
        <f t="shared" si="7"/>
        <v>-1626.47</v>
      </c>
      <c r="U77" s="2">
        <f t="shared" si="8"/>
        <v>0</v>
      </c>
      <c r="V77" s="2" t="str">
        <f>IF(banking_loan_data[[#This Row],[Loan Status]]="FULLY PAID","GOOD",IF(banking_loan_data[[#This Row],[Loan Status]]="CURRENT","ACTIVE","BAD"))</f>
        <v>ACTIVE</v>
      </c>
      <c r="W7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7" s="3">
        <f t="shared" si="9"/>
        <v>3452.9749999999999</v>
      </c>
      <c r="Y77" s="4">
        <f t="shared" si="10"/>
        <v>-0.69477573686458782</v>
      </c>
      <c r="Z77" s="2" t="str">
        <f t="shared" si="11"/>
        <v>High Risk</v>
      </c>
    </row>
    <row r="78" spans="1:26" x14ac:dyDescent="0.3">
      <c r="A78" t="s">
        <v>197</v>
      </c>
      <c r="B78" s="1">
        <v>44844</v>
      </c>
      <c r="C78" t="s">
        <v>198</v>
      </c>
      <c r="D78" t="s">
        <v>65</v>
      </c>
      <c r="E78">
        <v>25791</v>
      </c>
      <c r="F78">
        <v>9.4</v>
      </c>
      <c r="G78">
        <v>60</v>
      </c>
      <c r="H78" t="s">
        <v>26</v>
      </c>
      <c r="I78" t="s">
        <v>27</v>
      </c>
      <c r="J78" t="s">
        <v>32</v>
      </c>
      <c r="K78">
        <v>122067</v>
      </c>
      <c r="L78" t="s">
        <v>33</v>
      </c>
      <c r="M78">
        <v>0.3</v>
      </c>
      <c r="N78">
        <v>0.87</v>
      </c>
      <c r="O78">
        <v>7712.63</v>
      </c>
      <c r="P78">
        <v>0</v>
      </c>
      <c r="Q78">
        <f ca="1">DATEDIF(banking_loan_data[[#This Row],[Issue Date]],TODAY(),"M")</f>
        <v>41</v>
      </c>
      <c r="R78">
        <f t="shared" si="6"/>
        <v>12121.770000000002</v>
      </c>
      <c r="S78">
        <f>+banking_loan_data[[#This Row],[Loan Amount]]+banking_loan_data[[#This Row],[Interest earned]]</f>
        <v>37912.770000000004</v>
      </c>
      <c r="T78" s="2">
        <f t="shared" si="7"/>
        <v>-18078.37</v>
      </c>
      <c r="U78" s="2">
        <f t="shared" si="8"/>
        <v>0</v>
      </c>
      <c r="V78" s="2" t="str">
        <f>IF(banking_loan_data[[#This Row],[Loan Status]]="FULLY PAID","GOOD",IF(banking_loan_data[[#This Row],[Loan Status]]="CURRENT","ACTIVE","BAD"))</f>
        <v>ACTIVE</v>
      </c>
      <c r="W7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8" s="3">
        <f t="shared" si="9"/>
        <v>20202.950000000015</v>
      </c>
      <c r="Y78" s="4">
        <f t="shared" si="10"/>
        <v>-0.70095653522546619</v>
      </c>
      <c r="Z78" s="2" t="str">
        <f t="shared" si="11"/>
        <v>High Risk</v>
      </c>
    </row>
    <row r="79" spans="1:26" x14ac:dyDescent="0.3">
      <c r="A79" t="s">
        <v>199</v>
      </c>
      <c r="B79" s="1">
        <v>45283</v>
      </c>
      <c r="C79" t="s">
        <v>200</v>
      </c>
      <c r="D79" t="s">
        <v>25</v>
      </c>
      <c r="E79">
        <v>1338</v>
      </c>
      <c r="F79">
        <v>24.6</v>
      </c>
      <c r="G79">
        <v>36</v>
      </c>
      <c r="H79" t="s">
        <v>19</v>
      </c>
      <c r="I79" t="s">
        <v>20</v>
      </c>
      <c r="J79" t="s">
        <v>21</v>
      </c>
      <c r="K79">
        <v>51639</v>
      </c>
      <c r="L79" t="s">
        <v>29</v>
      </c>
      <c r="M79">
        <v>0.27</v>
      </c>
      <c r="N79">
        <v>0.65</v>
      </c>
      <c r="O79">
        <v>1667.15</v>
      </c>
      <c r="P79">
        <v>0</v>
      </c>
      <c r="Q79">
        <f ca="1">DATEDIF(banking_loan_data[[#This Row],[Issue Date]],TODAY(),"M")</f>
        <v>26</v>
      </c>
      <c r="R79">
        <f t="shared" si="6"/>
        <v>987.44400000000007</v>
      </c>
      <c r="S79">
        <f>+banking_loan_data[[#This Row],[Loan Amount]]+banking_loan_data[[#This Row],[Interest earned]]</f>
        <v>2325.444</v>
      </c>
      <c r="T79" s="2">
        <f t="shared" si="7"/>
        <v>329.15000000000009</v>
      </c>
      <c r="U79" s="2">
        <f t="shared" si="8"/>
        <v>0</v>
      </c>
      <c r="V79" s="2" t="str">
        <f>IF(banking_loan_data[[#This Row],[Loan Status]]="FULLY PAID","GOOD",IF(banking_loan_data[[#This Row],[Loan Status]]="CURRENT","ACTIVE","BAD"))</f>
        <v>GOOD</v>
      </c>
      <c r="W7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9" s="3">
        <f t="shared" si="9"/>
        <v>2742.9000000000005</v>
      </c>
      <c r="Y79" s="4">
        <f t="shared" si="10"/>
        <v>0.24600149476831099</v>
      </c>
      <c r="Z79" s="2" t="str">
        <f t="shared" si="11"/>
        <v>Normal</v>
      </c>
    </row>
    <row r="80" spans="1:26" x14ac:dyDescent="0.3">
      <c r="A80" t="s">
        <v>201</v>
      </c>
      <c r="B80" s="1">
        <v>44789</v>
      </c>
      <c r="C80" t="s">
        <v>202</v>
      </c>
      <c r="D80" t="s">
        <v>76</v>
      </c>
      <c r="E80">
        <v>6895</v>
      </c>
      <c r="F80">
        <v>20</v>
      </c>
      <c r="G80">
        <v>60</v>
      </c>
      <c r="H80" t="s">
        <v>19</v>
      </c>
      <c r="I80" t="s">
        <v>36</v>
      </c>
      <c r="J80" t="s">
        <v>28</v>
      </c>
      <c r="K80">
        <v>94712</v>
      </c>
      <c r="L80" t="s">
        <v>22</v>
      </c>
      <c r="M80">
        <v>0.2</v>
      </c>
      <c r="N80">
        <v>0.55000000000000004</v>
      </c>
      <c r="O80">
        <v>8274</v>
      </c>
      <c r="P80">
        <v>0</v>
      </c>
      <c r="Q80">
        <f ca="1">DATEDIF(banking_loan_data[[#This Row],[Issue Date]],TODAY(),"M")</f>
        <v>43</v>
      </c>
      <c r="R80">
        <f t="shared" si="6"/>
        <v>6895</v>
      </c>
      <c r="S80">
        <f>+banking_loan_data[[#This Row],[Loan Amount]]+banking_loan_data[[#This Row],[Interest earned]]</f>
        <v>13790</v>
      </c>
      <c r="T80" s="2">
        <f t="shared" si="7"/>
        <v>1379</v>
      </c>
      <c r="U80" s="2">
        <f t="shared" si="8"/>
        <v>0</v>
      </c>
      <c r="V80" s="2" t="str">
        <f>IF(banking_loan_data[[#This Row],[Loan Status]]="FULLY PAID","GOOD",IF(banking_loan_data[[#This Row],[Loan Status]]="CURRENT","ACTIVE","BAD"))</f>
        <v>GOOD</v>
      </c>
      <c r="W8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0" s="3">
        <f t="shared" si="9"/>
        <v>11491.666666666668</v>
      </c>
      <c r="Y80" s="4">
        <f t="shared" si="10"/>
        <v>0.2</v>
      </c>
      <c r="Z80" s="2" t="str">
        <f t="shared" si="11"/>
        <v>Normal</v>
      </c>
    </row>
    <row r="81" spans="1:26" x14ac:dyDescent="0.3">
      <c r="A81" t="s">
        <v>203</v>
      </c>
      <c r="B81" s="1">
        <v>44588</v>
      </c>
      <c r="C81" t="s">
        <v>204</v>
      </c>
      <c r="D81" t="s">
        <v>65</v>
      </c>
      <c r="E81">
        <v>13254</v>
      </c>
      <c r="F81">
        <v>16.2</v>
      </c>
      <c r="G81">
        <v>60</v>
      </c>
      <c r="H81" t="s">
        <v>19</v>
      </c>
      <c r="I81" t="s">
        <v>73</v>
      </c>
      <c r="J81" t="s">
        <v>28</v>
      </c>
      <c r="K81">
        <v>46633</v>
      </c>
      <c r="L81" t="s">
        <v>29</v>
      </c>
      <c r="M81">
        <v>0.32</v>
      </c>
      <c r="N81">
        <v>0.76</v>
      </c>
      <c r="O81">
        <v>15401.15</v>
      </c>
      <c r="P81">
        <v>0</v>
      </c>
      <c r="Q81">
        <f ca="1">DATEDIF(banking_loan_data[[#This Row],[Issue Date]],TODAY(),"M")</f>
        <v>49</v>
      </c>
      <c r="R81">
        <f t="shared" si="6"/>
        <v>10735.739999999998</v>
      </c>
      <c r="S81">
        <f>+banking_loan_data[[#This Row],[Loan Amount]]+banking_loan_data[[#This Row],[Interest earned]]</f>
        <v>23989.739999999998</v>
      </c>
      <c r="T81" s="2">
        <f t="shared" si="7"/>
        <v>2147.1499999999996</v>
      </c>
      <c r="U81" s="2">
        <f t="shared" si="8"/>
        <v>0</v>
      </c>
      <c r="V81" s="2" t="str">
        <f>IF(banking_loan_data[[#This Row],[Loan Status]]="FULLY PAID","GOOD",IF(banking_loan_data[[#This Row],[Loan Status]]="CURRENT","ACTIVE","BAD"))</f>
        <v>GOOD</v>
      </c>
      <c r="W8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81" s="3">
        <f t="shared" si="9"/>
        <v>17892.899999999998</v>
      </c>
      <c r="Y81" s="4">
        <f t="shared" si="10"/>
        <v>0.16200015089784214</v>
      </c>
      <c r="Z81" s="2" t="str">
        <f t="shared" si="11"/>
        <v>Normal</v>
      </c>
    </row>
    <row r="82" spans="1:26" x14ac:dyDescent="0.3">
      <c r="A82" t="s">
        <v>205</v>
      </c>
      <c r="B82" s="1">
        <v>44615</v>
      </c>
      <c r="C82" t="s">
        <v>206</v>
      </c>
      <c r="D82" t="s">
        <v>25</v>
      </c>
      <c r="E82">
        <v>12344</v>
      </c>
      <c r="F82">
        <v>8.6</v>
      </c>
      <c r="G82">
        <v>60</v>
      </c>
      <c r="H82" t="s">
        <v>19</v>
      </c>
      <c r="I82" t="s">
        <v>20</v>
      </c>
      <c r="J82" t="s">
        <v>21</v>
      </c>
      <c r="K82">
        <v>64660</v>
      </c>
      <c r="L82" t="s">
        <v>29</v>
      </c>
      <c r="M82">
        <v>0.21</v>
      </c>
      <c r="N82">
        <v>0.76</v>
      </c>
      <c r="O82">
        <v>13405.58</v>
      </c>
      <c r="P82">
        <v>0</v>
      </c>
      <c r="Q82">
        <f ca="1">DATEDIF(banking_loan_data[[#This Row],[Issue Date]],TODAY(),"M")</f>
        <v>48</v>
      </c>
      <c r="R82">
        <f t="shared" si="6"/>
        <v>5307.9199999999992</v>
      </c>
      <c r="S82">
        <f>+banking_loan_data[[#This Row],[Loan Amount]]+banking_loan_data[[#This Row],[Interest earned]]</f>
        <v>17651.919999999998</v>
      </c>
      <c r="T82" s="2">
        <f t="shared" si="7"/>
        <v>1061.58</v>
      </c>
      <c r="U82" s="2">
        <f t="shared" si="8"/>
        <v>0</v>
      </c>
      <c r="V82" s="2" t="str">
        <f>IF(banking_loan_data[[#This Row],[Loan Status]]="FULLY PAID","GOOD",IF(banking_loan_data[[#This Row],[Loan Status]]="CURRENT","ACTIVE","BAD"))</f>
        <v>GOOD</v>
      </c>
      <c r="W8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2" s="3">
        <f t="shared" si="9"/>
        <v>8846.5333333334074</v>
      </c>
      <c r="Y82" s="4">
        <f t="shared" si="10"/>
        <v>8.5999675955929999E-2</v>
      </c>
      <c r="Z82" s="2" t="str">
        <f t="shared" si="11"/>
        <v>Normal</v>
      </c>
    </row>
    <row r="83" spans="1:26" x14ac:dyDescent="0.3">
      <c r="A83" t="s">
        <v>207</v>
      </c>
      <c r="B83" s="1">
        <v>44485</v>
      </c>
      <c r="C83" t="s">
        <v>208</v>
      </c>
      <c r="D83" t="s">
        <v>76</v>
      </c>
      <c r="E83">
        <v>2750</v>
      </c>
      <c r="F83">
        <v>6.1</v>
      </c>
      <c r="G83">
        <v>60</v>
      </c>
      <c r="H83" t="s">
        <v>26</v>
      </c>
      <c r="I83" t="s">
        <v>73</v>
      </c>
      <c r="J83" t="s">
        <v>28</v>
      </c>
      <c r="K83">
        <v>98975</v>
      </c>
      <c r="L83" t="s">
        <v>22</v>
      </c>
      <c r="M83">
        <v>0.46</v>
      </c>
      <c r="N83">
        <v>0.82</v>
      </c>
      <c r="O83">
        <v>176.92</v>
      </c>
      <c r="P83">
        <v>0</v>
      </c>
      <c r="Q83">
        <f ca="1">DATEDIF(banking_loan_data[[#This Row],[Issue Date]],TODAY(),"M")</f>
        <v>53</v>
      </c>
      <c r="R83">
        <f t="shared" si="6"/>
        <v>838.75</v>
      </c>
      <c r="S83">
        <f>+banking_loan_data[[#This Row],[Loan Amount]]+banking_loan_data[[#This Row],[Interest earned]]</f>
        <v>3588.75</v>
      </c>
      <c r="T83" s="2">
        <f t="shared" si="7"/>
        <v>-2573.08</v>
      </c>
      <c r="U83" s="2">
        <f t="shared" si="8"/>
        <v>0</v>
      </c>
      <c r="V83" s="2" t="str">
        <f>IF(banking_loan_data[[#This Row],[Loan Status]]="FULLY PAID","GOOD",IF(banking_loan_data[[#This Row],[Loan Status]]="CURRENT","ACTIVE","BAD"))</f>
        <v>ACTIVE</v>
      </c>
      <c r="W8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83" s="3">
        <f t="shared" si="9"/>
        <v>1397.9166666939338</v>
      </c>
      <c r="Y83" s="4">
        <f t="shared" si="10"/>
        <v>-0.93566545454545447</v>
      </c>
      <c r="Z83" s="2" t="str">
        <f t="shared" si="11"/>
        <v>High Risk</v>
      </c>
    </row>
    <row r="84" spans="1:26" x14ac:dyDescent="0.3">
      <c r="A84" t="s">
        <v>209</v>
      </c>
      <c r="B84" s="1">
        <v>44575</v>
      </c>
      <c r="C84" t="s">
        <v>210</v>
      </c>
      <c r="D84" t="s">
        <v>25</v>
      </c>
      <c r="E84">
        <v>3421</v>
      </c>
      <c r="F84">
        <v>11.4</v>
      </c>
      <c r="G84">
        <v>36</v>
      </c>
      <c r="H84" t="s">
        <v>19</v>
      </c>
      <c r="I84" t="s">
        <v>84</v>
      </c>
      <c r="J84" t="s">
        <v>32</v>
      </c>
      <c r="K84">
        <v>62172</v>
      </c>
      <c r="L84" t="s">
        <v>22</v>
      </c>
      <c r="M84">
        <v>0.19</v>
      </c>
      <c r="N84">
        <v>0.61</v>
      </c>
      <c r="O84">
        <v>3810.99</v>
      </c>
      <c r="P84">
        <v>0</v>
      </c>
      <c r="Q84">
        <f ca="1">DATEDIF(banking_loan_data[[#This Row],[Issue Date]],TODAY(),"M")</f>
        <v>50</v>
      </c>
      <c r="R84">
        <f t="shared" si="6"/>
        <v>1169.9820000000002</v>
      </c>
      <c r="S84">
        <f>+banking_loan_data[[#This Row],[Loan Amount]]+banking_loan_data[[#This Row],[Interest earned]]</f>
        <v>4590.982</v>
      </c>
      <c r="T84" s="2">
        <f t="shared" si="7"/>
        <v>389.98999999999978</v>
      </c>
      <c r="U84" s="2">
        <f t="shared" si="8"/>
        <v>0</v>
      </c>
      <c r="V84" s="2" t="str">
        <f>IF(banking_loan_data[[#This Row],[Loan Status]]="FULLY PAID","GOOD",IF(banking_loan_data[[#This Row],[Loan Status]]="CURRENT","ACTIVE","BAD"))</f>
        <v>GOOD</v>
      </c>
      <c r="W8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4" s="3">
        <f t="shared" si="9"/>
        <v>3249.9500001176607</v>
      </c>
      <c r="Y84" s="4">
        <f t="shared" si="10"/>
        <v>0.11399883075124226</v>
      </c>
      <c r="Z84" s="2" t="str">
        <f t="shared" si="11"/>
        <v>Normal</v>
      </c>
    </row>
    <row r="85" spans="1:26" x14ac:dyDescent="0.3">
      <c r="A85" t="s">
        <v>211</v>
      </c>
      <c r="B85" s="1">
        <v>44427</v>
      </c>
      <c r="C85" t="s">
        <v>212</v>
      </c>
      <c r="D85" t="s">
        <v>46</v>
      </c>
      <c r="E85">
        <v>6319</v>
      </c>
      <c r="F85">
        <v>20.100000000000001</v>
      </c>
      <c r="G85">
        <v>36</v>
      </c>
      <c r="H85" t="s">
        <v>26</v>
      </c>
      <c r="I85" t="s">
        <v>36</v>
      </c>
      <c r="J85" t="s">
        <v>28</v>
      </c>
      <c r="K85">
        <v>89197</v>
      </c>
      <c r="L85" t="s">
        <v>33</v>
      </c>
      <c r="M85">
        <v>0.45</v>
      </c>
      <c r="N85">
        <v>0.7</v>
      </c>
      <c r="O85">
        <v>1650.44</v>
      </c>
      <c r="P85">
        <v>0</v>
      </c>
      <c r="Q85">
        <f ca="1">DATEDIF(banking_loan_data[[#This Row],[Issue Date]],TODAY(),"M")</f>
        <v>55</v>
      </c>
      <c r="R85">
        <f t="shared" si="6"/>
        <v>3810.3570000000004</v>
      </c>
      <c r="S85">
        <f>+banking_loan_data[[#This Row],[Loan Amount]]+banking_loan_data[[#This Row],[Interest earned]]</f>
        <v>10129.357</v>
      </c>
      <c r="T85" s="2">
        <f t="shared" si="7"/>
        <v>-4668.5599999999995</v>
      </c>
      <c r="U85" s="2">
        <f t="shared" si="8"/>
        <v>0</v>
      </c>
      <c r="V85" s="2" t="str">
        <f>IF(banking_loan_data[[#This Row],[Loan Status]]="FULLY PAID","GOOD",IF(banking_loan_data[[#This Row],[Loan Status]]="CURRENT","ACTIVE","BAD"))</f>
        <v>ACTIVE</v>
      </c>
      <c r="W8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5" s="3">
        <f t="shared" si="9"/>
        <v>10584.325000000004</v>
      </c>
      <c r="Y85" s="4">
        <f t="shared" si="10"/>
        <v>-0.73881310333913586</v>
      </c>
      <c r="Z85" s="2" t="str">
        <f t="shared" si="11"/>
        <v>High Risk</v>
      </c>
    </row>
    <row r="86" spans="1:26" x14ac:dyDescent="0.3">
      <c r="A86" t="s">
        <v>213</v>
      </c>
      <c r="B86" s="1">
        <v>45214</v>
      </c>
      <c r="C86" t="s">
        <v>214</v>
      </c>
      <c r="D86" t="s">
        <v>53</v>
      </c>
      <c r="E86">
        <v>16896</v>
      </c>
      <c r="F86">
        <v>10.4</v>
      </c>
      <c r="G86">
        <v>36</v>
      </c>
      <c r="H86" t="s">
        <v>19</v>
      </c>
      <c r="I86" t="s">
        <v>57</v>
      </c>
      <c r="J86" t="s">
        <v>32</v>
      </c>
      <c r="K86">
        <v>131158</v>
      </c>
      <c r="L86" t="s">
        <v>29</v>
      </c>
      <c r="M86">
        <v>0.32</v>
      </c>
      <c r="N86">
        <v>0.63</v>
      </c>
      <c r="O86">
        <v>18653.18</v>
      </c>
      <c r="P86">
        <v>0</v>
      </c>
      <c r="Q86">
        <f ca="1">DATEDIF(banking_loan_data[[#This Row],[Issue Date]],TODAY(),"M")</f>
        <v>29</v>
      </c>
      <c r="R86">
        <f t="shared" si="6"/>
        <v>5271.5519999999997</v>
      </c>
      <c r="S86">
        <f>+banking_loan_data[[#This Row],[Loan Amount]]+banking_loan_data[[#This Row],[Interest earned]]</f>
        <v>22167.552</v>
      </c>
      <c r="T86" s="2">
        <f t="shared" si="7"/>
        <v>1757.1800000000003</v>
      </c>
      <c r="U86" s="2">
        <f t="shared" si="8"/>
        <v>0</v>
      </c>
      <c r="V86" s="2" t="str">
        <f>IF(banking_loan_data[[#This Row],[Loan Status]]="FULLY PAID","GOOD",IF(banking_loan_data[[#This Row],[Loan Status]]="CURRENT","ACTIVE","BAD"))</f>
        <v>GOOD</v>
      </c>
      <c r="W8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6" s="3">
        <f t="shared" si="9"/>
        <v>14643.200002554067</v>
      </c>
      <c r="Y86" s="4">
        <f t="shared" si="10"/>
        <v>0.10399976325757578</v>
      </c>
      <c r="Z86" s="2" t="str">
        <f t="shared" si="11"/>
        <v>Normal</v>
      </c>
    </row>
    <row r="87" spans="1:26" x14ac:dyDescent="0.3">
      <c r="A87" t="s">
        <v>215</v>
      </c>
      <c r="B87" s="1">
        <v>44237</v>
      </c>
      <c r="C87" t="s">
        <v>216</v>
      </c>
      <c r="D87" t="s">
        <v>76</v>
      </c>
      <c r="E87">
        <v>12918</v>
      </c>
      <c r="F87">
        <v>15.8</v>
      </c>
      <c r="G87">
        <v>60</v>
      </c>
      <c r="H87" t="s">
        <v>19</v>
      </c>
      <c r="I87" t="s">
        <v>27</v>
      </c>
      <c r="J87" t="s">
        <v>21</v>
      </c>
      <c r="K87">
        <v>88847</v>
      </c>
      <c r="L87" t="s">
        <v>33</v>
      </c>
      <c r="M87">
        <v>0.43</v>
      </c>
      <c r="N87">
        <v>0.54</v>
      </c>
      <c r="O87">
        <v>14959.04</v>
      </c>
      <c r="P87">
        <v>0</v>
      </c>
      <c r="Q87">
        <f ca="1">DATEDIF(banking_loan_data[[#This Row],[Issue Date]],TODAY(),"M")</f>
        <v>61</v>
      </c>
      <c r="R87">
        <f t="shared" si="6"/>
        <v>10205.220000000001</v>
      </c>
      <c r="S87">
        <f>+banking_loan_data[[#This Row],[Loan Amount]]+banking_loan_data[[#This Row],[Interest earned]]</f>
        <v>23123.22</v>
      </c>
      <c r="T87" s="2">
        <f t="shared" si="7"/>
        <v>2041.0400000000009</v>
      </c>
      <c r="U87" s="2">
        <f t="shared" si="8"/>
        <v>0</v>
      </c>
      <c r="V87" s="2" t="str">
        <f>IF(banking_loan_data[[#This Row],[Loan Status]]="FULLY PAID","GOOD",IF(banking_loan_data[[#This Row],[Loan Status]]="CURRENT","ACTIVE","BAD"))</f>
        <v>GOOD</v>
      </c>
      <c r="W8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7" s="3">
        <f t="shared" si="9"/>
        <v>17008.7</v>
      </c>
      <c r="Y87" s="4">
        <f t="shared" si="10"/>
        <v>0.15799969035454411</v>
      </c>
      <c r="Z87" s="2" t="str">
        <f t="shared" si="11"/>
        <v>High Risk</v>
      </c>
    </row>
    <row r="88" spans="1:26" x14ac:dyDescent="0.3">
      <c r="A88" t="s">
        <v>217</v>
      </c>
      <c r="B88" s="1">
        <v>45248</v>
      </c>
      <c r="C88" t="s">
        <v>218</v>
      </c>
      <c r="D88" t="s">
        <v>50</v>
      </c>
      <c r="E88">
        <v>26064</v>
      </c>
      <c r="F88">
        <v>19.600000000000001</v>
      </c>
      <c r="G88">
        <v>60</v>
      </c>
      <c r="H88" t="s">
        <v>19</v>
      </c>
      <c r="I88" t="s">
        <v>20</v>
      </c>
      <c r="J88" t="s">
        <v>47</v>
      </c>
      <c r="K88">
        <v>41577</v>
      </c>
      <c r="L88" t="s">
        <v>22</v>
      </c>
      <c r="M88">
        <v>0.39</v>
      </c>
      <c r="N88">
        <v>0.89</v>
      </c>
      <c r="O88">
        <v>31172.54</v>
      </c>
      <c r="P88">
        <v>0</v>
      </c>
      <c r="Q88">
        <f ca="1">DATEDIF(banking_loan_data[[#This Row],[Issue Date]],TODAY(),"M")</f>
        <v>28</v>
      </c>
      <c r="R88">
        <f t="shared" si="6"/>
        <v>25542.720000000001</v>
      </c>
      <c r="S88">
        <f>+banking_loan_data[[#This Row],[Loan Amount]]+banking_loan_data[[#This Row],[Interest earned]]</f>
        <v>51606.720000000001</v>
      </c>
      <c r="T88" s="2">
        <f t="shared" si="7"/>
        <v>5108.5400000000009</v>
      </c>
      <c r="U88" s="2">
        <f t="shared" si="8"/>
        <v>0</v>
      </c>
      <c r="V88" s="2" t="str">
        <f>IF(banking_loan_data[[#This Row],[Loan Status]]="FULLY PAID","GOOD",IF(banking_loan_data[[#This Row],[Loan Status]]="CURRENT","ACTIVE","BAD"))</f>
        <v>GOOD</v>
      </c>
      <c r="W8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8" s="3">
        <f t="shared" si="9"/>
        <v>42571.200000000004</v>
      </c>
      <c r="Y88" s="4">
        <f t="shared" si="10"/>
        <v>0.19599984653161451</v>
      </c>
      <c r="Z88" s="2" t="str">
        <f t="shared" si="11"/>
        <v>High Risk</v>
      </c>
    </row>
    <row r="89" spans="1:26" x14ac:dyDescent="0.3">
      <c r="A89" t="s">
        <v>219</v>
      </c>
      <c r="B89" s="1">
        <v>44331</v>
      </c>
      <c r="C89" t="s">
        <v>220</v>
      </c>
      <c r="D89" t="s">
        <v>53</v>
      </c>
      <c r="E89">
        <v>28935</v>
      </c>
      <c r="F89">
        <v>7.2</v>
      </c>
      <c r="G89">
        <v>60</v>
      </c>
      <c r="H89" t="s">
        <v>19</v>
      </c>
      <c r="I89" t="s">
        <v>20</v>
      </c>
      <c r="J89" t="s">
        <v>21</v>
      </c>
      <c r="K89">
        <v>107299</v>
      </c>
      <c r="L89" t="s">
        <v>22</v>
      </c>
      <c r="M89">
        <v>0.38</v>
      </c>
      <c r="N89">
        <v>0.83</v>
      </c>
      <c r="O89">
        <v>31018.32</v>
      </c>
      <c r="P89">
        <v>0</v>
      </c>
      <c r="Q89">
        <f ca="1">DATEDIF(banking_loan_data[[#This Row],[Issue Date]],TODAY(),"M")</f>
        <v>58</v>
      </c>
      <c r="R89">
        <f t="shared" si="6"/>
        <v>10416.6</v>
      </c>
      <c r="S89">
        <f>+banking_loan_data[[#This Row],[Loan Amount]]+banking_loan_data[[#This Row],[Interest earned]]</f>
        <v>39351.599999999999</v>
      </c>
      <c r="T89" s="2">
        <f t="shared" si="7"/>
        <v>2083.3199999999997</v>
      </c>
      <c r="U89" s="2">
        <f t="shared" si="8"/>
        <v>0</v>
      </c>
      <c r="V89" s="2" t="str">
        <f>IF(banking_loan_data[[#This Row],[Loan Status]]="FULLY PAID","GOOD",IF(banking_loan_data[[#This Row],[Loan Status]]="CURRENT","ACTIVE","BAD"))</f>
        <v>GOOD</v>
      </c>
      <c r="W8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9" s="3">
        <f t="shared" si="9"/>
        <v>17361.000000009826</v>
      </c>
      <c r="Y89" s="4">
        <f t="shared" si="10"/>
        <v>7.1999999999999995E-2</v>
      </c>
      <c r="Z89" s="2" t="str">
        <f t="shared" si="11"/>
        <v>High Risk</v>
      </c>
    </row>
    <row r="90" spans="1:26" x14ac:dyDescent="0.3">
      <c r="A90" t="s">
        <v>221</v>
      </c>
      <c r="B90" s="1">
        <v>44397</v>
      </c>
      <c r="C90" t="s">
        <v>222</v>
      </c>
      <c r="D90" t="s">
        <v>46</v>
      </c>
      <c r="E90">
        <v>38641</v>
      </c>
      <c r="F90">
        <v>18.7</v>
      </c>
      <c r="G90">
        <v>60</v>
      </c>
      <c r="H90" t="s">
        <v>19</v>
      </c>
      <c r="I90" t="s">
        <v>73</v>
      </c>
      <c r="J90" t="s">
        <v>32</v>
      </c>
      <c r="K90">
        <v>50176</v>
      </c>
      <c r="L90" t="s">
        <v>29</v>
      </c>
      <c r="M90">
        <v>0.23</v>
      </c>
      <c r="N90">
        <v>0.64</v>
      </c>
      <c r="O90">
        <v>45866.87</v>
      </c>
      <c r="P90">
        <v>0</v>
      </c>
      <c r="Q90">
        <f ca="1">DATEDIF(banking_loan_data[[#This Row],[Issue Date]],TODAY(),"M")</f>
        <v>55</v>
      </c>
      <c r="R90">
        <f t="shared" si="6"/>
        <v>36129.334999999999</v>
      </c>
      <c r="S90">
        <f>+banking_loan_data[[#This Row],[Loan Amount]]+banking_loan_data[[#This Row],[Interest earned]]</f>
        <v>74770.334999999992</v>
      </c>
      <c r="T90" s="2">
        <f t="shared" si="7"/>
        <v>7225.8700000000026</v>
      </c>
      <c r="U90" s="2">
        <f t="shared" si="8"/>
        <v>0</v>
      </c>
      <c r="V90" s="2" t="str">
        <f>IF(banking_loan_data[[#This Row],[Loan Status]]="FULLY PAID","GOOD",IF(banking_loan_data[[#This Row],[Loan Status]]="CURRENT","ACTIVE","BAD"))</f>
        <v>GOOD</v>
      </c>
      <c r="W9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0" s="3">
        <f t="shared" si="9"/>
        <v>60215.558333333334</v>
      </c>
      <c r="Y90" s="4">
        <f t="shared" si="10"/>
        <v>0.18700007763774237</v>
      </c>
      <c r="Z90" s="2" t="str">
        <f t="shared" si="11"/>
        <v>Normal</v>
      </c>
    </row>
    <row r="91" spans="1:26" x14ac:dyDescent="0.3">
      <c r="A91" t="s">
        <v>223</v>
      </c>
      <c r="B91" s="1">
        <v>44976</v>
      </c>
      <c r="C91" t="s">
        <v>224</v>
      </c>
      <c r="D91" t="s">
        <v>65</v>
      </c>
      <c r="E91">
        <v>30711</v>
      </c>
      <c r="F91">
        <v>6.8</v>
      </c>
      <c r="G91">
        <v>60</v>
      </c>
      <c r="H91" t="s">
        <v>19</v>
      </c>
      <c r="I91" t="s">
        <v>27</v>
      </c>
      <c r="J91" t="s">
        <v>37</v>
      </c>
      <c r="K91">
        <v>74386</v>
      </c>
      <c r="L91" t="s">
        <v>33</v>
      </c>
      <c r="M91">
        <v>0.19</v>
      </c>
      <c r="N91">
        <v>0.77</v>
      </c>
      <c r="O91">
        <v>32799.35</v>
      </c>
      <c r="P91">
        <v>0</v>
      </c>
      <c r="Q91">
        <f ca="1">DATEDIF(banking_loan_data[[#This Row],[Issue Date]],TODAY(),"M")</f>
        <v>37</v>
      </c>
      <c r="R91">
        <f t="shared" si="6"/>
        <v>10441.74</v>
      </c>
      <c r="S91">
        <f>+banking_loan_data[[#This Row],[Loan Amount]]+banking_loan_data[[#This Row],[Interest earned]]</f>
        <v>41152.74</v>
      </c>
      <c r="T91" s="2">
        <f t="shared" si="7"/>
        <v>2088.3499999999985</v>
      </c>
      <c r="U91" s="2">
        <f t="shared" si="8"/>
        <v>0</v>
      </c>
      <c r="V91" s="2" t="str">
        <f>IF(banking_loan_data[[#This Row],[Loan Status]]="FULLY PAID","GOOD",IF(banking_loan_data[[#This Row],[Loan Status]]="CURRENT","ACTIVE","BAD"))</f>
        <v>GOOD</v>
      </c>
      <c r="W9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91" s="3">
        <f t="shared" si="9"/>
        <v>17402.900000034835</v>
      </c>
      <c r="Y91" s="4">
        <f t="shared" si="10"/>
        <v>6.800006512324569E-2</v>
      </c>
      <c r="Z91" s="2" t="str">
        <f t="shared" si="11"/>
        <v>Normal</v>
      </c>
    </row>
    <row r="92" spans="1:26" x14ac:dyDescent="0.3">
      <c r="A92" t="s">
        <v>225</v>
      </c>
      <c r="B92" s="1">
        <v>45126</v>
      </c>
      <c r="C92" t="s">
        <v>226</v>
      </c>
      <c r="D92" t="s">
        <v>18</v>
      </c>
      <c r="E92">
        <v>5806</v>
      </c>
      <c r="F92">
        <v>24.3</v>
      </c>
      <c r="G92">
        <v>36</v>
      </c>
      <c r="H92" t="s">
        <v>81</v>
      </c>
      <c r="I92" t="s">
        <v>84</v>
      </c>
      <c r="J92" t="s">
        <v>21</v>
      </c>
      <c r="K92">
        <v>93972</v>
      </c>
      <c r="L92" t="s">
        <v>33</v>
      </c>
      <c r="M92">
        <v>0.18</v>
      </c>
      <c r="N92">
        <v>0.59</v>
      </c>
      <c r="O92">
        <v>2191.11</v>
      </c>
      <c r="P92">
        <v>417.13</v>
      </c>
      <c r="Q92">
        <f ca="1">DATEDIF(banking_loan_data[[#This Row],[Issue Date]],TODAY(),"M")</f>
        <v>32</v>
      </c>
      <c r="R92">
        <f t="shared" si="6"/>
        <v>4232.5740000000005</v>
      </c>
      <c r="S92">
        <f>+banking_loan_data[[#This Row],[Loan Amount]]+banking_loan_data[[#This Row],[Interest earned]]</f>
        <v>10038.574000000001</v>
      </c>
      <c r="T92" s="2">
        <f t="shared" si="7"/>
        <v>-3197.7599999999998</v>
      </c>
      <c r="U92" s="2">
        <f t="shared" si="8"/>
        <v>1</v>
      </c>
      <c r="V92" s="2" t="str">
        <f>IF(banking_loan_data[[#This Row],[Loan Status]]="FULLY PAID","GOOD",IF(banking_loan_data[[#This Row],[Loan Status]]="CURRENT","ACTIVE","BAD"))</f>
        <v>BAD</v>
      </c>
      <c r="W9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2" s="3">
        <f t="shared" si="9"/>
        <v>11757.15</v>
      </c>
      <c r="Y92" s="4">
        <f t="shared" si="10"/>
        <v>-0.55076817085773333</v>
      </c>
      <c r="Z92" s="2" t="str">
        <f t="shared" si="11"/>
        <v>Normal</v>
      </c>
    </row>
    <row r="93" spans="1:26" x14ac:dyDescent="0.3">
      <c r="A93" t="s">
        <v>227</v>
      </c>
      <c r="B93" s="1">
        <v>45253</v>
      </c>
      <c r="C93" t="s">
        <v>228</v>
      </c>
      <c r="D93" t="s">
        <v>46</v>
      </c>
      <c r="E93">
        <v>13182</v>
      </c>
      <c r="F93">
        <v>14.8</v>
      </c>
      <c r="G93">
        <v>60</v>
      </c>
      <c r="H93" t="s">
        <v>26</v>
      </c>
      <c r="I93" t="s">
        <v>57</v>
      </c>
      <c r="J93" t="s">
        <v>37</v>
      </c>
      <c r="K93">
        <v>119791</v>
      </c>
      <c r="L93" t="s">
        <v>29</v>
      </c>
      <c r="M93">
        <v>0.44</v>
      </c>
      <c r="N93">
        <v>0.9</v>
      </c>
      <c r="O93">
        <v>3017.58</v>
      </c>
      <c r="P93">
        <v>0</v>
      </c>
      <c r="Q93">
        <f ca="1">DATEDIF(banking_loan_data[[#This Row],[Issue Date]],TODAY(),"M")</f>
        <v>27</v>
      </c>
      <c r="R93">
        <f t="shared" si="6"/>
        <v>9754.68</v>
      </c>
      <c r="S93">
        <f>+banking_loan_data[[#This Row],[Loan Amount]]+banking_loan_data[[#This Row],[Interest earned]]</f>
        <v>22936.68</v>
      </c>
      <c r="T93" s="2">
        <f t="shared" si="7"/>
        <v>-10164.42</v>
      </c>
      <c r="U93" s="2">
        <f t="shared" si="8"/>
        <v>0</v>
      </c>
      <c r="V93" s="2" t="str">
        <f>IF(banking_loan_data[[#This Row],[Loan Status]]="FULLY PAID","GOOD",IF(banking_loan_data[[#This Row],[Loan Status]]="CURRENT","ACTIVE","BAD"))</f>
        <v>ACTIVE</v>
      </c>
      <c r="W9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3" s="3">
        <f t="shared" si="9"/>
        <v>16257.800000000001</v>
      </c>
      <c r="Y93" s="4">
        <f t="shared" si="10"/>
        <v>-0.77108329540282206</v>
      </c>
      <c r="Z93" s="2" t="str">
        <f t="shared" si="11"/>
        <v>High Risk</v>
      </c>
    </row>
    <row r="94" spans="1:26" x14ac:dyDescent="0.3">
      <c r="A94" t="s">
        <v>229</v>
      </c>
      <c r="B94" s="1">
        <v>45268</v>
      </c>
      <c r="C94" t="s">
        <v>230</v>
      </c>
      <c r="D94" t="s">
        <v>25</v>
      </c>
      <c r="E94">
        <v>23297</v>
      </c>
      <c r="F94">
        <v>8</v>
      </c>
      <c r="G94">
        <v>60</v>
      </c>
      <c r="H94" t="s">
        <v>19</v>
      </c>
      <c r="I94" t="s">
        <v>20</v>
      </c>
      <c r="J94" t="s">
        <v>37</v>
      </c>
      <c r="K94">
        <v>71003</v>
      </c>
      <c r="L94" t="s">
        <v>29</v>
      </c>
      <c r="M94">
        <v>0.43</v>
      </c>
      <c r="N94">
        <v>0.55000000000000004</v>
      </c>
      <c r="O94">
        <v>25160.76</v>
      </c>
      <c r="P94">
        <v>0</v>
      </c>
      <c r="Q94">
        <f ca="1">DATEDIF(banking_loan_data[[#This Row],[Issue Date]],TODAY(),"M")</f>
        <v>27</v>
      </c>
      <c r="R94">
        <f t="shared" si="6"/>
        <v>9318.8000000000011</v>
      </c>
      <c r="S94">
        <f>+banking_loan_data[[#This Row],[Loan Amount]]+banking_loan_data[[#This Row],[Interest earned]]</f>
        <v>32615.800000000003</v>
      </c>
      <c r="T94" s="2">
        <f t="shared" si="7"/>
        <v>1863.7599999999984</v>
      </c>
      <c r="U94" s="2">
        <f t="shared" si="8"/>
        <v>0</v>
      </c>
      <c r="V94" s="2" t="str">
        <f>IF(banking_loan_data[[#This Row],[Loan Status]]="FULLY PAID","GOOD",IF(banking_loan_data[[#This Row],[Loan Status]]="CURRENT","ACTIVE","BAD"))</f>
        <v>GOOD</v>
      </c>
      <c r="W9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4" s="3">
        <f t="shared" si="9"/>
        <v>15531.333333334092</v>
      </c>
      <c r="Y94" s="4">
        <f t="shared" si="10"/>
        <v>7.9999999999999932E-2</v>
      </c>
      <c r="Z94" s="2" t="str">
        <f t="shared" si="11"/>
        <v>High Risk</v>
      </c>
    </row>
    <row r="95" spans="1:26" x14ac:dyDescent="0.3">
      <c r="A95" t="s">
        <v>231</v>
      </c>
      <c r="B95" s="1">
        <v>44699</v>
      </c>
      <c r="C95" t="s">
        <v>232</v>
      </c>
      <c r="D95" t="s">
        <v>25</v>
      </c>
      <c r="E95">
        <v>20541</v>
      </c>
      <c r="F95">
        <v>11.8</v>
      </c>
      <c r="G95">
        <v>36</v>
      </c>
      <c r="H95" t="s">
        <v>19</v>
      </c>
      <c r="I95" t="s">
        <v>73</v>
      </c>
      <c r="J95" t="s">
        <v>32</v>
      </c>
      <c r="K95">
        <v>49996</v>
      </c>
      <c r="L95" t="s">
        <v>33</v>
      </c>
      <c r="M95">
        <v>0.28000000000000003</v>
      </c>
      <c r="N95">
        <v>0.5</v>
      </c>
      <c r="O95">
        <v>22964.84</v>
      </c>
      <c r="P95">
        <v>0</v>
      </c>
      <c r="Q95">
        <f ca="1">DATEDIF(banking_loan_data[[#This Row],[Issue Date]],TODAY(),"M")</f>
        <v>46</v>
      </c>
      <c r="R95">
        <f t="shared" si="6"/>
        <v>7271.5140000000001</v>
      </c>
      <c r="S95">
        <f>+banking_loan_data[[#This Row],[Loan Amount]]+banking_loan_data[[#This Row],[Interest earned]]</f>
        <v>27812.513999999999</v>
      </c>
      <c r="T95" s="2">
        <f t="shared" si="7"/>
        <v>2423.84</v>
      </c>
      <c r="U95" s="2">
        <f t="shared" si="8"/>
        <v>0</v>
      </c>
      <c r="V95" s="2" t="str">
        <f>IF(banking_loan_data[[#This Row],[Loan Status]]="FULLY PAID","GOOD",IF(banking_loan_data[[#This Row],[Loan Status]]="CURRENT","ACTIVE","BAD"))</f>
        <v>GOOD</v>
      </c>
      <c r="W9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5" s="3">
        <f t="shared" si="9"/>
        <v>20198.650000397261</v>
      </c>
      <c r="Y95" s="4">
        <f t="shared" si="10"/>
        <v>0.11800009736624313</v>
      </c>
      <c r="Z95" s="2" t="str">
        <f t="shared" si="11"/>
        <v>Normal</v>
      </c>
    </row>
    <row r="96" spans="1:26" x14ac:dyDescent="0.3">
      <c r="A96" t="s">
        <v>233</v>
      </c>
      <c r="B96" s="1">
        <v>44603</v>
      </c>
      <c r="C96" t="s">
        <v>234</v>
      </c>
      <c r="D96" t="s">
        <v>25</v>
      </c>
      <c r="E96">
        <v>29921</v>
      </c>
      <c r="F96">
        <v>13.3</v>
      </c>
      <c r="G96">
        <v>60</v>
      </c>
      <c r="H96" t="s">
        <v>19</v>
      </c>
      <c r="I96" t="s">
        <v>20</v>
      </c>
      <c r="J96" t="s">
        <v>32</v>
      </c>
      <c r="K96">
        <v>130922</v>
      </c>
      <c r="L96" t="s">
        <v>22</v>
      </c>
      <c r="M96">
        <v>0.15</v>
      </c>
      <c r="N96">
        <v>0.73</v>
      </c>
      <c r="O96">
        <v>33900.49</v>
      </c>
      <c r="P96">
        <v>0</v>
      </c>
      <c r="Q96">
        <f ca="1">DATEDIF(banking_loan_data[[#This Row],[Issue Date]],TODAY(),"M")</f>
        <v>49</v>
      </c>
      <c r="R96">
        <f t="shared" si="6"/>
        <v>19897.465</v>
      </c>
      <c r="S96">
        <f>+banking_loan_data[[#This Row],[Loan Amount]]+banking_loan_data[[#This Row],[Interest earned]]</f>
        <v>49818.464999999997</v>
      </c>
      <c r="T96" s="2">
        <f t="shared" si="7"/>
        <v>3979.489999999998</v>
      </c>
      <c r="U96" s="2">
        <f t="shared" si="8"/>
        <v>0</v>
      </c>
      <c r="V96" s="2" t="str">
        <f>IF(banking_loan_data[[#This Row],[Loan Status]]="FULLY PAID","GOOD",IF(banking_loan_data[[#This Row],[Loan Status]]="CURRENT","ACTIVE","BAD"))</f>
        <v>GOOD</v>
      </c>
      <c r="W9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6" s="3">
        <f t="shared" si="9"/>
        <v>33162.441666666666</v>
      </c>
      <c r="Y96" s="4">
        <f t="shared" si="10"/>
        <v>0.13299989973597132</v>
      </c>
      <c r="Z96" s="2" t="str">
        <f t="shared" si="11"/>
        <v>Normal</v>
      </c>
    </row>
    <row r="97" spans="1:26" x14ac:dyDescent="0.3">
      <c r="A97" t="s">
        <v>235</v>
      </c>
      <c r="B97" s="1">
        <v>45001</v>
      </c>
      <c r="C97" t="s">
        <v>236</v>
      </c>
      <c r="D97" t="s">
        <v>25</v>
      </c>
      <c r="E97">
        <v>17774</v>
      </c>
      <c r="F97">
        <v>20.2</v>
      </c>
      <c r="G97">
        <v>36</v>
      </c>
      <c r="H97" t="s">
        <v>19</v>
      </c>
      <c r="I97" t="s">
        <v>20</v>
      </c>
      <c r="J97" t="s">
        <v>47</v>
      </c>
      <c r="K97">
        <v>116598</v>
      </c>
      <c r="L97" t="s">
        <v>22</v>
      </c>
      <c r="M97">
        <v>0.25</v>
      </c>
      <c r="N97">
        <v>0.76</v>
      </c>
      <c r="O97">
        <v>21364.35</v>
      </c>
      <c r="P97">
        <v>0</v>
      </c>
      <c r="Q97">
        <f ca="1">DATEDIF(banking_loan_data[[#This Row],[Issue Date]],TODAY(),"M")</f>
        <v>36</v>
      </c>
      <c r="R97">
        <f t="shared" si="6"/>
        <v>10771.044</v>
      </c>
      <c r="S97">
        <f>+banking_loan_data[[#This Row],[Loan Amount]]+banking_loan_data[[#This Row],[Interest earned]]</f>
        <v>28545.044000000002</v>
      </c>
      <c r="T97" s="2">
        <f t="shared" si="7"/>
        <v>3590.3499999999985</v>
      </c>
      <c r="U97" s="2">
        <f t="shared" si="8"/>
        <v>0</v>
      </c>
      <c r="V97" s="2" t="str">
        <f>IF(banking_loan_data[[#This Row],[Loan Status]]="FULLY PAID","GOOD",IF(banking_loan_data[[#This Row],[Loan Status]]="CURRENT","ACTIVE","BAD"))</f>
        <v>GOOD</v>
      </c>
      <c r="W9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7" s="3">
        <f t="shared" si="9"/>
        <v>29919.56666666668</v>
      </c>
      <c r="Y97" s="4">
        <f t="shared" si="10"/>
        <v>0.20200011252391126</v>
      </c>
      <c r="Z97" s="2" t="str">
        <f t="shared" si="11"/>
        <v>Normal</v>
      </c>
    </row>
    <row r="98" spans="1:26" x14ac:dyDescent="0.3">
      <c r="A98" t="s">
        <v>237</v>
      </c>
      <c r="B98" s="1">
        <v>44295</v>
      </c>
      <c r="C98" t="s">
        <v>238</v>
      </c>
      <c r="D98" t="s">
        <v>46</v>
      </c>
      <c r="E98">
        <v>38198</v>
      </c>
      <c r="F98">
        <v>19.899999999999999</v>
      </c>
      <c r="G98">
        <v>36</v>
      </c>
      <c r="H98" t="s">
        <v>19</v>
      </c>
      <c r="I98" t="s">
        <v>57</v>
      </c>
      <c r="J98" t="s">
        <v>28</v>
      </c>
      <c r="K98">
        <v>65931</v>
      </c>
      <c r="L98" t="s">
        <v>29</v>
      </c>
      <c r="M98">
        <v>0.35</v>
      </c>
      <c r="N98">
        <v>0.76</v>
      </c>
      <c r="O98">
        <v>45799.4</v>
      </c>
      <c r="P98">
        <v>0</v>
      </c>
      <c r="Q98">
        <f ca="1">DATEDIF(banking_loan_data[[#This Row],[Issue Date]],TODAY(),"M")</f>
        <v>59</v>
      </c>
      <c r="R98">
        <f t="shared" si="6"/>
        <v>22804.205999999995</v>
      </c>
      <c r="S98">
        <f>+banking_loan_data[[#This Row],[Loan Amount]]+banking_loan_data[[#This Row],[Interest earned]]</f>
        <v>61002.205999999991</v>
      </c>
      <c r="T98" s="2">
        <f t="shared" si="7"/>
        <v>7601.4000000000015</v>
      </c>
      <c r="U98" s="2">
        <f t="shared" si="8"/>
        <v>0</v>
      </c>
      <c r="V98" s="2" t="str">
        <f>IF(banking_loan_data[[#This Row],[Loan Status]]="FULLY PAID","GOOD",IF(banking_loan_data[[#This Row],[Loan Status]]="CURRENT","ACTIVE","BAD"))</f>
        <v>GOOD</v>
      </c>
      <c r="W9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8" s="3">
        <f t="shared" si="9"/>
        <v>63345.016666666699</v>
      </c>
      <c r="Y98" s="4">
        <f t="shared" si="10"/>
        <v>0.1989999476412378</v>
      </c>
      <c r="Z98" s="2" t="str">
        <f t="shared" si="11"/>
        <v>Normal</v>
      </c>
    </row>
    <row r="99" spans="1:26" x14ac:dyDescent="0.3">
      <c r="A99" t="s">
        <v>239</v>
      </c>
      <c r="B99" s="1">
        <v>44880</v>
      </c>
      <c r="C99" t="s">
        <v>240</v>
      </c>
      <c r="D99" t="s">
        <v>18</v>
      </c>
      <c r="E99">
        <v>9820</v>
      </c>
      <c r="F99">
        <v>17.2</v>
      </c>
      <c r="G99">
        <v>36</v>
      </c>
      <c r="H99" t="s">
        <v>19</v>
      </c>
      <c r="I99" t="s">
        <v>57</v>
      </c>
      <c r="J99" t="s">
        <v>21</v>
      </c>
      <c r="K99">
        <v>65710</v>
      </c>
      <c r="L99" t="s">
        <v>33</v>
      </c>
      <c r="M99">
        <v>0.28000000000000003</v>
      </c>
      <c r="N99">
        <v>0.52</v>
      </c>
      <c r="O99">
        <v>11509.04</v>
      </c>
      <c r="P99">
        <v>0</v>
      </c>
      <c r="Q99">
        <f ca="1">DATEDIF(banking_loan_data[[#This Row],[Issue Date]],TODAY(),"M")</f>
        <v>40</v>
      </c>
      <c r="R99">
        <f t="shared" si="6"/>
        <v>5067.12</v>
      </c>
      <c r="S99">
        <f>+banking_loan_data[[#This Row],[Loan Amount]]+banking_loan_data[[#This Row],[Interest earned]]</f>
        <v>14887.119999999999</v>
      </c>
      <c r="T99" s="2">
        <f t="shared" si="7"/>
        <v>1689.0400000000009</v>
      </c>
      <c r="U99" s="2">
        <f t="shared" si="8"/>
        <v>0</v>
      </c>
      <c r="V99" s="2" t="str">
        <f>IF(banking_loan_data[[#This Row],[Loan Status]]="FULLY PAID","GOOD",IF(banking_loan_data[[#This Row],[Loan Status]]="CURRENT","ACTIVE","BAD"))</f>
        <v>GOOD</v>
      </c>
      <c r="W9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9" s="3">
        <f t="shared" si="9"/>
        <v>14075.33333333351</v>
      </c>
      <c r="Y99" s="4">
        <f t="shared" si="10"/>
        <v>0.1720000000000001</v>
      </c>
      <c r="Z99" s="2" t="str">
        <f t="shared" si="11"/>
        <v>Normal</v>
      </c>
    </row>
    <row r="100" spans="1:26" x14ac:dyDescent="0.3">
      <c r="A100" t="s">
        <v>241</v>
      </c>
      <c r="B100" s="1">
        <v>44922</v>
      </c>
      <c r="C100" t="s">
        <v>242</v>
      </c>
      <c r="D100" t="s">
        <v>40</v>
      </c>
      <c r="E100">
        <v>25070</v>
      </c>
      <c r="F100">
        <v>7.1</v>
      </c>
      <c r="G100">
        <v>36</v>
      </c>
      <c r="H100" t="s">
        <v>19</v>
      </c>
      <c r="I100" t="s">
        <v>57</v>
      </c>
      <c r="J100" t="s">
        <v>32</v>
      </c>
      <c r="K100">
        <v>64693</v>
      </c>
      <c r="L100" t="s">
        <v>33</v>
      </c>
      <c r="M100">
        <v>0.41</v>
      </c>
      <c r="N100">
        <v>0.64</v>
      </c>
      <c r="O100">
        <v>26849.97</v>
      </c>
      <c r="P100">
        <v>0</v>
      </c>
      <c r="Q100">
        <f ca="1">DATEDIF(banking_loan_data[[#This Row],[Issue Date]],TODAY(),"M")</f>
        <v>38</v>
      </c>
      <c r="R100">
        <f t="shared" si="6"/>
        <v>5339.91</v>
      </c>
      <c r="S100">
        <f>+banking_loan_data[[#This Row],[Loan Amount]]+banking_loan_data[[#This Row],[Interest earned]]</f>
        <v>30409.91</v>
      </c>
      <c r="T100" s="2">
        <f t="shared" si="7"/>
        <v>1779.9700000000012</v>
      </c>
      <c r="U100" s="2">
        <f t="shared" si="8"/>
        <v>0</v>
      </c>
      <c r="V100" s="2" t="str">
        <f>IF(banking_loan_data[[#This Row],[Loan Status]]="FULLY PAID","GOOD",IF(banking_loan_data[[#This Row],[Loan Status]]="CURRENT","ACTIVE","BAD"))</f>
        <v>GOOD</v>
      </c>
      <c r="W10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00" s="3">
        <f t="shared" si="9"/>
        <v>14833.084136036725</v>
      </c>
      <c r="Y100" s="4">
        <f t="shared" si="10"/>
        <v>7.1000000000000049E-2</v>
      </c>
      <c r="Z100" s="2" t="str">
        <f t="shared" si="11"/>
        <v>High Risk</v>
      </c>
    </row>
    <row r="101" spans="1:26" x14ac:dyDescent="0.3">
      <c r="A101" t="s">
        <v>243</v>
      </c>
      <c r="B101" s="1">
        <v>45157</v>
      </c>
      <c r="C101" t="s">
        <v>244</v>
      </c>
      <c r="D101" t="s">
        <v>25</v>
      </c>
      <c r="E101">
        <v>5232</v>
      </c>
      <c r="F101">
        <v>8</v>
      </c>
      <c r="G101">
        <v>36</v>
      </c>
      <c r="H101" t="s">
        <v>19</v>
      </c>
      <c r="I101" t="s">
        <v>73</v>
      </c>
      <c r="J101" t="s">
        <v>21</v>
      </c>
      <c r="K101">
        <v>65740</v>
      </c>
      <c r="L101" t="s">
        <v>33</v>
      </c>
      <c r="M101">
        <v>0.5</v>
      </c>
      <c r="N101">
        <v>0.72</v>
      </c>
      <c r="O101">
        <v>5650.56</v>
      </c>
      <c r="P101">
        <v>0</v>
      </c>
      <c r="Q101">
        <f ca="1">DATEDIF(banking_loan_data[[#This Row],[Issue Date]],TODAY(),"M")</f>
        <v>31</v>
      </c>
      <c r="R101">
        <f t="shared" si="6"/>
        <v>1255.68</v>
      </c>
      <c r="S101">
        <f>+banking_loan_data[[#This Row],[Loan Amount]]+banking_loan_data[[#This Row],[Interest earned]]</f>
        <v>6487.68</v>
      </c>
      <c r="T101" s="2">
        <f t="shared" si="7"/>
        <v>418.5600000000004</v>
      </c>
      <c r="U101" s="2">
        <f t="shared" si="8"/>
        <v>0</v>
      </c>
      <c r="V101" s="2" t="str">
        <f>IF(banking_loan_data[[#This Row],[Loan Status]]="FULLY PAID","GOOD",IF(banking_loan_data[[#This Row],[Loan Status]]="CURRENT","ACTIVE","BAD"))</f>
        <v>GOOD</v>
      </c>
      <c r="W10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01" s="3">
        <f t="shared" si="9"/>
        <v>3488.0000359767137</v>
      </c>
      <c r="Y101" s="4">
        <f t="shared" si="10"/>
        <v>8.0000000000000071E-2</v>
      </c>
      <c r="Z101" s="2" t="str">
        <f t="shared" si="11"/>
        <v>High Risk</v>
      </c>
    </row>
    <row r="102" spans="1:26" x14ac:dyDescent="0.3">
      <c r="A102" t="s">
        <v>245</v>
      </c>
      <c r="B102" s="1">
        <v>44809</v>
      </c>
      <c r="C102" t="s">
        <v>246</v>
      </c>
      <c r="D102" t="s">
        <v>40</v>
      </c>
      <c r="E102">
        <v>12122</v>
      </c>
      <c r="F102">
        <v>6.9</v>
      </c>
      <c r="G102">
        <v>60</v>
      </c>
      <c r="H102" t="s">
        <v>19</v>
      </c>
      <c r="I102" t="s">
        <v>20</v>
      </c>
      <c r="J102" t="s">
        <v>37</v>
      </c>
      <c r="K102">
        <v>107241</v>
      </c>
      <c r="L102" t="s">
        <v>22</v>
      </c>
      <c r="M102">
        <v>0.18</v>
      </c>
      <c r="N102">
        <v>0.6</v>
      </c>
      <c r="O102">
        <v>12958.42</v>
      </c>
      <c r="P102">
        <v>0</v>
      </c>
      <c r="Q102">
        <f ca="1">DATEDIF(banking_loan_data[[#This Row],[Issue Date]],TODAY(),"M")</f>
        <v>42</v>
      </c>
      <c r="R102">
        <f t="shared" si="6"/>
        <v>4182.09</v>
      </c>
      <c r="S102">
        <f>+banking_loan_data[[#This Row],[Loan Amount]]+banking_loan_data[[#This Row],[Interest earned]]</f>
        <v>16304.09</v>
      </c>
      <c r="T102" s="2">
        <f t="shared" si="7"/>
        <v>836.42000000000007</v>
      </c>
      <c r="U102" s="2">
        <f t="shared" si="8"/>
        <v>0</v>
      </c>
      <c r="V102" s="2" t="str">
        <f>IF(banking_loan_data[[#This Row],[Loan Status]]="FULLY PAID","GOOD",IF(banking_loan_data[[#This Row],[Loan Status]]="CURRENT","ACTIVE","BAD"))</f>
        <v>GOOD</v>
      </c>
      <c r="W10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02" s="3">
        <f t="shared" si="9"/>
        <v>6970.1500000101496</v>
      </c>
      <c r="Y102" s="4">
        <f t="shared" si="10"/>
        <v>6.9000164989275706E-2</v>
      </c>
      <c r="Z102" s="2" t="str">
        <f t="shared" si="11"/>
        <v>Normal</v>
      </c>
    </row>
    <row r="103" spans="1:26" x14ac:dyDescent="0.3">
      <c r="A103" t="s">
        <v>247</v>
      </c>
      <c r="B103" s="1">
        <v>44839</v>
      </c>
      <c r="C103" t="s">
        <v>248</v>
      </c>
      <c r="D103" t="s">
        <v>18</v>
      </c>
      <c r="E103">
        <v>16023</v>
      </c>
      <c r="F103">
        <v>16.5</v>
      </c>
      <c r="G103">
        <v>36</v>
      </c>
      <c r="H103" t="s">
        <v>19</v>
      </c>
      <c r="I103" t="s">
        <v>20</v>
      </c>
      <c r="J103" t="s">
        <v>28</v>
      </c>
      <c r="K103">
        <v>138944</v>
      </c>
      <c r="L103" t="s">
        <v>22</v>
      </c>
      <c r="M103">
        <v>0.28000000000000003</v>
      </c>
      <c r="N103">
        <v>0.89</v>
      </c>
      <c r="O103">
        <v>18666.8</v>
      </c>
      <c r="P103">
        <v>0</v>
      </c>
      <c r="Q103">
        <f ca="1">DATEDIF(banking_loan_data[[#This Row],[Issue Date]],TODAY(),"M")</f>
        <v>41</v>
      </c>
      <c r="R103">
        <f t="shared" si="6"/>
        <v>7931.3849999999993</v>
      </c>
      <c r="S103">
        <f>+banking_loan_data[[#This Row],[Loan Amount]]+banking_loan_data[[#This Row],[Interest earned]]</f>
        <v>23954.384999999998</v>
      </c>
      <c r="T103" s="2">
        <f t="shared" si="7"/>
        <v>2643.7999999999993</v>
      </c>
      <c r="U103" s="2">
        <f t="shared" si="8"/>
        <v>0</v>
      </c>
      <c r="V103" s="2" t="str">
        <f>IF(banking_loan_data[[#This Row],[Loan Status]]="FULLY PAID","GOOD",IF(banking_loan_data[[#This Row],[Loan Status]]="CURRENT","ACTIVE","BAD"))</f>
        <v>GOOD</v>
      </c>
      <c r="W10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03" s="3">
        <f t="shared" si="9"/>
        <v>22031.625000000662</v>
      </c>
      <c r="Y103" s="4">
        <f t="shared" si="10"/>
        <v>0.16500031205142604</v>
      </c>
      <c r="Z103" s="2" t="str">
        <f t="shared" si="11"/>
        <v>High Risk</v>
      </c>
    </row>
    <row r="104" spans="1:26" x14ac:dyDescent="0.3">
      <c r="A104" t="s">
        <v>249</v>
      </c>
      <c r="B104" s="1">
        <v>45225</v>
      </c>
      <c r="C104" t="s">
        <v>250</v>
      </c>
      <c r="D104" t="s">
        <v>18</v>
      </c>
      <c r="E104">
        <v>9007</v>
      </c>
      <c r="F104">
        <v>22.5</v>
      </c>
      <c r="G104">
        <v>36</v>
      </c>
      <c r="H104" t="s">
        <v>26</v>
      </c>
      <c r="I104" t="s">
        <v>27</v>
      </c>
      <c r="J104" t="s">
        <v>47</v>
      </c>
      <c r="K104">
        <v>123583</v>
      </c>
      <c r="L104" t="s">
        <v>33</v>
      </c>
      <c r="M104">
        <v>0.27</v>
      </c>
      <c r="N104">
        <v>0.54</v>
      </c>
      <c r="O104">
        <v>2983.25</v>
      </c>
      <c r="P104">
        <v>0</v>
      </c>
      <c r="Q104">
        <f ca="1">DATEDIF(banking_loan_data[[#This Row],[Issue Date]],TODAY(),"M")</f>
        <v>28</v>
      </c>
      <c r="R104">
        <f t="shared" si="6"/>
        <v>6079.7249999999995</v>
      </c>
      <c r="S104">
        <f>+banking_loan_data[[#This Row],[Loan Amount]]+banking_loan_data[[#This Row],[Interest earned]]</f>
        <v>15086.724999999999</v>
      </c>
      <c r="T104" s="2">
        <f t="shared" si="7"/>
        <v>-6023.75</v>
      </c>
      <c r="U104" s="2">
        <f t="shared" si="8"/>
        <v>0</v>
      </c>
      <c r="V104" s="2" t="str">
        <f>IF(banking_loan_data[[#This Row],[Loan Status]]="FULLY PAID","GOOD",IF(banking_loan_data[[#This Row],[Loan Status]]="CURRENT","ACTIVE","BAD"))</f>
        <v>ACTIVE</v>
      </c>
      <c r="W10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04" s="3">
        <f t="shared" si="9"/>
        <v>16888.125</v>
      </c>
      <c r="Y104" s="4">
        <f t="shared" si="10"/>
        <v>-0.66878538914177865</v>
      </c>
      <c r="Z104" s="2" t="str">
        <f t="shared" si="11"/>
        <v>Normal</v>
      </c>
    </row>
    <row r="105" spans="1:26" x14ac:dyDescent="0.3">
      <c r="A105" t="s">
        <v>251</v>
      </c>
      <c r="B105" s="1">
        <v>44699</v>
      </c>
      <c r="C105" t="s">
        <v>252</v>
      </c>
      <c r="D105" t="s">
        <v>53</v>
      </c>
      <c r="E105">
        <v>18905</v>
      </c>
      <c r="F105">
        <v>13.7</v>
      </c>
      <c r="G105">
        <v>60</v>
      </c>
      <c r="H105" t="s">
        <v>19</v>
      </c>
      <c r="I105" t="s">
        <v>20</v>
      </c>
      <c r="J105" t="s">
        <v>21</v>
      </c>
      <c r="K105">
        <v>106502</v>
      </c>
      <c r="L105" t="s">
        <v>33</v>
      </c>
      <c r="M105">
        <v>0.22</v>
      </c>
      <c r="N105">
        <v>0.72</v>
      </c>
      <c r="O105">
        <v>21494.98</v>
      </c>
      <c r="P105">
        <v>0</v>
      </c>
      <c r="Q105">
        <f ca="1">DATEDIF(banking_loan_data[[#This Row],[Issue Date]],TODAY(),"M")</f>
        <v>46</v>
      </c>
      <c r="R105">
        <f t="shared" si="6"/>
        <v>12949.925000000001</v>
      </c>
      <c r="S105">
        <f>+banking_loan_data[[#This Row],[Loan Amount]]+banking_loan_data[[#This Row],[Interest earned]]</f>
        <v>31854.925000000003</v>
      </c>
      <c r="T105" s="2">
        <f t="shared" si="7"/>
        <v>2589.9799999999996</v>
      </c>
      <c r="U105" s="2">
        <f t="shared" si="8"/>
        <v>0</v>
      </c>
      <c r="V105" s="2" t="str">
        <f>IF(banking_loan_data[[#This Row],[Loan Status]]="FULLY PAID","GOOD",IF(banking_loan_data[[#This Row],[Loan Status]]="CURRENT","ACTIVE","BAD"))</f>
        <v>GOOD</v>
      </c>
      <c r="W10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05" s="3">
        <f t="shared" si="9"/>
        <v>21583.208333333332</v>
      </c>
      <c r="Y105" s="4">
        <f t="shared" si="10"/>
        <v>0.13699973551970376</v>
      </c>
      <c r="Z105" s="2" t="str">
        <f t="shared" si="11"/>
        <v>Normal</v>
      </c>
    </row>
    <row r="106" spans="1:26" x14ac:dyDescent="0.3">
      <c r="A106" t="s">
        <v>253</v>
      </c>
      <c r="B106" s="1">
        <v>44963</v>
      </c>
      <c r="C106" t="s">
        <v>254</v>
      </c>
      <c r="D106" t="s">
        <v>76</v>
      </c>
      <c r="E106">
        <v>30398</v>
      </c>
      <c r="F106">
        <v>8.1999999999999993</v>
      </c>
      <c r="G106">
        <v>60</v>
      </c>
      <c r="H106" t="s">
        <v>19</v>
      </c>
      <c r="I106" t="s">
        <v>27</v>
      </c>
      <c r="J106" t="s">
        <v>28</v>
      </c>
      <c r="K106">
        <v>47374</v>
      </c>
      <c r="L106" t="s">
        <v>29</v>
      </c>
      <c r="M106">
        <v>0.18</v>
      </c>
      <c r="N106">
        <v>0.81</v>
      </c>
      <c r="O106">
        <v>32890.639999999999</v>
      </c>
      <c r="P106">
        <v>0</v>
      </c>
      <c r="Q106">
        <f ca="1">DATEDIF(banking_loan_data[[#This Row],[Issue Date]],TODAY(),"M")</f>
        <v>37</v>
      </c>
      <c r="R106">
        <f t="shared" si="6"/>
        <v>12463.18</v>
      </c>
      <c r="S106">
        <f>+banking_loan_data[[#This Row],[Loan Amount]]+banking_loan_data[[#This Row],[Interest earned]]</f>
        <v>42861.18</v>
      </c>
      <c r="T106" s="2">
        <f t="shared" si="7"/>
        <v>2492.6399999999994</v>
      </c>
      <c r="U106" s="2">
        <f t="shared" si="8"/>
        <v>0</v>
      </c>
      <c r="V106" s="2" t="str">
        <f>IF(banking_loan_data[[#This Row],[Loan Status]]="FULLY PAID","GOOD",IF(banking_loan_data[[#This Row],[Loan Status]]="CURRENT","ACTIVE","BAD"))</f>
        <v>GOOD</v>
      </c>
      <c r="W10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06" s="3">
        <f t="shared" si="9"/>
        <v>20771.96666666722</v>
      </c>
      <c r="Y106" s="4">
        <f t="shared" si="10"/>
        <v>8.2000131587604427E-2</v>
      </c>
      <c r="Z106" s="2" t="str">
        <f t="shared" si="11"/>
        <v>High Risk</v>
      </c>
    </row>
    <row r="107" spans="1:26" x14ac:dyDescent="0.3">
      <c r="A107" t="s">
        <v>255</v>
      </c>
      <c r="B107" s="1">
        <v>44594</v>
      </c>
      <c r="C107" t="s">
        <v>256</v>
      </c>
      <c r="D107" t="s">
        <v>50</v>
      </c>
      <c r="E107">
        <v>35268</v>
      </c>
      <c r="F107">
        <v>16.2</v>
      </c>
      <c r="G107">
        <v>36</v>
      </c>
      <c r="H107" t="s">
        <v>26</v>
      </c>
      <c r="I107" t="s">
        <v>20</v>
      </c>
      <c r="J107" t="s">
        <v>47</v>
      </c>
      <c r="K107">
        <v>106674</v>
      </c>
      <c r="L107" t="s">
        <v>29</v>
      </c>
      <c r="M107">
        <v>0.13</v>
      </c>
      <c r="N107">
        <v>0.62</v>
      </c>
      <c r="O107">
        <v>14139.59</v>
      </c>
      <c r="P107">
        <v>0</v>
      </c>
      <c r="Q107">
        <f ca="1">DATEDIF(banking_loan_data[[#This Row],[Issue Date]],TODAY(),"M")</f>
        <v>49</v>
      </c>
      <c r="R107">
        <f t="shared" si="6"/>
        <v>17140.248</v>
      </c>
      <c r="S107">
        <f>+banking_loan_data[[#This Row],[Loan Amount]]+banking_loan_data[[#This Row],[Interest earned]]</f>
        <v>52408.248</v>
      </c>
      <c r="T107" s="2">
        <f t="shared" si="7"/>
        <v>-21128.41</v>
      </c>
      <c r="U107" s="2">
        <f t="shared" si="8"/>
        <v>0</v>
      </c>
      <c r="V107" s="2" t="str">
        <f>IF(banking_loan_data[[#This Row],[Loan Status]]="FULLY PAID","GOOD",IF(banking_loan_data[[#This Row],[Loan Status]]="CURRENT","ACTIVE","BAD"))</f>
        <v>ACTIVE</v>
      </c>
      <c r="W10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07" s="3">
        <f t="shared" si="9"/>
        <v>47611.800000002091</v>
      </c>
      <c r="Y107" s="4">
        <f t="shared" si="10"/>
        <v>-0.59908160372008623</v>
      </c>
      <c r="Z107" s="2" t="str">
        <f t="shared" si="11"/>
        <v>Normal</v>
      </c>
    </row>
    <row r="108" spans="1:26" x14ac:dyDescent="0.3">
      <c r="A108" t="s">
        <v>257</v>
      </c>
      <c r="B108" s="1">
        <v>45067</v>
      </c>
      <c r="C108" t="s">
        <v>258</v>
      </c>
      <c r="D108" t="s">
        <v>56</v>
      </c>
      <c r="E108">
        <v>7737</v>
      </c>
      <c r="F108">
        <v>21.2</v>
      </c>
      <c r="G108">
        <v>60</v>
      </c>
      <c r="H108" t="s">
        <v>81</v>
      </c>
      <c r="I108" t="s">
        <v>57</v>
      </c>
      <c r="J108" t="s">
        <v>21</v>
      </c>
      <c r="K108">
        <v>146500</v>
      </c>
      <c r="L108" t="s">
        <v>33</v>
      </c>
      <c r="M108">
        <v>0.45</v>
      </c>
      <c r="N108">
        <v>0.78</v>
      </c>
      <c r="O108">
        <v>2593.27</v>
      </c>
      <c r="P108">
        <v>2439.15</v>
      </c>
      <c r="Q108">
        <f ca="1">DATEDIF(banking_loan_data[[#This Row],[Issue Date]],TODAY(),"M")</f>
        <v>33</v>
      </c>
      <c r="R108">
        <f t="shared" si="6"/>
        <v>8201.2199999999993</v>
      </c>
      <c r="S108">
        <f>+banking_loan_data[[#This Row],[Loan Amount]]+banking_loan_data[[#This Row],[Interest earned]]</f>
        <v>15938.22</v>
      </c>
      <c r="T108" s="2">
        <f t="shared" si="7"/>
        <v>-2704.58</v>
      </c>
      <c r="U108" s="2">
        <f t="shared" si="8"/>
        <v>1</v>
      </c>
      <c r="V108" s="2" t="str">
        <f>IF(banking_loan_data[[#This Row],[Loan Status]]="FULLY PAID","GOOD",IF(banking_loan_data[[#This Row],[Loan Status]]="CURRENT","ACTIVE","BAD"))</f>
        <v>BAD</v>
      </c>
      <c r="W10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08" s="3">
        <f t="shared" si="9"/>
        <v>13668.699999999999</v>
      </c>
      <c r="Y108" s="4">
        <f t="shared" si="10"/>
        <v>-0.34956443065787773</v>
      </c>
      <c r="Z108" s="2" t="str">
        <f t="shared" si="11"/>
        <v>High Risk</v>
      </c>
    </row>
    <row r="109" spans="1:26" x14ac:dyDescent="0.3">
      <c r="A109" t="s">
        <v>259</v>
      </c>
      <c r="B109" s="1">
        <v>44991</v>
      </c>
      <c r="C109" t="s">
        <v>260</v>
      </c>
      <c r="D109" t="s">
        <v>50</v>
      </c>
      <c r="E109">
        <v>37062</v>
      </c>
      <c r="F109">
        <v>19.8</v>
      </c>
      <c r="G109">
        <v>60</v>
      </c>
      <c r="H109" t="s">
        <v>81</v>
      </c>
      <c r="I109" t="s">
        <v>20</v>
      </c>
      <c r="J109" t="s">
        <v>28</v>
      </c>
      <c r="K109">
        <v>111471</v>
      </c>
      <c r="L109" t="s">
        <v>33</v>
      </c>
      <c r="M109">
        <v>0.27</v>
      </c>
      <c r="N109">
        <v>0.87</v>
      </c>
      <c r="O109">
        <v>9479.8700000000008</v>
      </c>
      <c r="P109">
        <v>13222.79</v>
      </c>
      <c r="Q109">
        <f ca="1">DATEDIF(banking_loan_data[[#This Row],[Issue Date]],TODAY(),"M")</f>
        <v>36</v>
      </c>
      <c r="R109">
        <f t="shared" si="6"/>
        <v>36691.379999999997</v>
      </c>
      <c r="S109">
        <f>+banking_loan_data[[#This Row],[Loan Amount]]+banking_loan_data[[#This Row],[Interest earned]]</f>
        <v>73753.38</v>
      </c>
      <c r="T109" s="2">
        <f t="shared" si="7"/>
        <v>-14359.339999999997</v>
      </c>
      <c r="U109" s="2">
        <f t="shared" si="8"/>
        <v>1</v>
      </c>
      <c r="V109" s="2" t="str">
        <f>IF(banking_loan_data[[#This Row],[Loan Status]]="FULLY PAID","GOOD",IF(banking_loan_data[[#This Row],[Loan Status]]="CURRENT","ACTIVE","BAD"))</f>
        <v>BAD</v>
      </c>
      <c r="W10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09" s="3">
        <f t="shared" si="9"/>
        <v>61152.3</v>
      </c>
      <c r="Y109" s="4">
        <f t="shared" si="10"/>
        <v>-0.38744104473584795</v>
      </c>
      <c r="Z109" s="2" t="str">
        <f t="shared" si="11"/>
        <v>High Risk</v>
      </c>
    </row>
    <row r="110" spans="1:26" x14ac:dyDescent="0.3">
      <c r="A110" t="s">
        <v>261</v>
      </c>
      <c r="B110" s="1">
        <v>44589</v>
      </c>
      <c r="C110" t="s">
        <v>262</v>
      </c>
      <c r="D110" t="s">
        <v>46</v>
      </c>
      <c r="E110">
        <v>26510</v>
      </c>
      <c r="F110">
        <v>22.6</v>
      </c>
      <c r="G110">
        <v>36</v>
      </c>
      <c r="H110" t="s">
        <v>26</v>
      </c>
      <c r="I110" t="s">
        <v>20</v>
      </c>
      <c r="J110" t="s">
        <v>32</v>
      </c>
      <c r="K110">
        <v>75913</v>
      </c>
      <c r="L110" t="s">
        <v>22</v>
      </c>
      <c r="M110">
        <v>0.3</v>
      </c>
      <c r="N110">
        <v>0.59</v>
      </c>
      <c r="O110">
        <v>11560.44</v>
      </c>
      <c r="P110">
        <v>0</v>
      </c>
      <c r="Q110">
        <f ca="1">DATEDIF(banking_loan_data[[#This Row],[Issue Date]],TODAY(),"M")</f>
        <v>49</v>
      </c>
      <c r="R110">
        <f t="shared" si="6"/>
        <v>17973.780000000002</v>
      </c>
      <c r="S110">
        <f>+banking_loan_data[[#This Row],[Loan Amount]]+banking_loan_data[[#This Row],[Interest earned]]</f>
        <v>44483.78</v>
      </c>
      <c r="T110" s="2">
        <f t="shared" si="7"/>
        <v>-14949.56</v>
      </c>
      <c r="U110" s="2">
        <f t="shared" si="8"/>
        <v>0</v>
      </c>
      <c r="V110" s="2" t="str">
        <f>IF(banking_loan_data[[#This Row],[Loan Status]]="FULLY PAID","GOOD",IF(banking_loan_data[[#This Row],[Loan Status]]="CURRENT","ACTIVE","BAD"))</f>
        <v>ACTIVE</v>
      </c>
      <c r="W11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10" s="3">
        <f t="shared" si="9"/>
        <v>49927.166666666672</v>
      </c>
      <c r="Y110" s="4">
        <f t="shared" si="10"/>
        <v>-0.56392153904187092</v>
      </c>
      <c r="Z110" s="2" t="str">
        <f t="shared" si="11"/>
        <v>Normal</v>
      </c>
    </row>
    <row r="111" spans="1:26" x14ac:dyDescent="0.3">
      <c r="A111" t="s">
        <v>263</v>
      </c>
      <c r="B111" s="1">
        <v>44403</v>
      </c>
      <c r="C111" t="s">
        <v>264</v>
      </c>
      <c r="D111" t="s">
        <v>56</v>
      </c>
      <c r="E111">
        <v>20426</v>
      </c>
      <c r="F111">
        <v>10.6</v>
      </c>
      <c r="G111">
        <v>36</v>
      </c>
      <c r="H111" t="s">
        <v>19</v>
      </c>
      <c r="I111" t="s">
        <v>73</v>
      </c>
      <c r="J111" t="s">
        <v>21</v>
      </c>
      <c r="K111">
        <v>96025</v>
      </c>
      <c r="L111" t="s">
        <v>33</v>
      </c>
      <c r="M111">
        <v>0.47</v>
      </c>
      <c r="N111">
        <v>0.91</v>
      </c>
      <c r="O111">
        <v>22591.16</v>
      </c>
      <c r="P111">
        <v>0</v>
      </c>
      <c r="Q111">
        <f ca="1">DATEDIF(banking_loan_data[[#This Row],[Issue Date]],TODAY(),"M")</f>
        <v>55</v>
      </c>
      <c r="R111">
        <f t="shared" si="6"/>
        <v>6495.4679999999998</v>
      </c>
      <c r="S111">
        <f>+banking_loan_data[[#This Row],[Loan Amount]]+banking_loan_data[[#This Row],[Interest earned]]</f>
        <v>26921.468000000001</v>
      </c>
      <c r="T111" s="2">
        <f t="shared" si="7"/>
        <v>2165.16</v>
      </c>
      <c r="U111" s="2">
        <f t="shared" si="8"/>
        <v>0</v>
      </c>
      <c r="V111" s="2" t="str">
        <f>IF(banking_loan_data[[#This Row],[Loan Status]]="FULLY PAID","GOOD",IF(banking_loan_data[[#This Row],[Loan Status]]="CURRENT","ACTIVE","BAD"))</f>
        <v>GOOD</v>
      </c>
      <c r="W11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11" s="3">
        <f t="shared" si="9"/>
        <v>18042.966668951889</v>
      </c>
      <c r="Y111" s="4">
        <f t="shared" si="10"/>
        <v>0.10600019582884558</v>
      </c>
      <c r="Z111" s="2" t="str">
        <f t="shared" si="11"/>
        <v>High Risk</v>
      </c>
    </row>
    <row r="112" spans="1:26" x14ac:dyDescent="0.3">
      <c r="A112" t="s">
        <v>265</v>
      </c>
      <c r="B112" s="1">
        <v>45235</v>
      </c>
      <c r="C112" t="s">
        <v>266</v>
      </c>
      <c r="D112" t="s">
        <v>18</v>
      </c>
      <c r="E112">
        <v>38265</v>
      </c>
      <c r="F112">
        <v>8.9</v>
      </c>
      <c r="G112">
        <v>60</v>
      </c>
      <c r="H112" t="s">
        <v>26</v>
      </c>
      <c r="I112" t="s">
        <v>36</v>
      </c>
      <c r="J112" t="s">
        <v>28</v>
      </c>
      <c r="K112">
        <v>74516</v>
      </c>
      <c r="L112" t="s">
        <v>29</v>
      </c>
      <c r="M112">
        <v>0.41</v>
      </c>
      <c r="N112">
        <v>0.75</v>
      </c>
      <c r="O112">
        <v>8652.49</v>
      </c>
      <c r="P112">
        <v>0</v>
      </c>
      <c r="Q112">
        <f ca="1">DATEDIF(banking_loan_data[[#This Row],[Issue Date]],TODAY(),"M")</f>
        <v>28</v>
      </c>
      <c r="R112">
        <f t="shared" si="6"/>
        <v>17027.924999999999</v>
      </c>
      <c r="S112">
        <f>+banking_loan_data[[#This Row],[Loan Amount]]+banking_loan_data[[#This Row],[Interest earned]]</f>
        <v>55292.925000000003</v>
      </c>
      <c r="T112" s="2">
        <f t="shared" si="7"/>
        <v>-29612.510000000002</v>
      </c>
      <c r="U112" s="2">
        <f t="shared" si="8"/>
        <v>0</v>
      </c>
      <c r="V112" s="2" t="str">
        <f>IF(banking_loan_data[[#This Row],[Loan Status]]="FULLY PAID","GOOD",IF(banking_loan_data[[#This Row],[Loan Status]]="CURRENT","ACTIVE","BAD"))</f>
        <v>ACTIVE</v>
      </c>
      <c r="W11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12" s="3">
        <f t="shared" si="9"/>
        <v>28379.875000000098</v>
      </c>
      <c r="Y112" s="4">
        <f t="shared" si="10"/>
        <v>-0.77387978570495231</v>
      </c>
      <c r="Z112" s="2" t="str">
        <f t="shared" si="11"/>
        <v>High Risk</v>
      </c>
    </row>
    <row r="113" spans="1:26" x14ac:dyDescent="0.3">
      <c r="A113" t="s">
        <v>267</v>
      </c>
      <c r="B113" s="1">
        <v>45088</v>
      </c>
      <c r="C113" t="s">
        <v>268</v>
      </c>
      <c r="D113" t="s">
        <v>50</v>
      </c>
      <c r="E113">
        <v>18850</v>
      </c>
      <c r="F113">
        <v>22.6</v>
      </c>
      <c r="G113">
        <v>36</v>
      </c>
      <c r="H113" t="s">
        <v>26</v>
      </c>
      <c r="I113" t="s">
        <v>20</v>
      </c>
      <c r="J113" t="s">
        <v>47</v>
      </c>
      <c r="K113">
        <v>117796</v>
      </c>
      <c r="L113" t="s">
        <v>22</v>
      </c>
      <c r="M113">
        <v>0.15</v>
      </c>
      <c r="N113">
        <v>0.63</v>
      </c>
      <c r="O113">
        <v>8480.84</v>
      </c>
      <c r="P113">
        <v>0</v>
      </c>
      <c r="Q113">
        <f ca="1">DATEDIF(banking_loan_data[[#This Row],[Issue Date]],TODAY(),"M")</f>
        <v>33</v>
      </c>
      <c r="R113">
        <f t="shared" si="6"/>
        <v>12780.300000000001</v>
      </c>
      <c r="S113">
        <f>+banking_loan_data[[#This Row],[Loan Amount]]+banking_loan_data[[#This Row],[Interest earned]]</f>
        <v>31630.300000000003</v>
      </c>
      <c r="T113" s="2">
        <f t="shared" si="7"/>
        <v>-10369.16</v>
      </c>
      <c r="U113" s="2">
        <f t="shared" si="8"/>
        <v>0</v>
      </c>
      <c r="V113" s="2" t="str">
        <f>IF(banking_loan_data[[#This Row],[Loan Status]]="FULLY PAID","GOOD",IF(banking_loan_data[[#This Row],[Loan Status]]="CURRENT","ACTIVE","BAD"))</f>
        <v>ACTIVE</v>
      </c>
      <c r="W11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13" s="3">
        <f t="shared" si="9"/>
        <v>35500.833333333336</v>
      </c>
      <c r="Y113" s="4">
        <f t="shared" si="10"/>
        <v>-0.55008806366047747</v>
      </c>
      <c r="Z113" s="2" t="str">
        <f t="shared" si="11"/>
        <v>Normal</v>
      </c>
    </row>
    <row r="114" spans="1:26" x14ac:dyDescent="0.3">
      <c r="A114" t="s">
        <v>269</v>
      </c>
      <c r="B114" s="1">
        <v>45060</v>
      </c>
      <c r="C114" t="s">
        <v>270</v>
      </c>
      <c r="D114" t="s">
        <v>72</v>
      </c>
      <c r="E114">
        <v>1614</v>
      </c>
      <c r="F114">
        <v>18.2</v>
      </c>
      <c r="G114">
        <v>36</v>
      </c>
      <c r="H114" t="s">
        <v>19</v>
      </c>
      <c r="I114" t="s">
        <v>57</v>
      </c>
      <c r="J114" t="s">
        <v>28</v>
      </c>
      <c r="K114">
        <v>56069</v>
      </c>
      <c r="L114" t="s">
        <v>29</v>
      </c>
      <c r="M114">
        <v>0.33</v>
      </c>
      <c r="N114">
        <v>0.69</v>
      </c>
      <c r="O114">
        <v>1907.75</v>
      </c>
      <c r="P114">
        <v>0</v>
      </c>
      <c r="Q114">
        <f ca="1">DATEDIF(banking_loan_data[[#This Row],[Issue Date]],TODAY(),"M")</f>
        <v>34</v>
      </c>
      <c r="R114">
        <f t="shared" si="6"/>
        <v>881.24400000000003</v>
      </c>
      <c r="S114">
        <f>+banking_loan_data[[#This Row],[Loan Amount]]+banking_loan_data[[#This Row],[Interest earned]]</f>
        <v>2495.2440000000001</v>
      </c>
      <c r="T114" s="2">
        <f t="shared" si="7"/>
        <v>293.75</v>
      </c>
      <c r="U114" s="2">
        <f t="shared" si="8"/>
        <v>0</v>
      </c>
      <c r="V114" s="2" t="str">
        <f>IF(banking_loan_data[[#This Row],[Loan Status]]="FULLY PAID","GOOD",IF(banking_loan_data[[#This Row],[Loan Status]]="CURRENT","ACTIVE","BAD"))</f>
        <v>GOOD</v>
      </c>
      <c r="W11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14" s="3">
        <f t="shared" si="9"/>
        <v>2447.9000000000087</v>
      </c>
      <c r="Y114" s="4">
        <f t="shared" si="10"/>
        <v>0.18200123915737298</v>
      </c>
      <c r="Z114" s="2" t="str">
        <f t="shared" si="11"/>
        <v>Normal</v>
      </c>
    </row>
    <row r="115" spans="1:26" x14ac:dyDescent="0.3">
      <c r="A115" t="s">
        <v>271</v>
      </c>
      <c r="B115" s="1">
        <v>44939</v>
      </c>
      <c r="C115" t="s">
        <v>272</v>
      </c>
      <c r="D115" t="s">
        <v>76</v>
      </c>
      <c r="E115">
        <v>22776</v>
      </c>
      <c r="F115">
        <v>11.2</v>
      </c>
      <c r="G115">
        <v>60</v>
      </c>
      <c r="H115" t="s">
        <v>19</v>
      </c>
      <c r="I115" t="s">
        <v>27</v>
      </c>
      <c r="J115" t="s">
        <v>32</v>
      </c>
      <c r="K115">
        <v>148333</v>
      </c>
      <c r="L115" t="s">
        <v>29</v>
      </c>
      <c r="M115">
        <v>0.28000000000000003</v>
      </c>
      <c r="N115">
        <v>0.64</v>
      </c>
      <c r="O115">
        <v>25326.91</v>
      </c>
      <c r="P115">
        <v>0</v>
      </c>
      <c r="Q115">
        <f ca="1">DATEDIF(banking_loan_data[[#This Row],[Issue Date]],TODAY(),"M")</f>
        <v>38</v>
      </c>
      <c r="R115">
        <f t="shared" si="6"/>
        <v>12754.56</v>
      </c>
      <c r="S115">
        <f>+banking_loan_data[[#This Row],[Loan Amount]]+banking_loan_data[[#This Row],[Interest earned]]</f>
        <v>35530.559999999998</v>
      </c>
      <c r="T115" s="2">
        <f t="shared" si="7"/>
        <v>2550.91</v>
      </c>
      <c r="U115" s="2">
        <f t="shared" si="8"/>
        <v>0</v>
      </c>
      <c r="V115" s="2" t="str">
        <f>IF(banking_loan_data[[#This Row],[Loan Status]]="FULLY PAID","GOOD",IF(banking_loan_data[[#This Row],[Loan Status]]="CURRENT","ACTIVE","BAD"))</f>
        <v>GOOD</v>
      </c>
      <c r="W11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15" s="3">
        <f t="shared" si="9"/>
        <v>21257.599999999999</v>
      </c>
      <c r="Y115" s="4">
        <f t="shared" si="10"/>
        <v>0.11199991218826835</v>
      </c>
      <c r="Z115" s="2" t="str">
        <f t="shared" si="11"/>
        <v>Normal</v>
      </c>
    </row>
    <row r="116" spans="1:26" x14ac:dyDescent="0.3">
      <c r="A116" t="s">
        <v>273</v>
      </c>
      <c r="B116" s="1">
        <v>44760</v>
      </c>
      <c r="C116" t="s">
        <v>274</v>
      </c>
      <c r="D116" t="s">
        <v>50</v>
      </c>
      <c r="E116">
        <v>25077</v>
      </c>
      <c r="F116">
        <v>19.8</v>
      </c>
      <c r="G116">
        <v>36</v>
      </c>
      <c r="H116" t="s">
        <v>81</v>
      </c>
      <c r="I116" t="s">
        <v>73</v>
      </c>
      <c r="J116" t="s">
        <v>21</v>
      </c>
      <c r="K116">
        <v>86233</v>
      </c>
      <c r="L116" t="s">
        <v>22</v>
      </c>
      <c r="M116">
        <v>0.42</v>
      </c>
      <c r="N116">
        <v>0.83</v>
      </c>
      <c r="O116">
        <v>4314.95</v>
      </c>
      <c r="P116">
        <v>11970.48</v>
      </c>
      <c r="Q116">
        <f ca="1">DATEDIF(banking_loan_data[[#This Row],[Issue Date]],TODAY(),"M")</f>
        <v>44</v>
      </c>
      <c r="R116">
        <f t="shared" si="6"/>
        <v>14895.737999999999</v>
      </c>
      <c r="S116">
        <f>+banking_loan_data[[#This Row],[Loan Amount]]+banking_loan_data[[#This Row],[Interest earned]]</f>
        <v>39972.737999999998</v>
      </c>
      <c r="T116" s="2">
        <f t="shared" si="7"/>
        <v>-8791.57</v>
      </c>
      <c r="U116" s="2">
        <f t="shared" si="8"/>
        <v>1</v>
      </c>
      <c r="V116" s="2" t="str">
        <f>IF(banking_loan_data[[#This Row],[Loan Status]]="FULLY PAID","GOOD",IF(banking_loan_data[[#This Row],[Loan Status]]="CURRENT","ACTIVE","BAD"))</f>
        <v>BAD</v>
      </c>
      <c r="W11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16" s="3">
        <f t="shared" si="9"/>
        <v>41377.050000000025</v>
      </c>
      <c r="Y116" s="4">
        <f t="shared" si="10"/>
        <v>-0.35058300434661244</v>
      </c>
      <c r="Z116" s="2" t="str">
        <f t="shared" si="11"/>
        <v>High Risk</v>
      </c>
    </row>
    <row r="117" spans="1:26" x14ac:dyDescent="0.3">
      <c r="A117" t="s">
        <v>275</v>
      </c>
      <c r="B117" s="1">
        <v>45217</v>
      </c>
      <c r="C117" t="s">
        <v>276</v>
      </c>
      <c r="D117" t="s">
        <v>76</v>
      </c>
      <c r="E117">
        <v>10374</v>
      </c>
      <c r="F117">
        <v>21.3</v>
      </c>
      <c r="G117">
        <v>36</v>
      </c>
      <c r="H117" t="s">
        <v>19</v>
      </c>
      <c r="I117" t="s">
        <v>84</v>
      </c>
      <c r="J117" t="s">
        <v>21</v>
      </c>
      <c r="K117">
        <v>114811</v>
      </c>
      <c r="L117" t="s">
        <v>29</v>
      </c>
      <c r="M117">
        <v>0.39</v>
      </c>
      <c r="N117">
        <v>0.86</v>
      </c>
      <c r="O117">
        <v>12583.66</v>
      </c>
      <c r="P117">
        <v>0</v>
      </c>
      <c r="Q117">
        <f ca="1">DATEDIF(banking_loan_data[[#This Row],[Issue Date]],TODAY(),"M")</f>
        <v>29</v>
      </c>
      <c r="R117">
        <f t="shared" si="6"/>
        <v>6628.9860000000008</v>
      </c>
      <c r="S117">
        <f>+banking_loan_data[[#This Row],[Loan Amount]]+banking_loan_data[[#This Row],[Interest earned]]</f>
        <v>17002.986000000001</v>
      </c>
      <c r="T117" s="2">
        <f t="shared" si="7"/>
        <v>2209.66</v>
      </c>
      <c r="U117" s="2">
        <f t="shared" si="8"/>
        <v>0</v>
      </c>
      <c r="V117" s="2" t="str">
        <f>IF(banking_loan_data[[#This Row],[Loan Status]]="FULLY PAID","GOOD",IF(banking_loan_data[[#This Row],[Loan Status]]="CURRENT","ACTIVE","BAD"))</f>
        <v>GOOD</v>
      </c>
      <c r="W11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17" s="3">
        <f t="shared" si="9"/>
        <v>18413.850000000006</v>
      </c>
      <c r="Y117" s="4">
        <f t="shared" si="10"/>
        <v>0.21299980721033351</v>
      </c>
      <c r="Z117" s="2" t="str">
        <f t="shared" si="11"/>
        <v>High Risk</v>
      </c>
    </row>
    <row r="118" spans="1:26" x14ac:dyDescent="0.3">
      <c r="A118" t="s">
        <v>277</v>
      </c>
      <c r="B118" s="1">
        <v>44292</v>
      </c>
      <c r="C118" t="s">
        <v>278</v>
      </c>
      <c r="D118" t="s">
        <v>40</v>
      </c>
      <c r="E118">
        <v>36435</v>
      </c>
      <c r="F118">
        <v>17.3</v>
      </c>
      <c r="G118">
        <v>36</v>
      </c>
      <c r="H118" t="s">
        <v>19</v>
      </c>
      <c r="I118" t="s">
        <v>20</v>
      </c>
      <c r="J118" t="s">
        <v>21</v>
      </c>
      <c r="K118">
        <v>89049</v>
      </c>
      <c r="L118" t="s">
        <v>33</v>
      </c>
      <c r="M118">
        <v>0.38</v>
      </c>
      <c r="N118">
        <v>0.87</v>
      </c>
      <c r="O118">
        <v>42738.26</v>
      </c>
      <c r="P118">
        <v>0</v>
      </c>
      <c r="Q118">
        <f ca="1">DATEDIF(banking_loan_data[[#This Row],[Issue Date]],TODAY(),"M")</f>
        <v>59</v>
      </c>
      <c r="R118">
        <f t="shared" si="6"/>
        <v>18909.764999999999</v>
      </c>
      <c r="S118">
        <f>+banking_loan_data[[#This Row],[Loan Amount]]+banking_loan_data[[#This Row],[Interest earned]]</f>
        <v>55344.764999999999</v>
      </c>
      <c r="T118" s="2">
        <f t="shared" si="7"/>
        <v>6303.260000000002</v>
      </c>
      <c r="U118" s="2">
        <f t="shared" si="8"/>
        <v>0</v>
      </c>
      <c r="V118" s="2" t="str">
        <f>IF(banking_loan_data[[#This Row],[Loan Status]]="FULLY PAID","GOOD",IF(banking_loan_data[[#This Row],[Loan Status]]="CURRENT","ACTIVE","BAD"))</f>
        <v>GOOD</v>
      </c>
      <c r="W11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18" s="3">
        <f t="shared" si="9"/>
        <v>52527.125000000589</v>
      </c>
      <c r="Y118" s="4">
        <f t="shared" si="10"/>
        <v>0.17300013723068483</v>
      </c>
      <c r="Z118" s="2" t="str">
        <f t="shared" si="11"/>
        <v>High Risk</v>
      </c>
    </row>
    <row r="119" spans="1:26" x14ac:dyDescent="0.3">
      <c r="A119" t="s">
        <v>279</v>
      </c>
      <c r="B119" s="1">
        <v>44681</v>
      </c>
      <c r="C119" t="s">
        <v>280</v>
      </c>
      <c r="D119" t="s">
        <v>46</v>
      </c>
      <c r="E119">
        <v>31907</v>
      </c>
      <c r="F119">
        <v>18.8</v>
      </c>
      <c r="G119">
        <v>36</v>
      </c>
      <c r="H119" t="s">
        <v>19</v>
      </c>
      <c r="I119" t="s">
        <v>36</v>
      </c>
      <c r="J119" t="s">
        <v>32</v>
      </c>
      <c r="K119">
        <v>131820</v>
      </c>
      <c r="L119" t="s">
        <v>29</v>
      </c>
      <c r="M119">
        <v>0.24</v>
      </c>
      <c r="N119">
        <v>0.94</v>
      </c>
      <c r="O119">
        <v>37905.519999999997</v>
      </c>
      <c r="P119">
        <v>0</v>
      </c>
      <c r="Q119">
        <f ca="1">DATEDIF(banking_loan_data[[#This Row],[Issue Date]],TODAY(),"M")</f>
        <v>46</v>
      </c>
      <c r="R119">
        <f t="shared" si="6"/>
        <v>17995.547999999999</v>
      </c>
      <c r="S119">
        <f>+banking_loan_data[[#This Row],[Loan Amount]]+banking_loan_data[[#This Row],[Interest earned]]</f>
        <v>49902.547999999995</v>
      </c>
      <c r="T119" s="2">
        <f t="shared" si="7"/>
        <v>5998.5199999999968</v>
      </c>
      <c r="U119" s="2">
        <f t="shared" si="8"/>
        <v>0</v>
      </c>
      <c r="V119" s="2" t="str">
        <f>IF(banking_loan_data[[#This Row],[Loan Status]]="FULLY PAID","GOOD",IF(banking_loan_data[[#This Row],[Loan Status]]="CURRENT","ACTIVE","BAD"))</f>
        <v>GOOD</v>
      </c>
      <c r="W11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19" s="3">
        <f t="shared" si="9"/>
        <v>49987.633333333426</v>
      </c>
      <c r="Y119" s="4">
        <f t="shared" si="10"/>
        <v>0.18800012536434002</v>
      </c>
      <c r="Z119" s="2" t="str">
        <f t="shared" si="11"/>
        <v>High Risk</v>
      </c>
    </row>
    <row r="120" spans="1:26" x14ac:dyDescent="0.3">
      <c r="A120" t="s">
        <v>281</v>
      </c>
      <c r="B120" s="1">
        <v>44427</v>
      </c>
      <c r="C120" t="s">
        <v>282</v>
      </c>
      <c r="D120" t="s">
        <v>76</v>
      </c>
      <c r="E120">
        <v>14409</v>
      </c>
      <c r="F120">
        <v>12.5</v>
      </c>
      <c r="G120">
        <v>36</v>
      </c>
      <c r="H120" t="s">
        <v>19</v>
      </c>
      <c r="I120" t="s">
        <v>57</v>
      </c>
      <c r="J120" t="s">
        <v>47</v>
      </c>
      <c r="K120">
        <v>148028</v>
      </c>
      <c r="L120" t="s">
        <v>22</v>
      </c>
      <c r="M120">
        <v>0.42</v>
      </c>
      <c r="N120">
        <v>0.86</v>
      </c>
      <c r="O120">
        <v>16210.12</v>
      </c>
      <c r="P120">
        <v>0</v>
      </c>
      <c r="Q120">
        <f ca="1">DATEDIF(banking_loan_data[[#This Row],[Issue Date]],TODAY(),"M")</f>
        <v>55</v>
      </c>
      <c r="R120">
        <f t="shared" si="6"/>
        <v>5403.375</v>
      </c>
      <c r="S120">
        <f>+banking_loan_data[[#This Row],[Loan Amount]]+banking_loan_data[[#This Row],[Interest earned]]</f>
        <v>19812.375</v>
      </c>
      <c r="T120" s="2">
        <f t="shared" si="7"/>
        <v>1801.1200000000008</v>
      </c>
      <c r="U120" s="2">
        <f t="shared" si="8"/>
        <v>0</v>
      </c>
      <c r="V120" s="2" t="str">
        <f>IF(banking_loan_data[[#This Row],[Loan Status]]="FULLY PAID","GOOD",IF(banking_loan_data[[#This Row],[Loan Status]]="CURRENT","ACTIVE","BAD"))</f>
        <v>GOOD</v>
      </c>
      <c r="W12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20" s="3">
        <f t="shared" si="9"/>
        <v>15009.375000103972</v>
      </c>
      <c r="Y120" s="4">
        <f t="shared" si="10"/>
        <v>0.12499965299465618</v>
      </c>
      <c r="Z120" s="2" t="str">
        <f t="shared" si="11"/>
        <v>High Risk</v>
      </c>
    </row>
    <row r="121" spans="1:26" x14ac:dyDescent="0.3">
      <c r="A121" t="s">
        <v>283</v>
      </c>
      <c r="B121" s="1">
        <v>44945</v>
      </c>
      <c r="C121" t="s">
        <v>284</v>
      </c>
      <c r="D121" t="s">
        <v>40</v>
      </c>
      <c r="E121">
        <v>17514</v>
      </c>
      <c r="F121">
        <v>15.8</v>
      </c>
      <c r="G121">
        <v>60</v>
      </c>
      <c r="H121" t="s">
        <v>19</v>
      </c>
      <c r="I121" t="s">
        <v>57</v>
      </c>
      <c r="J121" t="s">
        <v>21</v>
      </c>
      <c r="K121">
        <v>69178</v>
      </c>
      <c r="L121" t="s">
        <v>22</v>
      </c>
      <c r="M121">
        <v>0.12</v>
      </c>
      <c r="N121">
        <v>0.77</v>
      </c>
      <c r="O121">
        <v>20281.21</v>
      </c>
      <c r="P121">
        <v>0</v>
      </c>
      <c r="Q121">
        <f ca="1">DATEDIF(banking_loan_data[[#This Row],[Issue Date]],TODAY(),"M")</f>
        <v>38</v>
      </c>
      <c r="R121">
        <f t="shared" si="6"/>
        <v>13836.06</v>
      </c>
      <c r="S121">
        <f>+banking_loan_data[[#This Row],[Loan Amount]]+banking_loan_data[[#This Row],[Interest earned]]</f>
        <v>31350.059999999998</v>
      </c>
      <c r="T121" s="2">
        <f t="shared" si="7"/>
        <v>2767.2099999999991</v>
      </c>
      <c r="U121" s="2">
        <f t="shared" si="8"/>
        <v>0</v>
      </c>
      <c r="V121" s="2" t="str">
        <f>IF(banking_loan_data[[#This Row],[Loan Status]]="FULLY PAID","GOOD",IF(banking_loan_data[[#This Row],[Loan Status]]="CURRENT","ACTIVE","BAD"))</f>
        <v>GOOD</v>
      </c>
      <c r="W12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21" s="3">
        <f t="shared" si="9"/>
        <v>23060.1</v>
      </c>
      <c r="Y121" s="4">
        <f t="shared" si="10"/>
        <v>0.15799988580564114</v>
      </c>
      <c r="Z121" s="2" t="str">
        <f t="shared" si="11"/>
        <v>Normal</v>
      </c>
    </row>
    <row r="122" spans="1:26" x14ac:dyDescent="0.3">
      <c r="A122" t="s">
        <v>285</v>
      </c>
      <c r="B122" s="1">
        <v>44737</v>
      </c>
      <c r="C122" t="s">
        <v>286</v>
      </c>
      <c r="D122" t="s">
        <v>25</v>
      </c>
      <c r="E122">
        <v>30866</v>
      </c>
      <c r="F122">
        <v>15.5</v>
      </c>
      <c r="G122">
        <v>60</v>
      </c>
      <c r="H122" t="s">
        <v>26</v>
      </c>
      <c r="I122" t="s">
        <v>84</v>
      </c>
      <c r="J122" t="s">
        <v>47</v>
      </c>
      <c r="K122">
        <v>62821</v>
      </c>
      <c r="L122" t="s">
        <v>22</v>
      </c>
      <c r="M122">
        <v>0.16</v>
      </c>
      <c r="N122">
        <v>0.65</v>
      </c>
      <c r="O122">
        <v>5435.42</v>
      </c>
      <c r="P122">
        <v>0</v>
      </c>
      <c r="Q122">
        <f ca="1">DATEDIF(banking_loan_data[[#This Row],[Issue Date]],TODAY(),"M")</f>
        <v>44</v>
      </c>
      <c r="R122">
        <f t="shared" si="6"/>
        <v>23921.149999999998</v>
      </c>
      <c r="S122">
        <f>+banking_loan_data[[#This Row],[Loan Amount]]+banking_loan_data[[#This Row],[Interest earned]]</f>
        <v>54787.149999999994</v>
      </c>
      <c r="T122" s="2">
        <f t="shared" si="7"/>
        <v>-25430.58</v>
      </c>
      <c r="U122" s="2">
        <f t="shared" si="8"/>
        <v>0</v>
      </c>
      <c r="V122" s="2" t="str">
        <f>IF(banking_loan_data[[#This Row],[Loan Status]]="FULLY PAID","GOOD",IF(banking_loan_data[[#This Row],[Loan Status]]="CURRENT","ACTIVE","BAD"))</f>
        <v>ACTIVE</v>
      </c>
      <c r="W12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22" s="3">
        <f t="shared" si="9"/>
        <v>39868.583333333336</v>
      </c>
      <c r="Y122" s="4">
        <f t="shared" si="10"/>
        <v>-0.82390267608371681</v>
      </c>
      <c r="Z122" s="2" t="str">
        <f t="shared" si="11"/>
        <v>Normal</v>
      </c>
    </row>
    <row r="123" spans="1:26" x14ac:dyDescent="0.3">
      <c r="A123" t="s">
        <v>287</v>
      </c>
      <c r="B123" s="1">
        <v>45256</v>
      </c>
      <c r="C123" t="s">
        <v>288</v>
      </c>
      <c r="D123" t="s">
        <v>40</v>
      </c>
      <c r="E123">
        <v>3983</v>
      </c>
      <c r="F123">
        <v>22</v>
      </c>
      <c r="G123">
        <v>36</v>
      </c>
      <c r="H123" t="s">
        <v>26</v>
      </c>
      <c r="I123" t="s">
        <v>73</v>
      </c>
      <c r="J123" t="s">
        <v>28</v>
      </c>
      <c r="K123">
        <v>81727</v>
      </c>
      <c r="L123" t="s">
        <v>29</v>
      </c>
      <c r="M123">
        <v>0.23</v>
      </c>
      <c r="N123">
        <v>0.75</v>
      </c>
      <c r="O123">
        <v>294.36</v>
      </c>
      <c r="P123">
        <v>0</v>
      </c>
      <c r="Q123">
        <f ca="1">DATEDIF(banking_loan_data[[#This Row],[Issue Date]],TODAY(),"M")</f>
        <v>27</v>
      </c>
      <c r="R123">
        <f t="shared" si="6"/>
        <v>2628.78</v>
      </c>
      <c r="S123">
        <f>+banking_loan_data[[#This Row],[Loan Amount]]+banking_loan_data[[#This Row],[Interest earned]]</f>
        <v>6611.7800000000007</v>
      </c>
      <c r="T123" s="2">
        <f t="shared" si="7"/>
        <v>-3688.64</v>
      </c>
      <c r="U123" s="2">
        <f t="shared" si="8"/>
        <v>0</v>
      </c>
      <c r="V123" s="2" t="str">
        <f>IF(banking_loan_data[[#This Row],[Loan Status]]="FULLY PAID","GOOD",IF(banking_loan_data[[#This Row],[Loan Status]]="CURRENT","ACTIVE","BAD"))</f>
        <v>ACTIVE</v>
      </c>
      <c r="W12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23" s="3">
        <f t="shared" si="9"/>
        <v>7302.1666666666661</v>
      </c>
      <c r="Y123" s="4">
        <f t="shared" si="10"/>
        <v>-0.92609590760733107</v>
      </c>
      <c r="Z123" s="2" t="str">
        <f t="shared" si="11"/>
        <v>Normal</v>
      </c>
    </row>
    <row r="124" spans="1:26" x14ac:dyDescent="0.3">
      <c r="A124" t="s">
        <v>289</v>
      </c>
      <c r="B124" s="1">
        <v>44721</v>
      </c>
      <c r="C124" t="s">
        <v>290</v>
      </c>
      <c r="D124" t="s">
        <v>46</v>
      </c>
      <c r="E124">
        <v>32705</v>
      </c>
      <c r="F124">
        <v>21.8</v>
      </c>
      <c r="G124">
        <v>60</v>
      </c>
      <c r="H124" t="s">
        <v>19</v>
      </c>
      <c r="I124" t="s">
        <v>73</v>
      </c>
      <c r="J124" t="s">
        <v>47</v>
      </c>
      <c r="K124">
        <v>90935</v>
      </c>
      <c r="L124" t="s">
        <v>33</v>
      </c>
      <c r="M124">
        <v>0.13</v>
      </c>
      <c r="N124">
        <v>0.52</v>
      </c>
      <c r="O124">
        <v>39834.69</v>
      </c>
      <c r="P124">
        <v>0</v>
      </c>
      <c r="Q124">
        <f ca="1">DATEDIF(banking_loan_data[[#This Row],[Issue Date]],TODAY(),"M")</f>
        <v>45</v>
      </c>
      <c r="R124">
        <f t="shared" si="6"/>
        <v>35648.449999999997</v>
      </c>
      <c r="S124">
        <f>+banking_loan_data[[#This Row],[Loan Amount]]+banking_loan_data[[#This Row],[Interest earned]]</f>
        <v>68353.45</v>
      </c>
      <c r="T124" s="2">
        <f t="shared" si="7"/>
        <v>7129.6900000000023</v>
      </c>
      <c r="U124" s="2">
        <f t="shared" si="8"/>
        <v>0</v>
      </c>
      <c r="V124" s="2" t="str">
        <f>IF(banking_loan_data[[#This Row],[Loan Status]]="FULLY PAID","GOOD",IF(banking_loan_data[[#This Row],[Loan Status]]="CURRENT","ACTIVE","BAD"))</f>
        <v>GOOD</v>
      </c>
      <c r="W12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24" s="3">
        <f t="shared" si="9"/>
        <v>59414.083333333336</v>
      </c>
      <c r="Y124" s="4">
        <f t="shared" si="10"/>
        <v>0.21800000000000008</v>
      </c>
      <c r="Z124" s="2" t="str">
        <f t="shared" si="11"/>
        <v>Normal</v>
      </c>
    </row>
    <row r="125" spans="1:26" x14ac:dyDescent="0.3">
      <c r="A125" t="s">
        <v>291</v>
      </c>
      <c r="B125" s="1">
        <v>44774</v>
      </c>
      <c r="C125" t="s">
        <v>292</v>
      </c>
      <c r="D125" t="s">
        <v>53</v>
      </c>
      <c r="E125">
        <v>21662</v>
      </c>
      <c r="F125">
        <v>21.7</v>
      </c>
      <c r="G125">
        <v>36</v>
      </c>
      <c r="H125" t="s">
        <v>81</v>
      </c>
      <c r="I125" t="s">
        <v>27</v>
      </c>
      <c r="J125" t="s">
        <v>47</v>
      </c>
      <c r="K125">
        <v>46999</v>
      </c>
      <c r="L125" t="s">
        <v>22</v>
      </c>
      <c r="M125">
        <v>0.19</v>
      </c>
      <c r="N125">
        <v>0.84</v>
      </c>
      <c r="O125">
        <v>7336.37</v>
      </c>
      <c r="P125">
        <v>1820.32</v>
      </c>
      <c r="Q125">
        <f ca="1">DATEDIF(banking_loan_data[[#This Row],[Issue Date]],TODAY(),"M")</f>
        <v>43</v>
      </c>
      <c r="R125">
        <f t="shared" si="6"/>
        <v>14101.962</v>
      </c>
      <c r="S125">
        <f>+banking_loan_data[[#This Row],[Loan Amount]]+banking_loan_data[[#This Row],[Interest earned]]</f>
        <v>35763.962</v>
      </c>
      <c r="T125" s="2">
        <f t="shared" si="7"/>
        <v>-12505.31</v>
      </c>
      <c r="U125" s="2">
        <f t="shared" si="8"/>
        <v>1</v>
      </c>
      <c r="V125" s="2" t="str">
        <f>IF(banking_loan_data[[#This Row],[Loan Status]]="FULLY PAID","GOOD",IF(banking_loan_data[[#This Row],[Loan Status]]="CURRENT","ACTIVE","BAD"))</f>
        <v>BAD</v>
      </c>
      <c r="W12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25" s="3">
        <f t="shared" si="9"/>
        <v>39172.116666666676</v>
      </c>
      <c r="Y125" s="4">
        <f t="shared" si="10"/>
        <v>-0.57729249376788849</v>
      </c>
      <c r="Z125" s="2" t="str">
        <f t="shared" si="11"/>
        <v>High Risk</v>
      </c>
    </row>
    <row r="126" spans="1:26" x14ac:dyDescent="0.3">
      <c r="A126" t="s">
        <v>293</v>
      </c>
      <c r="B126" s="1">
        <v>44878</v>
      </c>
      <c r="C126" t="s">
        <v>294</v>
      </c>
      <c r="D126" t="s">
        <v>25</v>
      </c>
      <c r="E126">
        <v>24510</v>
      </c>
      <c r="F126">
        <v>5.2</v>
      </c>
      <c r="G126">
        <v>36</v>
      </c>
      <c r="H126" t="s">
        <v>19</v>
      </c>
      <c r="I126" t="s">
        <v>73</v>
      </c>
      <c r="J126" t="s">
        <v>21</v>
      </c>
      <c r="K126">
        <v>92522</v>
      </c>
      <c r="L126" t="s">
        <v>33</v>
      </c>
      <c r="M126">
        <v>0.43</v>
      </c>
      <c r="N126">
        <v>0.7</v>
      </c>
      <c r="O126">
        <v>25784.52</v>
      </c>
      <c r="P126">
        <v>0</v>
      </c>
      <c r="Q126">
        <f ca="1">DATEDIF(banking_loan_data[[#This Row],[Issue Date]],TODAY(),"M")</f>
        <v>40</v>
      </c>
      <c r="R126">
        <f t="shared" si="6"/>
        <v>3823.56</v>
      </c>
      <c r="S126">
        <f>+banking_loan_data[[#This Row],[Loan Amount]]+banking_loan_data[[#This Row],[Interest earned]]</f>
        <v>28333.56</v>
      </c>
      <c r="T126" s="2">
        <f t="shared" si="7"/>
        <v>1274.5200000000004</v>
      </c>
      <c r="U126" s="2">
        <f t="shared" si="8"/>
        <v>0</v>
      </c>
      <c r="V126" s="2" t="str">
        <f>IF(banking_loan_data[[#This Row],[Loan Status]]="FULLY PAID","GOOD",IF(banking_loan_data[[#This Row],[Loan Status]]="CURRENT","ACTIVE","BAD"))</f>
        <v>GOOD</v>
      </c>
      <c r="W12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26" s="3">
        <f t="shared" si="9"/>
        <v>10621.024984300773</v>
      </c>
      <c r="Y126" s="4">
        <f t="shared" si="10"/>
        <v>5.2000000000000018E-2</v>
      </c>
      <c r="Z126" s="2" t="str">
        <f t="shared" si="11"/>
        <v>High Risk</v>
      </c>
    </row>
    <row r="127" spans="1:26" x14ac:dyDescent="0.3">
      <c r="A127" t="s">
        <v>295</v>
      </c>
      <c r="B127" s="1">
        <v>44753</v>
      </c>
      <c r="C127" t="s">
        <v>296</v>
      </c>
      <c r="D127" t="s">
        <v>18</v>
      </c>
      <c r="E127">
        <v>13651</v>
      </c>
      <c r="F127">
        <v>20</v>
      </c>
      <c r="G127">
        <v>36</v>
      </c>
      <c r="H127" t="s">
        <v>19</v>
      </c>
      <c r="I127" t="s">
        <v>20</v>
      </c>
      <c r="J127" t="s">
        <v>37</v>
      </c>
      <c r="K127">
        <v>68712</v>
      </c>
      <c r="L127" t="s">
        <v>22</v>
      </c>
      <c r="M127">
        <v>0.48</v>
      </c>
      <c r="N127">
        <v>0.51</v>
      </c>
      <c r="O127">
        <v>16381.2</v>
      </c>
      <c r="P127">
        <v>0</v>
      </c>
      <c r="Q127">
        <f ca="1">DATEDIF(banking_loan_data[[#This Row],[Issue Date]],TODAY(),"M")</f>
        <v>44</v>
      </c>
      <c r="R127">
        <f t="shared" si="6"/>
        <v>8190.5999999999995</v>
      </c>
      <c r="S127">
        <f>+banking_loan_data[[#This Row],[Loan Amount]]+banking_loan_data[[#This Row],[Interest earned]]</f>
        <v>21841.599999999999</v>
      </c>
      <c r="T127" s="2">
        <f t="shared" si="7"/>
        <v>2730.2000000000007</v>
      </c>
      <c r="U127" s="2">
        <f t="shared" si="8"/>
        <v>0</v>
      </c>
      <c r="V127" s="2" t="str">
        <f>IF(banking_loan_data[[#This Row],[Loan Status]]="FULLY PAID","GOOD",IF(banking_loan_data[[#This Row],[Loan Status]]="CURRENT","ACTIVE","BAD"))</f>
        <v>GOOD</v>
      </c>
      <c r="W12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27" s="3">
        <f t="shared" si="9"/>
        <v>22751.666666666675</v>
      </c>
      <c r="Y127" s="4">
        <f t="shared" si="10"/>
        <v>0.20000000000000007</v>
      </c>
      <c r="Z127" s="2" t="str">
        <f t="shared" si="11"/>
        <v>High Risk</v>
      </c>
    </row>
    <row r="128" spans="1:26" x14ac:dyDescent="0.3">
      <c r="A128" t="s">
        <v>297</v>
      </c>
      <c r="B128" s="1">
        <v>45209</v>
      </c>
      <c r="C128" t="s">
        <v>298</v>
      </c>
      <c r="D128" t="s">
        <v>65</v>
      </c>
      <c r="E128">
        <v>29535</v>
      </c>
      <c r="F128">
        <v>20.2</v>
      </c>
      <c r="G128">
        <v>36</v>
      </c>
      <c r="H128" t="s">
        <v>26</v>
      </c>
      <c r="I128" t="s">
        <v>27</v>
      </c>
      <c r="J128" t="s">
        <v>37</v>
      </c>
      <c r="K128">
        <v>94551</v>
      </c>
      <c r="L128" t="s">
        <v>33</v>
      </c>
      <c r="M128">
        <v>0.22</v>
      </c>
      <c r="N128">
        <v>0.53</v>
      </c>
      <c r="O128">
        <v>7019.73</v>
      </c>
      <c r="P128">
        <v>0</v>
      </c>
      <c r="Q128">
        <f ca="1">DATEDIF(banking_loan_data[[#This Row],[Issue Date]],TODAY(),"M")</f>
        <v>29</v>
      </c>
      <c r="R128">
        <f t="shared" si="6"/>
        <v>17898.21</v>
      </c>
      <c r="S128">
        <f>+banking_loan_data[[#This Row],[Loan Amount]]+banking_loan_data[[#This Row],[Interest earned]]</f>
        <v>47433.21</v>
      </c>
      <c r="T128" s="2">
        <f t="shared" si="7"/>
        <v>-22515.27</v>
      </c>
      <c r="U128" s="2">
        <f t="shared" si="8"/>
        <v>0</v>
      </c>
      <c r="V128" s="2" t="str">
        <f>IF(banking_loan_data[[#This Row],[Loan Status]]="FULLY PAID","GOOD",IF(banking_loan_data[[#This Row],[Loan Status]]="CURRENT","ACTIVE","BAD"))</f>
        <v>ACTIVE</v>
      </c>
      <c r="W12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28" s="3">
        <f t="shared" si="9"/>
        <v>49717.250000000022</v>
      </c>
      <c r="Y128" s="4">
        <f t="shared" si="10"/>
        <v>-0.7623250380904012</v>
      </c>
      <c r="Z128" s="2" t="str">
        <f t="shared" si="11"/>
        <v>Normal</v>
      </c>
    </row>
    <row r="129" spans="1:26" x14ac:dyDescent="0.3">
      <c r="A129" t="s">
        <v>299</v>
      </c>
      <c r="B129" s="1">
        <v>44842</v>
      </c>
      <c r="C129" t="s">
        <v>300</v>
      </c>
      <c r="D129" t="s">
        <v>40</v>
      </c>
      <c r="E129">
        <v>7640</v>
      </c>
      <c r="F129">
        <v>18.600000000000001</v>
      </c>
      <c r="G129">
        <v>36</v>
      </c>
      <c r="H129" t="s">
        <v>26</v>
      </c>
      <c r="I129" t="s">
        <v>20</v>
      </c>
      <c r="J129" t="s">
        <v>32</v>
      </c>
      <c r="K129">
        <v>70172</v>
      </c>
      <c r="L129" t="s">
        <v>33</v>
      </c>
      <c r="M129">
        <v>0.21</v>
      </c>
      <c r="N129">
        <v>0.67</v>
      </c>
      <c r="O129">
        <v>1169.7</v>
      </c>
      <c r="P129">
        <v>0</v>
      </c>
      <c r="Q129">
        <f ca="1">DATEDIF(banking_loan_data[[#This Row],[Issue Date]],TODAY(),"M")</f>
        <v>41</v>
      </c>
      <c r="R129">
        <f t="shared" si="6"/>
        <v>4263.12</v>
      </c>
      <c r="S129">
        <f>+banking_loan_data[[#This Row],[Loan Amount]]+banking_loan_data[[#This Row],[Interest earned]]</f>
        <v>11903.119999999999</v>
      </c>
      <c r="T129" s="2">
        <f t="shared" si="7"/>
        <v>-6470.3</v>
      </c>
      <c r="U129" s="2">
        <f t="shared" si="8"/>
        <v>0</v>
      </c>
      <c r="V129" s="2" t="str">
        <f>IF(banking_loan_data[[#This Row],[Loan Status]]="FULLY PAID","GOOD",IF(banking_loan_data[[#This Row],[Loan Status]]="CURRENT","ACTIVE","BAD"))</f>
        <v>ACTIVE</v>
      </c>
      <c r="W12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29" s="3">
        <f t="shared" si="9"/>
        <v>11842.000000000029</v>
      </c>
      <c r="Y129" s="4">
        <f t="shared" si="10"/>
        <v>-0.84689790575916235</v>
      </c>
      <c r="Z129" s="2" t="str">
        <f t="shared" si="11"/>
        <v>Normal</v>
      </c>
    </row>
    <row r="130" spans="1:26" x14ac:dyDescent="0.3">
      <c r="A130" t="s">
        <v>301</v>
      </c>
      <c r="B130" s="1">
        <v>44992</v>
      </c>
      <c r="C130" t="s">
        <v>302</v>
      </c>
      <c r="D130" t="s">
        <v>40</v>
      </c>
      <c r="E130">
        <v>16317</v>
      </c>
      <c r="F130">
        <v>20.100000000000001</v>
      </c>
      <c r="G130">
        <v>60</v>
      </c>
      <c r="H130" t="s">
        <v>26</v>
      </c>
      <c r="I130" t="s">
        <v>84</v>
      </c>
      <c r="J130" t="s">
        <v>32</v>
      </c>
      <c r="K130">
        <v>63722</v>
      </c>
      <c r="L130" t="s">
        <v>33</v>
      </c>
      <c r="M130">
        <v>0.21</v>
      </c>
      <c r="N130">
        <v>0.76</v>
      </c>
      <c r="O130">
        <v>2517.8000000000002</v>
      </c>
      <c r="P130">
        <v>0</v>
      </c>
      <c r="Q130">
        <f ca="1">DATEDIF(banking_loan_data[[#This Row],[Issue Date]],TODAY(),"M")</f>
        <v>36</v>
      </c>
      <c r="R130">
        <f t="shared" ref="R130:R193" si="12">(((E130*F130)/100)*G130)/12</f>
        <v>16398.585000000003</v>
      </c>
      <c r="S130">
        <f>+banking_loan_data[[#This Row],[Loan Amount]]+banking_loan_data[[#This Row],[Interest earned]]</f>
        <v>32715.585000000003</v>
      </c>
      <c r="T130" s="2">
        <f t="shared" ref="T130:T193" si="13">O130 + P130 - E130</f>
        <v>-13799.2</v>
      </c>
      <c r="U130" s="2">
        <f t="shared" ref="U130:U193" si="14">IF(H130="CHARGED OFF",1,0)</f>
        <v>0</v>
      </c>
      <c r="V130" s="2" t="str">
        <f>IF(banking_loan_data[[#This Row],[Loan Status]]="FULLY PAID","GOOD",IF(banking_loan_data[[#This Row],[Loan Status]]="CURRENT","ACTIVE","BAD"))</f>
        <v>ACTIVE</v>
      </c>
      <c r="W13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30" s="3">
        <f t="shared" ref="X130:X193" si="15">PMT(F130/12,G130,-E130)</f>
        <v>27330.975000000002</v>
      </c>
      <c r="Y130" s="4">
        <f t="shared" ref="Y130:Y193" si="16">IF(E130=0,0,T130/E130)</f>
        <v>-0.8456946742661029</v>
      </c>
      <c r="Z130" s="2" t="str">
        <f t="shared" ref="Z130:Z193" si="17">IF(OR(M130&gt;0.4,N130&gt;0.8),"High Risk","Normal")</f>
        <v>Normal</v>
      </c>
    </row>
    <row r="131" spans="1:26" x14ac:dyDescent="0.3">
      <c r="A131" t="s">
        <v>303</v>
      </c>
      <c r="B131" s="1">
        <v>45248</v>
      </c>
      <c r="C131" t="s">
        <v>304</v>
      </c>
      <c r="D131" t="s">
        <v>76</v>
      </c>
      <c r="E131">
        <v>8564</v>
      </c>
      <c r="F131">
        <v>21.8</v>
      </c>
      <c r="G131">
        <v>60</v>
      </c>
      <c r="H131" t="s">
        <v>81</v>
      </c>
      <c r="I131" t="s">
        <v>41</v>
      </c>
      <c r="J131" t="s">
        <v>37</v>
      </c>
      <c r="K131">
        <v>40625</v>
      </c>
      <c r="L131" t="s">
        <v>22</v>
      </c>
      <c r="M131">
        <v>0.21</v>
      </c>
      <c r="N131">
        <v>0.71</v>
      </c>
      <c r="O131">
        <v>3172.28</v>
      </c>
      <c r="P131">
        <v>2148.21</v>
      </c>
      <c r="Q131">
        <f ca="1">DATEDIF(banking_loan_data[[#This Row],[Issue Date]],TODAY(),"M")</f>
        <v>28</v>
      </c>
      <c r="R131">
        <f t="shared" si="12"/>
        <v>9334.76</v>
      </c>
      <c r="S131">
        <f>+banking_loan_data[[#This Row],[Loan Amount]]+banking_loan_data[[#This Row],[Interest earned]]</f>
        <v>17898.760000000002</v>
      </c>
      <c r="T131" s="2">
        <f t="shared" si="13"/>
        <v>-3243.51</v>
      </c>
      <c r="U131" s="2">
        <f t="shared" si="14"/>
        <v>1</v>
      </c>
      <c r="V131" s="2" t="str">
        <f>IF(banking_loan_data[[#This Row],[Loan Status]]="FULLY PAID","GOOD",IF(banking_loan_data[[#This Row],[Loan Status]]="CURRENT","ACTIVE","BAD"))</f>
        <v>BAD</v>
      </c>
      <c r="W13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31" s="3">
        <f t="shared" si="15"/>
        <v>15557.933333333332</v>
      </c>
      <c r="Y131" s="4">
        <f t="shared" si="16"/>
        <v>-0.37873773937412425</v>
      </c>
      <c r="Z131" s="2" t="str">
        <f t="shared" si="17"/>
        <v>Normal</v>
      </c>
    </row>
    <row r="132" spans="1:26" x14ac:dyDescent="0.3">
      <c r="A132" t="s">
        <v>305</v>
      </c>
      <c r="B132" s="1">
        <v>44386</v>
      </c>
      <c r="C132" t="s">
        <v>306</v>
      </c>
      <c r="D132" t="s">
        <v>18</v>
      </c>
      <c r="E132">
        <v>28345</v>
      </c>
      <c r="F132">
        <v>14.4</v>
      </c>
      <c r="G132">
        <v>36</v>
      </c>
      <c r="H132" t="s">
        <v>26</v>
      </c>
      <c r="I132" t="s">
        <v>57</v>
      </c>
      <c r="J132" t="s">
        <v>28</v>
      </c>
      <c r="K132">
        <v>97165</v>
      </c>
      <c r="L132" t="s">
        <v>29</v>
      </c>
      <c r="M132">
        <v>0.11</v>
      </c>
      <c r="N132">
        <v>0.78</v>
      </c>
      <c r="O132">
        <v>12054.06</v>
      </c>
      <c r="P132">
        <v>0</v>
      </c>
      <c r="Q132">
        <f ca="1">DATEDIF(banking_loan_data[[#This Row],[Issue Date]],TODAY(),"M")</f>
        <v>56</v>
      </c>
      <c r="R132">
        <f t="shared" si="12"/>
        <v>12245.039999999999</v>
      </c>
      <c r="S132">
        <f>+banking_loan_data[[#This Row],[Loan Amount]]+banking_loan_data[[#This Row],[Interest earned]]</f>
        <v>40590.04</v>
      </c>
      <c r="T132" s="2">
        <f t="shared" si="13"/>
        <v>-16290.94</v>
      </c>
      <c r="U132" s="2">
        <f t="shared" si="14"/>
        <v>0</v>
      </c>
      <c r="V132" s="2" t="str">
        <f>IF(banking_loan_data[[#This Row],[Loan Status]]="FULLY PAID","GOOD",IF(banking_loan_data[[#This Row],[Loan Status]]="CURRENT","ACTIVE","BAD"))</f>
        <v>ACTIVE</v>
      </c>
      <c r="W13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32" s="3">
        <f t="shared" si="15"/>
        <v>34014.000000016014</v>
      </c>
      <c r="Y132" s="4">
        <f t="shared" si="16"/>
        <v>-0.57473769624272364</v>
      </c>
      <c r="Z132" s="2" t="str">
        <f t="shared" si="17"/>
        <v>Normal</v>
      </c>
    </row>
    <row r="133" spans="1:26" x14ac:dyDescent="0.3">
      <c r="A133" t="s">
        <v>307</v>
      </c>
      <c r="B133" s="1">
        <v>44829</v>
      </c>
      <c r="C133" t="s">
        <v>308</v>
      </c>
      <c r="D133" t="s">
        <v>50</v>
      </c>
      <c r="E133">
        <v>29687</v>
      </c>
      <c r="F133">
        <v>15</v>
      </c>
      <c r="G133">
        <v>60</v>
      </c>
      <c r="H133" t="s">
        <v>81</v>
      </c>
      <c r="I133" t="s">
        <v>57</v>
      </c>
      <c r="J133" t="s">
        <v>21</v>
      </c>
      <c r="K133">
        <v>106509</v>
      </c>
      <c r="L133" t="s">
        <v>29</v>
      </c>
      <c r="M133">
        <v>0.47</v>
      </c>
      <c r="N133">
        <v>0.72</v>
      </c>
      <c r="O133">
        <v>7898.5</v>
      </c>
      <c r="P133">
        <v>6839.85</v>
      </c>
      <c r="Q133">
        <f ca="1">DATEDIF(banking_loan_data[[#This Row],[Issue Date]],TODAY(),"M")</f>
        <v>41</v>
      </c>
      <c r="R133">
        <f t="shared" si="12"/>
        <v>22265.25</v>
      </c>
      <c r="S133">
        <f>+banking_loan_data[[#This Row],[Loan Amount]]+banking_loan_data[[#This Row],[Interest earned]]</f>
        <v>51952.25</v>
      </c>
      <c r="T133" s="2">
        <f t="shared" si="13"/>
        <v>-14948.65</v>
      </c>
      <c r="U133" s="2">
        <f t="shared" si="14"/>
        <v>1</v>
      </c>
      <c r="V133" s="2" t="str">
        <f>IF(banking_loan_data[[#This Row],[Loan Status]]="FULLY PAID","GOOD",IF(banking_loan_data[[#This Row],[Loan Status]]="CURRENT","ACTIVE","BAD"))</f>
        <v>BAD</v>
      </c>
      <c r="W13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33" s="3">
        <f t="shared" si="15"/>
        <v>37108.75</v>
      </c>
      <c r="Y133" s="4">
        <f t="shared" si="16"/>
        <v>-0.50354195439081073</v>
      </c>
      <c r="Z133" s="2" t="str">
        <f t="shared" si="17"/>
        <v>High Risk</v>
      </c>
    </row>
    <row r="134" spans="1:26" x14ac:dyDescent="0.3">
      <c r="A134" t="s">
        <v>309</v>
      </c>
      <c r="B134" s="1">
        <v>44824</v>
      </c>
      <c r="C134" t="s">
        <v>310</v>
      </c>
      <c r="D134" t="s">
        <v>72</v>
      </c>
      <c r="E134">
        <v>14737</v>
      </c>
      <c r="F134">
        <v>7.5</v>
      </c>
      <c r="G134">
        <v>36</v>
      </c>
      <c r="H134" t="s">
        <v>19</v>
      </c>
      <c r="I134" t="s">
        <v>20</v>
      </c>
      <c r="J134" t="s">
        <v>21</v>
      </c>
      <c r="K134">
        <v>36859</v>
      </c>
      <c r="L134" t="s">
        <v>29</v>
      </c>
      <c r="M134">
        <v>0.19</v>
      </c>
      <c r="N134">
        <v>0.8</v>
      </c>
      <c r="O134">
        <v>15842.28</v>
      </c>
      <c r="P134">
        <v>0</v>
      </c>
      <c r="Q134">
        <f ca="1">DATEDIF(banking_loan_data[[#This Row],[Issue Date]],TODAY(),"M")</f>
        <v>41</v>
      </c>
      <c r="R134">
        <f t="shared" si="12"/>
        <v>3315.8250000000003</v>
      </c>
      <c r="S134">
        <f>+banking_loan_data[[#This Row],[Loan Amount]]+banking_loan_data[[#This Row],[Interest earned]]</f>
        <v>18052.825000000001</v>
      </c>
      <c r="T134" s="2">
        <f t="shared" si="13"/>
        <v>1105.2800000000007</v>
      </c>
      <c r="U134" s="2">
        <f t="shared" si="14"/>
        <v>0</v>
      </c>
      <c r="V134" s="2" t="str">
        <f>IF(banking_loan_data[[#This Row],[Loan Status]]="FULLY PAID","GOOD",IF(banking_loan_data[[#This Row],[Loan Status]]="CURRENT","ACTIVE","BAD"))</f>
        <v>GOOD</v>
      </c>
      <c r="W13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34" s="3">
        <f t="shared" si="15"/>
        <v>9210.6252363567237</v>
      </c>
      <c r="Y134" s="4">
        <f t="shared" si="16"/>
        <v>7.5000339282079165E-2</v>
      </c>
      <c r="Z134" s="2" t="str">
        <f t="shared" si="17"/>
        <v>Normal</v>
      </c>
    </row>
    <row r="135" spans="1:26" x14ac:dyDescent="0.3">
      <c r="A135" t="s">
        <v>311</v>
      </c>
      <c r="B135" s="1">
        <v>45169</v>
      </c>
      <c r="C135" t="s">
        <v>312</v>
      </c>
      <c r="D135" t="s">
        <v>56</v>
      </c>
      <c r="E135">
        <v>10323</v>
      </c>
      <c r="F135">
        <v>12.7</v>
      </c>
      <c r="G135">
        <v>60</v>
      </c>
      <c r="H135" t="s">
        <v>26</v>
      </c>
      <c r="I135" t="s">
        <v>20</v>
      </c>
      <c r="J135" t="s">
        <v>28</v>
      </c>
      <c r="K135">
        <v>71609</v>
      </c>
      <c r="L135" t="s">
        <v>33</v>
      </c>
      <c r="M135">
        <v>0.27</v>
      </c>
      <c r="N135">
        <v>0.6</v>
      </c>
      <c r="O135">
        <v>3378.2</v>
      </c>
      <c r="P135">
        <v>0</v>
      </c>
      <c r="Q135">
        <f ca="1">DATEDIF(banking_loan_data[[#This Row],[Issue Date]],TODAY(),"M")</f>
        <v>30</v>
      </c>
      <c r="R135">
        <f t="shared" si="12"/>
        <v>6555.1049999999996</v>
      </c>
      <c r="S135">
        <f>+banking_loan_data[[#This Row],[Loan Amount]]+banking_loan_data[[#This Row],[Interest earned]]</f>
        <v>16878.105</v>
      </c>
      <c r="T135" s="2">
        <f t="shared" si="13"/>
        <v>-6944.8</v>
      </c>
      <c r="U135" s="2">
        <f t="shared" si="14"/>
        <v>0</v>
      </c>
      <c r="V135" s="2" t="str">
        <f>IF(banking_loan_data[[#This Row],[Loan Status]]="FULLY PAID","GOOD",IF(banking_loan_data[[#This Row],[Loan Status]]="CURRENT","ACTIVE","BAD"))</f>
        <v>ACTIVE</v>
      </c>
      <c r="W13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35" s="3">
        <f t="shared" si="15"/>
        <v>10925.174999999999</v>
      </c>
      <c r="Y135" s="4">
        <f t="shared" si="16"/>
        <v>-0.67275016952436306</v>
      </c>
      <c r="Z135" s="2" t="str">
        <f t="shared" si="17"/>
        <v>Normal</v>
      </c>
    </row>
    <row r="136" spans="1:26" x14ac:dyDescent="0.3">
      <c r="A136" t="s">
        <v>313</v>
      </c>
      <c r="B136" s="1">
        <v>44906</v>
      </c>
      <c r="C136" t="s">
        <v>314</v>
      </c>
      <c r="D136" t="s">
        <v>40</v>
      </c>
      <c r="E136">
        <v>16229</v>
      </c>
      <c r="F136">
        <v>17.899999999999999</v>
      </c>
      <c r="G136">
        <v>36</v>
      </c>
      <c r="H136" t="s">
        <v>315</v>
      </c>
      <c r="I136" t="s">
        <v>36</v>
      </c>
      <c r="J136" t="s">
        <v>28</v>
      </c>
      <c r="K136">
        <v>73307</v>
      </c>
      <c r="L136" t="s">
        <v>22</v>
      </c>
      <c r="M136">
        <v>0.1</v>
      </c>
      <c r="N136">
        <v>0.55000000000000004</v>
      </c>
      <c r="O136">
        <v>0</v>
      </c>
      <c r="P136">
        <v>0</v>
      </c>
      <c r="Q136">
        <f ca="1">DATEDIF(banking_loan_data[[#This Row],[Issue Date]],TODAY(),"M")</f>
        <v>39</v>
      </c>
      <c r="R136">
        <f t="shared" si="12"/>
        <v>8714.973</v>
      </c>
      <c r="S136">
        <f>+banking_loan_data[[#This Row],[Loan Amount]]+banking_loan_data[[#This Row],[Interest earned]]</f>
        <v>24943.972999999998</v>
      </c>
      <c r="T136" s="2">
        <f t="shared" si="13"/>
        <v>-16229</v>
      </c>
      <c r="U136" s="2">
        <f t="shared" si="14"/>
        <v>0</v>
      </c>
      <c r="V136" s="2" t="str">
        <f>IF(banking_loan_data[[#This Row],[Loan Status]]="FULLY PAID","GOOD",IF(banking_loan_data[[#This Row],[Loan Status]]="CURRENT","ACTIVE","BAD"))</f>
        <v>BAD</v>
      </c>
      <c r="W13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36" s="3">
        <f t="shared" si="15"/>
        <v>24208.258333333459</v>
      </c>
      <c r="Y136" s="4">
        <f t="shared" si="16"/>
        <v>-1</v>
      </c>
      <c r="Z136" s="2" t="str">
        <f t="shared" si="17"/>
        <v>Normal</v>
      </c>
    </row>
    <row r="137" spans="1:26" x14ac:dyDescent="0.3">
      <c r="A137" t="s">
        <v>316</v>
      </c>
      <c r="B137" s="1">
        <v>44845</v>
      </c>
      <c r="C137" t="s">
        <v>317</v>
      </c>
      <c r="D137" t="s">
        <v>50</v>
      </c>
      <c r="E137">
        <v>9502</v>
      </c>
      <c r="F137">
        <v>20.6</v>
      </c>
      <c r="G137">
        <v>60</v>
      </c>
      <c r="H137" t="s">
        <v>26</v>
      </c>
      <c r="I137" t="s">
        <v>20</v>
      </c>
      <c r="J137" t="s">
        <v>37</v>
      </c>
      <c r="K137">
        <v>140986</v>
      </c>
      <c r="L137" t="s">
        <v>33</v>
      </c>
      <c r="M137">
        <v>0.44</v>
      </c>
      <c r="N137">
        <v>0.77</v>
      </c>
      <c r="O137">
        <v>2503.27</v>
      </c>
      <c r="P137">
        <v>0</v>
      </c>
      <c r="Q137">
        <f ca="1">DATEDIF(banking_loan_data[[#This Row],[Issue Date]],TODAY(),"M")</f>
        <v>41</v>
      </c>
      <c r="R137">
        <f t="shared" si="12"/>
        <v>9787.06</v>
      </c>
      <c r="S137">
        <f>+banking_loan_data[[#This Row],[Loan Amount]]+banking_loan_data[[#This Row],[Interest earned]]</f>
        <v>19289.059999999998</v>
      </c>
      <c r="T137" s="2">
        <f t="shared" si="13"/>
        <v>-6998.73</v>
      </c>
      <c r="U137" s="2">
        <f t="shared" si="14"/>
        <v>0</v>
      </c>
      <c r="V137" s="2" t="str">
        <f>IF(banking_loan_data[[#This Row],[Loan Status]]="FULLY PAID","GOOD",IF(banking_loan_data[[#This Row],[Loan Status]]="CURRENT","ACTIVE","BAD"))</f>
        <v>ACTIVE</v>
      </c>
      <c r="W13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37" s="3">
        <f t="shared" si="15"/>
        <v>16311.766666666668</v>
      </c>
      <c r="Y137" s="4">
        <f t="shared" si="16"/>
        <v>-0.73655335718796033</v>
      </c>
      <c r="Z137" s="2" t="str">
        <f t="shared" si="17"/>
        <v>High Risk</v>
      </c>
    </row>
    <row r="138" spans="1:26" x14ac:dyDescent="0.3">
      <c r="A138" t="s">
        <v>318</v>
      </c>
      <c r="B138" s="1">
        <v>44514</v>
      </c>
      <c r="C138" t="s">
        <v>319</v>
      </c>
      <c r="D138" t="s">
        <v>72</v>
      </c>
      <c r="E138">
        <v>1545</v>
      </c>
      <c r="F138">
        <v>9.3000000000000007</v>
      </c>
      <c r="G138">
        <v>36</v>
      </c>
      <c r="H138" t="s">
        <v>19</v>
      </c>
      <c r="I138" t="s">
        <v>57</v>
      </c>
      <c r="J138" t="s">
        <v>32</v>
      </c>
      <c r="K138">
        <v>131582</v>
      </c>
      <c r="L138" t="s">
        <v>22</v>
      </c>
      <c r="M138">
        <v>0.39</v>
      </c>
      <c r="N138">
        <v>0.72</v>
      </c>
      <c r="O138">
        <v>1688.68</v>
      </c>
      <c r="P138">
        <v>0</v>
      </c>
      <c r="Q138">
        <f ca="1">DATEDIF(banking_loan_data[[#This Row],[Issue Date]],TODAY(),"M")</f>
        <v>52</v>
      </c>
      <c r="R138">
        <f t="shared" si="12"/>
        <v>431.05500000000006</v>
      </c>
      <c r="S138">
        <f>+banking_loan_data[[#This Row],[Loan Amount]]+banking_loan_data[[#This Row],[Interest earned]]</f>
        <v>1976.0550000000001</v>
      </c>
      <c r="T138" s="2">
        <f t="shared" si="13"/>
        <v>143.68000000000006</v>
      </c>
      <c r="U138" s="2">
        <f t="shared" si="14"/>
        <v>0</v>
      </c>
      <c r="V138" s="2" t="str">
        <f>IF(banking_loan_data[[#This Row],[Loan Status]]="FULLY PAID","GOOD",IF(banking_loan_data[[#This Row],[Loan Status]]="CURRENT","ACTIVE","BAD"))</f>
        <v>GOOD</v>
      </c>
      <c r="W13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38" s="3">
        <f t="shared" si="15"/>
        <v>1197.3750012796445</v>
      </c>
      <c r="Y138" s="4">
        <f t="shared" si="16"/>
        <v>9.299676375404535E-2</v>
      </c>
      <c r="Z138" s="2" t="str">
        <f t="shared" si="17"/>
        <v>Normal</v>
      </c>
    </row>
    <row r="139" spans="1:26" x14ac:dyDescent="0.3">
      <c r="A139" t="s">
        <v>320</v>
      </c>
      <c r="B139" s="1">
        <v>44880</v>
      </c>
      <c r="C139" t="s">
        <v>321</v>
      </c>
      <c r="D139" t="s">
        <v>56</v>
      </c>
      <c r="E139">
        <v>38114</v>
      </c>
      <c r="F139">
        <v>7.8</v>
      </c>
      <c r="G139">
        <v>36</v>
      </c>
      <c r="H139" t="s">
        <v>19</v>
      </c>
      <c r="I139" t="s">
        <v>84</v>
      </c>
      <c r="J139" t="s">
        <v>28</v>
      </c>
      <c r="K139">
        <v>51839</v>
      </c>
      <c r="L139" t="s">
        <v>33</v>
      </c>
      <c r="M139">
        <v>0.48</v>
      </c>
      <c r="N139">
        <v>0.51</v>
      </c>
      <c r="O139">
        <v>41086.89</v>
      </c>
      <c r="P139">
        <v>0</v>
      </c>
      <c r="Q139">
        <f ca="1">DATEDIF(banking_loan_data[[#This Row],[Issue Date]],TODAY(),"M")</f>
        <v>40</v>
      </c>
      <c r="R139">
        <f t="shared" si="12"/>
        <v>8918.6760000000013</v>
      </c>
      <c r="S139">
        <f>+banking_loan_data[[#This Row],[Loan Amount]]+banking_loan_data[[#This Row],[Interest earned]]</f>
        <v>47032.675999999999</v>
      </c>
      <c r="T139" s="2">
        <f t="shared" si="13"/>
        <v>2972.8899999999994</v>
      </c>
      <c r="U139" s="2">
        <f t="shared" si="14"/>
        <v>0</v>
      </c>
      <c r="V139" s="2" t="str">
        <f>IF(banking_loan_data[[#This Row],[Loan Status]]="FULLY PAID","GOOD",IF(banking_loan_data[[#This Row],[Loan Status]]="CURRENT","ACTIVE","BAD"))</f>
        <v>GOOD</v>
      </c>
      <c r="W13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39" s="3">
        <f t="shared" si="15"/>
        <v>24774.100366923816</v>
      </c>
      <c r="Y139" s="4">
        <f t="shared" si="16"/>
        <v>7.7999947525843508E-2</v>
      </c>
      <c r="Z139" s="2" t="str">
        <f t="shared" si="17"/>
        <v>High Risk</v>
      </c>
    </row>
    <row r="140" spans="1:26" x14ac:dyDescent="0.3">
      <c r="A140" t="s">
        <v>322</v>
      </c>
      <c r="B140" s="1">
        <v>44860</v>
      </c>
      <c r="C140" t="s">
        <v>323</v>
      </c>
      <c r="D140" t="s">
        <v>65</v>
      </c>
      <c r="E140">
        <v>30430</v>
      </c>
      <c r="F140">
        <v>18.3</v>
      </c>
      <c r="G140">
        <v>60</v>
      </c>
      <c r="H140" t="s">
        <v>26</v>
      </c>
      <c r="I140" t="s">
        <v>36</v>
      </c>
      <c r="J140" t="s">
        <v>32</v>
      </c>
      <c r="K140">
        <v>57216</v>
      </c>
      <c r="L140" t="s">
        <v>22</v>
      </c>
      <c r="M140">
        <v>0.41</v>
      </c>
      <c r="N140">
        <v>0.67</v>
      </c>
      <c r="O140">
        <v>6884.79</v>
      </c>
      <c r="P140">
        <v>0</v>
      </c>
      <c r="Q140">
        <f ca="1">DATEDIF(banking_loan_data[[#This Row],[Issue Date]],TODAY(),"M")</f>
        <v>40</v>
      </c>
      <c r="R140">
        <f t="shared" si="12"/>
        <v>27843.449999999997</v>
      </c>
      <c r="S140">
        <f>+banking_loan_data[[#This Row],[Loan Amount]]+banking_loan_data[[#This Row],[Interest earned]]</f>
        <v>58273.45</v>
      </c>
      <c r="T140" s="2">
        <f t="shared" si="13"/>
        <v>-23545.21</v>
      </c>
      <c r="U140" s="2">
        <f t="shared" si="14"/>
        <v>0</v>
      </c>
      <c r="V140" s="2" t="str">
        <f>IF(banking_loan_data[[#This Row],[Loan Status]]="FULLY PAID","GOOD",IF(banking_loan_data[[#This Row],[Loan Status]]="CURRENT","ACTIVE","BAD"))</f>
        <v>ACTIVE</v>
      </c>
      <c r="W14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40" s="3">
        <f t="shared" si="15"/>
        <v>46405.750000000007</v>
      </c>
      <c r="Y140" s="4">
        <f t="shared" si="16"/>
        <v>-0.77374991784423264</v>
      </c>
      <c r="Z140" s="2" t="str">
        <f t="shared" si="17"/>
        <v>High Risk</v>
      </c>
    </row>
    <row r="141" spans="1:26" x14ac:dyDescent="0.3">
      <c r="A141" t="s">
        <v>324</v>
      </c>
      <c r="B141" s="1">
        <v>44638</v>
      </c>
      <c r="C141" t="s">
        <v>325</v>
      </c>
      <c r="D141" t="s">
        <v>76</v>
      </c>
      <c r="E141">
        <v>10996</v>
      </c>
      <c r="F141">
        <v>5</v>
      </c>
      <c r="G141">
        <v>60</v>
      </c>
      <c r="H141" t="s">
        <v>19</v>
      </c>
      <c r="I141" t="s">
        <v>73</v>
      </c>
      <c r="J141" t="s">
        <v>47</v>
      </c>
      <c r="K141">
        <v>82953</v>
      </c>
      <c r="L141" t="s">
        <v>22</v>
      </c>
      <c r="M141">
        <v>0.23</v>
      </c>
      <c r="N141">
        <v>0.55000000000000004</v>
      </c>
      <c r="O141">
        <v>11545.8</v>
      </c>
      <c r="P141">
        <v>0</v>
      </c>
      <c r="Q141">
        <f ca="1">DATEDIF(banking_loan_data[[#This Row],[Issue Date]],TODAY(),"M")</f>
        <v>48</v>
      </c>
      <c r="R141">
        <f t="shared" si="12"/>
        <v>2749</v>
      </c>
      <c r="S141">
        <f>+banking_loan_data[[#This Row],[Loan Amount]]+banking_loan_data[[#This Row],[Interest earned]]</f>
        <v>13745</v>
      </c>
      <c r="T141" s="2">
        <f t="shared" si="13"/>
        <v>549.79999999999927</v>
      </c>
      <c r="U141" s="2">
        <f t="shared" si="14"/>
        <v>0</v>
      </c>
      <c r="V141" s="2" t="str">
        <f>IF(banking_loan_data[[#This Row],[Loan Status]]="FULLY PAID","GOOD",IF(banking_loan_data[[#This Row],[Loan Status]]="CURRENT","ACTIVE","BAD"))</f>
        <v>GOOD</v>
      </c>
      <c r="W14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41" s="3">
        <f t="shared" si="15"/>
        <v>4581.666670512257</v>
      </c>
      <c r="Y141" s="4">
        <f t="shared" si="16"/>
        <v>4.9999999999999933E-2</v>
      </c>
      <c r="Z141" s="2" t="str">
        <f t="shared" si="17"/>
        <v>Normal</v>
      </c>
    </row>
    <row r="142" spans="1:26" x14ac:dyDescent="0.3">
      <c r="A142" t="s">
        <v>326</v>
      </c>
      <c r="B142" s="1">
        <v>44760</v>
      </c>
      <c r="C142" t="s">
        <v>327</v>
      </c>
      <c r="D142" t="s">
        <v>50</v>
      </c>
      <c r="E142">
        <v>28788</v>
      </c>
      <c r="F142">
        <v>8.6</v>
      </c>
      <c r="G142">
        <v>36</v>
      </c>
      <c r="H142" t="s">
        <v>60</v>
      </c>
      <c r="I142" t="s">
        <v>73</v>
      </c>
      <c r="J142" t="s">
        <v>21</v>
      </c>
      <c r="K142">
        <v>114481</v>
      </c>
      <c r="L142" t="s">
        <v>22</v>
      </c>
      <c r="M142">
        <v>0.2</v>
      </c>
      <c r="N142">
        <v>0.74</v>
      </c>
      <c r="O142">
        <v>0</v>
      </c>
      <c r="P142">
        <v>0</v>
      </c>
      <c r="Q142">
        <f ca="1">DATEDIF(banking_loan_data[[#This Row],[Issue Date]],TODAY(),"M")</f>
        <v>44</v>
      </c>
      <c r="R142">
        <f t="shared" si="12"/>
        <v>7427.3040000000001</v>
      </c>
      <c r="S142">
        <f>+banking_loan_data[[#This Row],[Loan Amount]]+banking_loan_data[[#This Row],[Interest earned]]</f>
        <v>36215.304000000004</v>
      </c>
      <c r="T142" s="2">
        <f t="shared" si="13"/>
        <v>-28788</v>
      </c>
      <c r="U142" s="2">
        <f t="shared" si="14"/>
        <v>0</v>
      </c>
      <c r="V142" s="2" t="str">
        <f>IF(banking_loan_data[[#This Row],[Loan Status]]="FULLY PAID","GOOD",IF(banking_loan_data[[#This Row],[Loan Status]]="CURRENT","ACTIVE","BAD"))</f>
        <v>BAD</v>
      </c>
      <c r="W14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42" s="3">
        <f t="shared" si="15"/>
        <v>20631.400073423254</v>
      </c>
      <c r="Y142" s="4">
        <f t="shared" si="16"/>
        <v>-1</v>
      </c>
      <c r="Z142" s="2" t="str">
        <f t="shared" si="17"/>
        <v>Normal</v>
      </c>
    </row>
    <row r="143" spans="1:26" x14ac:dyDescent="0.3">
      <c r="A143" t="s">
        <v>328</v>
      </c>
      <c r="B143" s="1">
        <v>45148</v>
      </c>
      <c r="C143" t="s">
        <v>329</v>
      </c>
      <c r="D143" t="s">
        <v>76</v>
      </c>
      <c r="E143">
        <v>30969</v>
      </c>
      <c r="F143">
        <v>5.6</v>
      </c>
      <c r="G143">
        <v>60</v>
      </c>
      <c r="H143" t="s">
        <v>19</v>
      </c>
      <c r="I143" t="s">
        <v>27</v>
      </c>
      <c r="J143" t="s">
        <v>37</v>
      </c>
      <c r="K143">
        <v>90593</v>
      </c>
      <c r="L143" t="s">
        <v>33</v>
      </c>
      <c r="M143">
        <v>0.38</v>
      </c>
      <c r="N143">
        <v>0.68</v>
      </c>
      <c r="O143">
        <v>32703.26</v>
      </c>
      <c r="P143">
        <v>0</v>
      </c>
      <c r="Q143">
        <f ca="1">DATEDIF(banking_loan_data[[#This Row],[Issue Date]],TODAY(),"M")</f>
        <v>31</v>
      </c>
      <c r="R143">
        <f t="shared" si="12"/>
        <v>8671.32</v>
      </c>
      <c r="S143">
        <f>+banking_loan_data[[#This Row],[Loan Amount]]+banking_loan_data[[#This Row],[Interest earned]]</f>
        <v>39640.32</v>
      </c>
      <c r="T143" s="2">
        <f t="shared" si="13"/>
        <v>1734.2599999999984</v>
      </c>
      <c r="U143" s="2">
        <f t="shared" si="14"/>
        <v>0</v>
      </c>
      <c r="V143" s="2" t="str">
        <f>IF(banking_loan_data[[#This Row],[Loan Status]]="FULLY PAID","GOOD",IF(banking_loan_data[[#This Row],[Loan Status]]="CURRENT","ACTIVE","BAD"))</f>
        <v>GOOD</v>
      </c>
      <c r="W14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43" s="3">
        <f t="shared" si="15"/>
        <v>14452.200001513729</v>
      </c>
      <c r="Y143" s="4">
        <f t="shared" si="16"/>
        <v>5.5999870838580462E-2</v>
      </c>
      <c r="Z143" s="2" t="str">
        <f t="shared" si="17"/>
        <v>Normal</v>
      </c>
    </row>
    <row r="144" spans="1:26" x14ac:dyDescent="0.3">
      <c r="A144" t="s">
        <v>330</v>
      </c>
      <c r="B144" s="1">
        <v>44895</v>
      </c>
      <c r="C144" t="s">
        <v>331</v>
      </c>
      <c r="D144" t="s">
        <v>56</v>
      </c>
      <c r="E144">
        <v>14919</v>
      </c>
      <c r="F144">
        <v>8.3000000000000007</v>
      </c>
      <c r="G144">
        <v>36</v>
      </c>
      <c r="H144" t="s">
        <v>19</v>
      </c>
      <c r="I144" t="s">
        <v>41</v>
      </c>
      <c r="J144" t="s">
        <v>21</v>
      </c>
      <c r="K144">
        <v>102075</v>
      </c>
      <c r="L144" t="s">
        <v>29</v>
      </c>
      <c r="M144">
        <v>0.25</v>
      </c>
      <c r="N144">
        <v>0.78</v>
      </c>
      <c r="O144">
        <v>16157.28</v>
      </c>
      <c r="P144">
        <v>0</v>
      </c>
      <c r="Q144">
        <f ca="1">DATEDIF(banking_loan_data[[#This Row],[Issue Date]],TODAY(),"M")</f>
        <v>39</v>
      </c>
      <c r="R144">
        <f t="shared" si="12"/>
        <v>3714.8310000000001</v>
      </c>
      <c r="S144">
        <f>+banking_loan_data[[#This Row],[Loan Amount]]+banking_loan_data[[#This Row],[Interest earned]]</f>
        <v>18633.830999999998</v>
      </c>
      <c r="T144" s="2">
        <f t="shared" si="13"/>
        <v>1238.2800000000007</v>
      </c>
      <c r="U144" s="2">
        <f t="shared" si="14"/>
        <v>0</v>
      </c>
      <c r="V144" s="2" t="str">
        <f>IF(banking_loan_data[[#This Row],[Loan Status]]="FULLY PAID","GOOD",IF(banking_loan_data[[#This Row],[Loan Status]]="CURRENT","ACTIVE","BAD"))</f>
        <v>GOOD</v>
      </c>
      <c r="W14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44" s="3">
        <f t="shared" si="15"/>
        <v>10318.975062273612</v>
      </c>
      <c r="Y144" s="4">
        <f t="shared" si="16"/>
        <v>8.3000201085863715E-2</v>
      </c>
      <c r="Z144" s="2" t="str">
        <f t="shared" si="17"/>
        <v>Normal</v>
      </c>
    </row>
    <row r="145" spans="1:26" x14ac:dyDescent="0.3">
      <c r="A145" t="s">
        <v>332</v>
      </c>
      <c r="B145" s="1">
        <v>44309</v>
      </c>
      <c r="C145" t="s">
        <v>333</v>
      </c>
      <c r="D145" t="s">
        <v>53</v>
      </c>
      <c r="E145">
        <v>4810</v>
      </c>
      <c r="F145">
        <v>8.6</v>
      </c>
      <c r="G145">
        <v>60</v>
      </c>
      <c r="H145" t="s">
        <v>81</v>
      </c>
      <c r="I145" t="s">
        <v>73</v>
      </c>
      <c r="J145" t="s">
        <v>37</v>
      </c>
      <c r="K145">
        <v>79522</v>
      </c>
      <c r="L145" t="s">
        <v>33</v>
      </c>
      <c r="M145">
        <v>0.33</v>
      </c>
      <c r="N145">
        <v>0.86</v>
      </c>
      <c r="O145">
        <v>1802.03</v>
      </c>
      <c r="P145">
        <v>798.06</v>
      </c>
      <c r="Q145">
        <f ca="1">DATEDIF(banking_loan_data[[#This Row],[Issue Date]],TODAY(),"M")</f>
        <v>58</v>
      </c>
      <c r="R145">
        <f t="shared" si="12"/>
        <v>2068.3000000000002</v>
      </c>
      <c r="S145">
        <f>+banking_loan_data[[#This Row],[Loan Amount]]+banking_loan_data[[#This Row],[Interest earned]]</f>
        <v>6878.3</v>
      </c>
      <c r="T145" s="2">
        <f t="shared" si="13"/>
        <v>-2209.91</v>
      </c>
      <c r="U145" s="2">
        <f t="shared" si="14"/>
        <v>1</v>
      </c>
      <c r="V145" s="2" t="str">
        <f>IF(banking_loan_data[[#This Row],[Loan Status]]="FULLY PAID","GOOD",IF(banking_loan_data[[#This Row],[Loan Status]]="CURRENT","ACTIVE","BAD"))</f>
        <v>BAD</v>
      </c>
      <c r="W14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45" s="3">
        <f t="shared" si="15"/>
        <v>3447.1666666666952</v>
      </c>
      <c r="Y145" s="4">
        <f t="shared" si="16"/>
        <v>-0.45944074844074839</v>
      </c>
      <c r="Z145" s="2" t="str">
        <f t="shared" si="17"/>
        <v>High Risk</v>
      </c>
    </row>
    <row r="146" spans="1:26" x14ac:dyDescent="0.3">
      <c r="A146" t="s">
        <v>334</v>
      </c>
      <c r="B146" s="1">
        <v>44198</v>
      </c>
      <c r="C146" t="s">
        <v>335</v>
      </c>
      <c r="D146" t="s">
        <v>40</v>
      </c>
      <c r="E146">
        <v>31586</v>
      </c>
      <c r="F146">
        <v>12.8</v>
      </c>
      <c r="G146">
        <v>60</v>
      </c>
      <c r="H146" t="s">
        <v>19</v>
      </c>
      <c r="I146" t="s">
        <v>73</v>
      </c>
      <c r="J146" t="s">
        <v>47</v>
      </c>
      <c r="K146">
        <v>129161</v>
      </c>
      <c r="L146" t="s">
        <v>33</v>
      </c>
      <c r="M146">
        <v>0.1</v>
      </c>
      <c r="N146">
        <v>0.63</v>
      </c>
      <c r="O146">
        <v>35629.01</v>
      </c>
      <c r="P146">
        <v>0</v>
      </c>
      <c r="Q146">
        <f ca="1">DATEDIF(banking_loan_data[[#This Row],[Issue Date]],TODAY(),"M")</f>
        <v>62</v>
      </c>
      <c r="R146">
        <f t="shared" si="12"/>
        <v>20215.04</v>
      </c>
      <c r="S146">
        <f>+banking_loan_data[[#This Row],[Loan Amount]]+banking_loan_data[[#This Row],[Interest earned]]</f>
        <v>51801.04</v>
      </c>
      <c r="T146" s="2">
        <f t="shared" si="13"/>
        <v>4043.010000000002</v>
      </c>
      <c r="U146" s="2">
        <f t="shared" si="14"/>
        <v>0</v>
      </c>
      <c r="V146" s="2" t="str">
        <f>IF(banking_loan_data[[#This Row],[Loan Status]]="FULLY PAID","GOOD",IF(banking_loan_data[[#This Row],[Loan Status]]="CURRENT","ACTIVE","BAD"))</f>
        <v>GOOD</v>
      </c>
      <c r="W14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46" s="3">
        <f t="shared" si="15"/>
        <v>33691.73333333333</v>
      </c>
      <c r="Y146" s="4">
        <f t="shared" si="16"/>
        <v>0.12800006331919211</v>
      </c>
      <c r="Z146" s="2" t="str">
        <f t="shared" si="17"/>
        <v>Normal</v>
      </c>
    </row>
    <row r="147" spans="1:26" x14ac:dyDescent="0.3">
      <c r="A147" t="s">
        <v>336</v>
      </c>
      <c r="B147" s="1">
        <v>44838</v>
      </c>
      <c r="C147" t="s">
        <v>337</v>
      </c>
      <c r="D147" t="s">
        <v>25</v>
      </c>
      <c r="E147">
        <v>17371</v>
      </c>
      <c r="F147">
        <v>13</v>
      </c>
      <c r="G147">
        <v>36</v>
      </c>
      <c r="H147" t="s">
        <v>19</v>
      </c>
      <c r="I147" t="s">
        <v>20</v>
      </c>
      <c r="J147" t="s">
        <v>21</v>
      </c>
      <c r="K147">
        <v>34886</v>
      </c>
      <c r="L147" t="s">
        <v>22</v>
      </c>
      <c r="M147">
        <v>0.12</v>
      </c>
      <c r="N147">
        <v>0.93</v>
      </c>
      <c r="O147">
        <v>19629.23</v>
      </c>
      <c r="P147">
        <v>0</v>
      </c>
      <c r="Q147">
        <f ca="1">DATEDIF(banking_loan_data[[#This Row],[Issue Date]],TODAY(),"M")</f>
        <v>41</v>
      </c>
      <c r="R147">
        <f t="shared" si="12"/>
        <v>6774.69</v>
      </c>
      <c r="S147">
        <f>+banking_loan_data[[#This Row],[Loan Amount]]+banking_loan_data[[#This Row],[Interest earned]]</f>
        <v>24145.69</v>
      </c>
      <c r="T147" s="2">
        <f t="shared" si="13"/>
        <v>2258.2299999999996</v>
      </c>
      <c r="U147" s="2">
        <f t="shared" si="14"/>
        <v>0</v>
      </c>
      <c r="V147" s="2" t="str">
        <f>IF(banking_loan_data[[#This Row],[Loan Status]]="FULLY PAID","GOOD",IF(banking_loan_data[[#This Row],[Loan Status]]="CURRENT","ACTIVE","BAD"))</f>
        <v>GOOD</v>
      </c>
      <c r="W14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47" s="3">
        <f t="shared" si="15"/>
        <v>18818.583333396324</v>
      </c>
      <c r="Y147" s="4">
        <f t="shared" si="16"/>
        <v>0.12999999999999998</v>
      </c>
      <c r="Z147" s="2" t="str">
        <f t="shared" si="17"/>
        <v>High Risk</v>
      </c>
    </row>
    <row r="148" spans="1:26" x14ac:dyDescent="0.3">
      <c r="A148" t="s">
        <v>338</v>
      </c>
      <c r="B148" s="1">
        <v>44416</v>
      </c>
      <c r="C148" t="s">
        <v>339</v>
      </c>
      <c r="D148" t="s">
        <v>72</v>
      </c>
      <c r="E148">
        <v>30629</v>
      </c>
      <c r="F148">
        <v>22.5</v>
      </c>
      <c r="G148">
        <v>60</v>
      </c>
      <c r="H148" t="s">
        <v>26</v>
      </c>
      <c r="I148" t="s">
        <v>20</v>
      </c>
      <c r="J148" t="s">
        <v>47</v>
      </c>
      <c r="K148">
        <v>141249</v>
      </c>
      <c r="L148" t="s">
        <v>22</v>
      </c>
      <c r="M148">
        <v>0.31</v>
      </c>
      <c r="N148">
        <v>0.74</v>
      </c>
      <c r="O148">
        <v>3262.78</v>
      </c>
      <c r="P148">
        <v>0</v>
      </c>
      <c r="Q148">
        <f ca="1">DATEDIF(banking_loan_data[[#This Row],[Issue Date]],TODAY(),"M")</f>
        <v>55</v>
      </c>
      <c r="R148">
        <f t="shared" si="12"/>
        <v>34457.625</v>
      </c>
      <c r="S148">
        <f>+banking_loan_data[[#This Row],[Loan Amount]]+banking_loan_data[[#This Row],[Interest earned]]</f>
        <v>65086.625</v>
      </c>
      <c r="T148" s="2">
        <f t="shared" si="13"/>
        <v>-27366.22</v>
      </c>
      <c r="U148" s="2">
        <f t="shared" si="14"/>
        <v>0</v>
      </c>
      <c r="V148" s="2" t="str">
        <f>IF(banking_loan_data[[#This Row],[Loan Status]]="FULLY PAID","GOOD",IF(banking_loan_data[[#This Row],[Loan Status]]="CURRENT","ACTIVE","BAD"))</f>
        <v>ACTIVE</v>
      </c>
      <c r="W14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48" s="3">
        <f t="shared" si="15"/>
        <v>57429.375</v>
      </c>
      <c r="Y148" s="4">
        <f t="shared" si="16"/>
        <v>-0.89347415847726019</v>
      </c>
      <c r="Z148" s="2" t="str">
        <f t="shared" si="17"/>
        <v>Normal</v>
      </c>
    </row>
    <row r="149" spans="1:26" x14ac:dyDescent="0.3">
      <c r="A149" t="s">
        <v>340</v>
      </c>
      <c r="B149" s="1">
        <v>45051</v>
      </c>
      <c r="C149" t="s">
        <v>341</v>
      </c>
      <c r="D149" t="s">
        <v>18</v>
      </c>
      <c r="E149">
        <v>9436</v>
      </c>
      <c r="F149">
        <v>15.2</v>
      </c>
      <c r="G149">
        <v>60</v>
      </c>
      <c r="H149" t="s">
        <v>26</v>
      </c>
      <c r="I149" t="s">
        <v>73</v>
      </c>
      <c r="J149" t="s">
        <v>37</v>
      </c>
      <c r="K149">
        <v>37485</v>
      </c>
      <c r="L149" t="s">
        <v>29</v>
      </c>
      <c r="M149">
        <v>0.33</v>
      </c>
      <c r="N149">
        <v>0.78</v>
      </c>
      <c r="O149">
        <v>2248.61</v>
      </c>
      <c r="P149">
        <v>0</v>
      </c>
      <c r="Q149">
        <f ca="1">DATEDIF(banking_loan_data[[#This Row],[Issue Date]],TODAY(),"M")</f>
        <v>34</v>
      </c>
      <c r="R149">
        <f t="shared" si="12"/>
        <v>7171.36</v>
      </c>
      <c r="S149">
        <f>+banking_loan_data[[#This Row],[Loan Amount]]+banking_loan_data[[#This Row],[Interest earned]]</f>
        <v>16607.36</v>
      </c>
      <c r="T149" s="2">
        <f t="shared" si="13"/>
        <v>-7187.3899999999994</v>
      </c>
      <c r="U149" s="2">
        <f t="shared" si="14"/>
        <v>0</v>
      </c>
      <c r="V149" s="2" t="str">
        <f>IF(banking_loan_data[[#This Row],[Loan Status]]="FULLY PAID","GOOD",IF(banking_loan_data[[#This Row],[Loan Status]]="CURRENT","ACTIVE","BAD"))</f>
        <v>ACTIVE</v>
      </c>
      <c r="W14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49" s="3">
        <f t="shared" si="15"/>
        <v>11952.266666666666</v>
      </c>
      <c r="Y149" s="4">
        <f t="shared" si="16"/>
        <v>-0.76169881305637976</v>
      </c>
      <c r="Z149" s="2" t="str">
        <f t="shared" si="17"/>
        <v>Normal</v>
      </c>
    </row>
    <row r="150" spans="1:26" x14ac:dyDescent="0.3">
      <c r="A150" t="s">
        <v>342</v>
      </c>
      <c r="B150" s="1">
        <v>44581</v>
      </c>
      <c r="C150" t="s">
        <v>343</v>
      </c>
      <c r="D150" t="s">
        <v>46</v>
      </c>
      <c r="E150">
        <v>13984</v>
      </c>
      <c r="F150">
        <v>19.5</v>
      </c>
      <c r="G150">
        <v>36</v>
      </c>
      <c r="H150" t="s">
        <v>19</v>
      </c>
      <c r="I150" t="s">
        <v>36</v>
      </c>
      <c r="J150" t="s">
        <v>28</v>
      </c>
      <c r="K150">
        <v>61455</v>
      </c>
      <c r="L150" t="s">
        <v>29</v>
      </c>
      <c r="M150">
        <v>0.4</v>
      </c>
      <c r="N150">
        <v>0.81</v>
      </c>
      <c r="O150">
        <v>16710.88</v>
      </c>
      <c r="P150">
        <v>0</v>
      </c>
      <c r="Q150">
        <f ca="1">DATEDIF(banking_loan_data[[#This Row],[Issue Date]],TODAY(),"M")</f>
        <v>49</v>
      </c>
      <c r="R150">
        <f t="shared" si="12"/>
        <v>8180.64</v>
      </c>
      <c r="S150">
        <f>+banking_loan_data[[#This Row],[Loan Amount]]+banking_loan_data[[#This Row],[Interest earned]]</f>
        <v>22164.639999999999</v>
      </c>
      <c r="T150" s="2">
        <f t="shared" si="13"/>
        <v>2726.880000000001</v>
      </c>
      <c r="U150" s="2">
        <f t="shared" si="14"/>
        <v>0</v>
      </c>
      <c r="V150" s="2" t="str">
        <f>IF(banking_loan_data[[#This Row],[Loan Status]]="FULLY PAID","GOOD",IF(banking_loan_data[[#This Row],[Loan Status]]="CURRENT","ACTIVE","BAD"))</f>
        <v>GOOD</v>
      </c>
      <c r="W15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50" s="3">
        <f t="shared" si="15"/>
        <v>22724.000000000018</v>
      </c>
      <c r="Y150" s="4">
        <f t="shared" si="16"/>
        <v>0.19500000000000006</v>
      </c>
      <c r="Z150" s="2" t="str">
        <f t="shared" si="17"/>
        <v>High Risk</v>
      </c>
    </row>
    <row r="151" spans="1:26" x14ac:dyDescent="0.3">
      <c r="A151" t="s">
        <v>344</v>
      </c>
      <c r="B151" s="1">
        <v>45273</v>
      </c>
      <c r="C151" t="s">
        <v>345</v>
      </c>
      <c r="D151" t="s">
        <v>40</v>
      </c>
      <c r="E151">
        <v>34039</v>
      </c>
      <c r="F151">
        <v>7.1</v>
      </c>
      <c r="G151">
        <v>60</v>
      </c>
      <c r="H151" t="s">
        <v>60</v>
      </c>
      <c r="I151" t="s">
        <v>84</v>
      </c>
      <c r="J151" t="s">
        <v>21</v>
      </c>
      <c r="K151">
        <v>141984</v>
      </c>
      <c r="L151" t="s">
        <v>22</v>
      </c>
      <c r="M151">
        <v>0.15</v>
      </c>
      <c r="N151">
        <v>0.8</v>
      </c>
      <c r="O151">
        <v>0</v>
      </c>
      <c r="P151">
        <v>0</v>
      </c>
      <c r="Q151">
        <f ca="1">DATEDIF(banking_loan_data[[#This Row],[Issue Date]],TODAY(),"M")</f>
        <v>27</v>
      </c>
      <c r="R151">
        <f t="shared" si="12"/>
        <v>12083.844999999999</v>
      </c>
      <c r="S151">
        <f>+banking_loan_data[[#This Row],[Loan Amount]]+banking_loan_data[[#This Row],[Interest earned]]</f>
        <v>46122.845000000001</v>
      </c>
      <c r="T151" s="2">
        <f t="shared" si="13"/>
        <v>-34039</v>
      </c>
      <c r="U151" s="2">
        <f t="shared" si="14"/>
        <v>0</v>
      </c>
      <c r="V151" s="2" t="str">
        <f>IF(banking_loan_data[[#This Row],[Loan Status]]="FULLY PAID","GOOD",IF(banking_loan_data[[#This Row],[Loan Status]]="CURRENT","ACTIVE","BAD"))</f>
        <v>BAD</v>
      </c>
      <c r="W15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51" s="3">
        <f t="shared" si="15"/>
        <v>20139.741666682261</v>
      </c>
      <c r="Y151" s="4">
        <f t="shared" si="16"/>
        <v>-1</v>
      </c>
      <c r="Z151" s="2" t="str">
        <f t="shared" si="17"/>
        <v>Normal</v>
      </c>
    </row>
    <row r="152" spans="1:26" x14ac:dyDescent="0.3">
      <c r="A152" t="s">
        <v>346</v>
      </c>
      <c r="B152" s="1">
        <v>44926</v>
      </c>
      <c r="C152" t="s">
        <v>347</v>
      </c>
      <c r="D152" t="s">
        <v>25</v>
      </c>
      <c r="E152">
        <v>20895</v>
      </c>
      <c r="F152">
        <v>9.5</v>
      </c>
      <c r="G152">
        <v>36</v>
      </c>
      <c r="H152" t="s">
        <v>19</v>
      </c>
      <c r="I152" t="s">
        <v>41</v>
      </c>
      <c r="J152" t="s">
        <v>47</v>
      </c>
      <c r="K152">
        <v>46767</v>
      </c>
      <c r="L152" t="s">
        <v>29</v>
      </c>
      <c r="M152">
        <v>0.31</v>
      </c>
      <c r="N152">
        <v>0.73</v>
      </c>
      <c r="O152">
        <v>22880.02</v>
      </c>
      <c r="P152">
        <v>0</v>
      </c>
      <c r="Q152">
        <f ca="1">DATEDIF(banking_loan_data[[#This Row],[Issue Date]],TODAY(),"M")</f>
        <v>38</v>
      </c>
      <c r="R152">
        <f t="shared" si="12"/>
        <v>5955.0750000000007</v>
      </c>
      <c r="S152">
        <f>+banking_loan_data[[#This Row],[Loan Amount]]+banking_loan_data[[#This Row],[Interest earned]]</f>
        <v>26850.075000000001</v>
      </c>
      <c r="T152" s="2">
        <f t="shared" si="13"/>
        <v>1985.0200000000004</v>
      </c>
      <c r="U152" s="2">
        <f t="shared" si="14"/>
        <v>0</v>
      </c>
      <c r="V152" s="2" t="str">
        <f>IF(banking_loan_data[[#This Row],[Loan Status]]="FULLY PAID","GOOD",IF(banking_loan_data[[#This Row],[Loan Status]]="CURRENT","ACTIVE","BAD"))</f>
        <v>GOOD</v>
      </c>
      <c r="W15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52" s="3">
        <f t="shared" si="15"/>
        <v>16541.875012627719</v>
      </c>
      <c r="Y152" s="4">
        <f t="shared" si="16"/>
        <v>9.4999760708303446E-2</v>
      </c>
      <c r="Z152" s="2" t="str">
        <f t="shared" si="17"/>
        <v>Normal</v>
      </c>
    </row>
    <row r="153" spans="1:26" x14ac:dyDescent="0.3">
      <c r="A153" t="s">
        <v>348</v>
      </c>
      <c r="B153" s="1">
        <v>44443</v>
      </c>
      <c r="C153" t="s">
        <v>349</v>
      </c>
      <c r="D153" t="s">
        <v>46</v>
      </c>
      <c r="E153">
        <v>19155</v>
      </c>
      <c r="F153">
        <v>19.100000000000001</v>
      </c>
      <c r="G153">
        <v>36</v>
      </c>
      <c r="H153" t="s">
        <v>26</v>
      </c>
      <c r="I153" t="s">
        <v>73</v>
      </c>
      <c r="J153" t="s">
        <v>21</v>
      </c>
      <c r="K153">
        <v>142701</v>
      </c>
      <c r="L153" t="s">
        <v>29</v>
      </c>
      <c r="M153">
        <v>0.18</v>
      </c>
      <c r="N153">
        <v>0.69</v>
      </c>
      <c r="O153">
        <v>3927.79</v>
      </c>
      <c r="P153">
        <v>0</v>
      </c>
      <c r="Q153">
        <f ca="1">DATEDIF(banking_loan_data[[#This Row],[Issue Date]],TODAY(),"M")</f>
        <v>54</v>
      </c>
      <c r="R153">
        <f t="shared" si="12"/>
        <v>10975.815000000001</v>
      </c>
      <c r="S153">
        <f>+banking_loan_data[[#This Row],[Loan Amount]]+banking_loan_data[[#This Row],[Interest earned]]</f>
        <v>30130.815000000002</v>
      </c>
      <c r="T153" s="2">
        <f t="shared" si="13"/>
        <v>-15227.21</v>
      </c>
      <c r="U153" s="2">
        <f t="shared" si="14"/>
        <v>0</v>
      </c>
      <c r="V153" s="2" t="str">
        <f>IF(banking_loan_data[[#This Row],[Loan Status]]="FULLY PAID","GOOD",IF(banking_loan_data[[#This Row],[Loan Status]]="CURRENT","ACTIVE","BAD"))</f>
        <v>ACTIVE</v>
      </c>
      <c r="W15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53" s="3">
        <f t="shared" si="15"/>
        <v>30488.375000000044</v>
      </c>
      <c r="Y153" s="4">
        <f t="shared" si="16"/>
        <v>-0.7949470112242234</v>
      </c>
      <c r="Z153" s="2" t="str">
        <f t="shared" si="17"/>
        <v>Normal</v>
      </c>
    </row>
    <row r="154" spans="1:26" x14ac:dyDescent="0.3">
      <c r="A154" t="s">
        <v>350</v>
      </c>
      <c r="B154" s="1">
        <v>45032</v>
      </c>
      <c r="C154" t="s">
        <v>351</v>
      </c>
      <c r="D154" t="s">
        <v>50</v>
      </c>
      <c r="E154">
        <v>11616</v>
      </c>
      <c r="F154">
        <v>6.1</v>
      </c>
      <c r="G154">
        <v>36</v>
      </c>
      <c r="H154" t="s">
        <v>19</v>
      </c>
      <c r="I154" t="s">
        <v>84</v>
      </c>
      <c r="J154" t="s">
        <v>21</v>
      </c>
      <c r="K154">
        <v>58453</v>
      </c>
      <c r="L154" t="s">
        <v>22</v>
      </c>
      <c r="M154">
        <v>0.14000000000000001</v>
      </c>
      <c r="N154">
        <v>0.52</v>
      </c>
      <c r="O154">
        <v>12324.58</v>
      </c>
      <c r="P154">
        <v>0</v>
      </c>
      <c r="Q154">
        <f ca="1">DATEDIF(banking_loan_data[[#This Row],[Issue Date]],TODAY(),"M")</f>
        <v>35</v>
      </c>
      <c r="R154">
        <f t="shared" si="12"/>
        <v>2125.7279999999996</v>
      </c>
      <c r="S154">
        <f>+banking_loan_data[[#This Row],[Loan Amount]]+banking_loan_data[[#This Row],[Interest earned]]</f>
        <v>13741.727999999999</v>
      </c>
      <c r="T154" s="2">
        <f t="shared" si="13"/>
        <v>708.57999999999993</v>
      </c>
      <c r="U154" s="2">
        <f t="shared" si="14"/>
        <v>0</v>
      </c>
      <c r="V154" s="2" t="str">
        <f>IF(banking_loan_data[[#This Row],[Loan Status]]="FULLY PAID","GOOD",IF(banking_loan_data[[#This Row],[Loan Status]]="CURRENT","ACTIVE","BAD"))</f>
        <v>GOOD</v>
      </c>
      <c r="W15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54" s="3">
        <f t="shared" si="15"/>
        <v>5904.802214631728</v>
      </c>
      <c r="Y154" s="4">
        <f t="shared" si="16"/>
        <v>6.1000344352617072E-2</v>
      </c>
      <c r="Z154" s="2" t="str">
        <f t="shared" si="17"/>
        <v>Normal</v>
      </c>
    </row>
    <row r="155" spans="1:26" x14ac:dyDescent="0.3">
      <c r="A155" t="s">
        <v>352</v>
      </c>
      <c r="B155" s="1">
        <v>44399</v>
      </c>
      <c r="C155" t="s">
        <v>353</v>
      </c>
      <c r="D155" t="s">
        <v>46</v>
      </c>
      <c r="E155">
        <v>38129</v>
      </c>
      <c r="F155">
        <v>14.7</v>
      </c>
      <c r="G155">
        <v>36</v>
      </c>
      <c r="H155" t="s">
        <v>26</v>
      </c>
      <c r="I155" t="s">
        <v>84</v>
      </c>
      <c r="J155" t="s">
        <v>21</v>
      </c>
      <c r="K155">
        <v>106280</v>
      </c>
      <c r="L155" t="s">
        <v>33</v>
      </c>
      <c r="M155">
        <v>0.26</v>
      </c>
      <c r="N155">
        <v>0.51</v>
      </c>
      <c r="O155">
        <v>10453.74</v>
      </c>
      <c r="P155">
        <v>0</v>
      </c>
      <c r="Q155">
        <f ca="1">DATEDIF(banking_loan_data[[#This Row],[Issue Date]],TODAY(),"M")</f>
        <v>55</v>
      </c>
      <c r="R155">
        <f t="shared" si="12"/>
        <v>16814.888999999999</v>
      </c>
      <c r="S155">
        <f>+banking_loan_data[[#This Row],[Loan Amount]]+banking_loan_data[[#This Row],[Interest earned]]</f>
        <v>54943.888999999996</v>
      </c>
      <c r="T155" s="2">
        <f t="shared" si="13"/>
        <v>-27675.260000000002</v>
      </c>
      <c r="U155" s="2">
        <f t="shared" si="14"/>
        <v>0</v>
      </c>
      <c r="V155" s="2" t="str">
        <f>IF(banking_loan_data[[#This Row],[Loan Status]]="FULLY PAID","GOOD",IF(banking_loan_data[[#This Row],[Loan Status]]="CURRENT","ACTIVE","BAD"))</f>
        <v>ACTIVE</v>
      </c>
      <c r="W15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55" s="3">
        <f t="shared" si="15"/>
        <v>46708.025000014633</v>
      </c>
      <c r="Y155" s="4">
        <f t="shared" si="16"/>
        <v>-0.72583230611870231</v>
      </c>
      <c r="Z155" s="2" t="str">
        <f t="shared" si="17"/>
        <v>Normal</v>
      </c>
    </row>
    <row r="156" spans="1:26" x14ac:dyDescent="0.3">
      <c r="A156" t="s">
        <v>354</v>
      </c>
      <c r="B156" s="1">
        <v>44319</v>
      </c>
      <c r="C156" t="s">
        <v>355</v>
      </c>
      <c r="D156" t="s">
        <v>65</v>
      </c>
      <c r="E156">
        <v>25574</v>
      </c>
      <c r="F156">
        <v>17</v>
      </c>
      <c r="G156">
        <v>36</v>
      </c>
      <c r="H156" t="s">
        <v>19</v>
      </c>
      <c r="I156" t="s">
        <v>27</v>
      </c>
      <c r="J156" t="s">
        <v>32</v>
      </c>
      <c r="K156">
        <v>132638</v>
      </c>
      <c r="L156" t="s">
        <v>29</v>
      </c>
      <c r="M156">
        <v>0.17</v>
      </c>
      <c r="N156">
        <v>0.66</v>
      </c>
      <c r="O156">
        <v>29921.58</v>
      </c>
      <c r="P156">
        <v>0</v>
      </c>
      <c r="Q156">
        <f ca="1">DATEDIF(banking_loan_data[[#This Row],[Issue Date]],TODAY(),"M")</f>
        <v>58</v>
      </c>
      <c r="R156">
        <f t="shared" si="12"/>
        <v>13042.74</v>
      </c>
      <c r="S156">
        <f>+banking_loan_data[[#This Row],[Loan Amount]]+banking_loan_data[[#This Row],[Interest earned]]</f>
        <v>38616.74</v>
      </c>
      <c r="T156" s="2">
        <f t="shared" si="13"/>
        <v>4347.5800000000017</v>
      </c>
      <c r="U156" s="2">
        <f t="shared" si="14"/>
        <v>0</v>
      </c>
      <c r="V156" s="2" t="str">
        <f>IF(banking_loan_data[[#This Row],[Loan Status]]="FULLY PAID","GOOD",IF(banking_loan_data[[#This Row],[Loan Status]]="CURRENT","ACTIVE","BAD"))</f>
        <v>GOOD</v>
      </c>
      <c r="W15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56" s="3">
        <f t="shared" si="15"/>
        <v>36229.833333333911</v>
      </c>
      <c r="Y156" s="4">
        <f t="shared" si="16"/>
        <v>0.17000000000000007</v>
      </c>
      <c r="Z156" s="2" t="str">
        <f t="shared" si="17"/>
        <v>Normal</v>
      </c>
    </row>
    <row r="157" spans="1:26" x14ac:dyDescent="0.3">
      <c r="A157" t="s">
        <v>356</v>
      </c>
      <c r="B157" s="1">
        <v>44597</v>
      </c>
      <c r="C157" t="s">
        <v>357</v>
      </c>
      <c r="D157" t="s">
        <v>40</v>
      </c>
      <c r="E157">
        <v>4430</v>
      </c>
      <c r="F157">
        <v>17</v>
      </c>
      <c r="G157">
        <v>60</v>
      </c>
      <c r="H157" t="s">
        <v>19</v>
      </c>
      <c r="I157" t="s">
        <v>57</v>
      </c>
      <c r="J157" t="s">
        <v>47</v>
      </c>
      <c r="K157">
        <v>83442</v>
      </c>
      <c r="L157" t="s">
        <v>22</v>
      </c>
      <c r="M157">
        <v>0.19</v>
      </c>
      <c r="N157">
        <v>0.65</v>
      </c>
      <c r="O157">
        <v>5183.1000000000004</v>
      </c>
      <c r="P157">
        <v>0</v>
      </c>
      <c r="Q157">
        <f ca="1">DATEDIF(banking_loan_data[[#This Row],[Issue Date]],TODAY(),"M")</f>
        <v>49</v>
      </c>
      <c r="R157">
        <f t="shared" si="12"/>
        <v>3765.5</v>
      </c>
      <c r="S157">
        <f>+banking_loan_data[[#This Row],[Loan Amount]]+banking_loan_data[[#This Row],[Interest earned]]</f>
        <v>8195.5</v>
      </c>
      <c r="T157" s="2">
        <f t="shared" si="13"/>
        <v>753.10000000000036</v>
      </c>
      <c r="U157" s="2">
        <f t="shared" si="14"/>
        <v>0</v>
      </c>
      <c r="V157" s="2" t="str">
        <f>IF(banking_loan_data[[#This Row],[Loan Status]]="FULLY PAID","GOOD",IF(banking_loan_data[[#This Row],[Loan Status]]="CURRENT","ACTIVE","BAD"))</f>
        <v>GOOD</v>
      </c>
      <c r="W15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57" s="3">
        <f t="shared" si="15"/>
        <v>6275.8333333333339</v>
      </c>
      <c r="Y157" s="4">
        <f t="shared" si="16"/>
        <v>0.1700000000000001</v>
      </c>
      <c r="Z157" s="2" t="str">
        <f t="shared" si="17"/>
        <v>Normal</v>
      </c>
    </row>
    <row r="158" spans="1:26" x14ac:dyDescent="0.3">
      <c r="A158" t="s">
        <v>358</v>
      </c>
      <c r="B158" s="1">
        <v>44963</v>
      </c>
      <c r="C158" t="s">
        <v>359</v>
      </c>
      <c r="D158" t="s">
        <v>76</v>
      </c>
      <c r="E158">
        <v>13676</v>
      </c>
      <c r="F158">
        <v>5.5</v>
      </c>
      <c r="G158">
        <v>36</v>
      </c>
      <c r="H158" t="s">
        <v>19</v>
      </c>
      <c r="I158" t="s">
        <v>73</v>
      </c>
      <c r="J158" t="s">
        <v>47</v>
      </c>
      <c r="K158">
        <v>81877</v>
      </c>
      <c r="L158" t="s">
        <v>29</v>
      </c>
      <c r="M158">
        <v>0.23</v>
      </c>
      <c r="N158">
        <v>0.67</v>
      </c>
      <c r="O158">
        <v>14428.18</v>
      </c>
      <c r="P158">
        <v>0</v>
      </c>
      <c r="Q158">
        <f ca="1">DATEDIF(banking_loan_data[[#This Row],[Issue Date]],TODAY(),"M")</f>
        <v>37</v>
      </c>
      <c r="R158">
        <f t="shared" si="12"/>
        <v>2256.54</v>
      </c>
      <c r="S158">
        <f>+banking_loan_data[[#This Row],[Loan Amount]]+banking_loan_data[[#This Row],[Interest earned]]</f>
        <v>15932.54</v>
      </c>
      <c r="T158" s="2">
        <f t="shared" si="13"/>
        <v>752.18000000000029</v>
      </c>
      <c r="U158" s="2">
        <f t="shared" si="14"/>
        <v>0</v>
      </c>
      <c r="V158" s="2" t="str">
        <f>IF(banking_loan_data[[#This Row],[Loan Status]]="FULLY PAID","GOOD",IF(banking_loan_data[[#This Row],[Loan Status]]="CURRENT","ACTIVE","BAD"))</f>
        <v>GOOD</v>
      </c>
      <c r="W15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58" s="3">
        <f t="shared" si="15"/>
        <v>6268.1745788472126</v>
      </c>
      <c r="Y158" s="4">
        <f t="shared" si="16"/>
        <v>5.5000000000000021E-2</v>
      </c>
      <c r="Z158" s="2" t="str">
        <f t="shared" si="17"/>
        <v>Normal</v>
      </c>
    </row>
    <row r="159" spans="1:26" x14ac:dyDescent="0.3">
      <c r="A159" t="s">
        <v>360</v>
      </c>
      <c r="B159" s="1">
        <v>44490</v>
      </c>
      <c r="C159" t="s">
        <v>361</v>
      </c>
      <c r="D159" t="s">
        <v>53</v>
      </c>
      <c r="E159">
        <v>11816</v>
      </c>
      <c r="F159">
        <v>11.4</v>
      </c>
      <c r="G159">
        <v>36</v>
      </c>
      <c r="H159" t="s">
        <v>26</v>
      </c>
      <c r="I159" t="s">
        <v>84</v>
      </c>
      <c r="J159" t="s">
        <v>21</v>
      </c>
      <c r="K159">
        <v>42226</v>
      </c>
      <c r="L159" t="s">
        <v>29</v>
      </c>
      <c r="M159">
        <v>0.2</v>
      </c>
      <c r="N159">
        <v>0.56000000000000005</v>
      </c>
      <c r="O159">
        <v>3024.12</v>
      </c>
      <c r="P159">
        <v>0</v>
      </c>
      <c r="Q159">
        <f ca="1">DATEDIF(banking_loan_data[[#This Row],[Issue Date]],TODAY(),"M")</f>
        <v>52</v>
      </c>
      <c r="R159">
        <f t="shared" si="12"/>
        <v>4041.0719999999997</v>
      </c>
      <c r="S159">
        <f>+banking_loan_data[[#This Row],[Loan Amount]]+banking_loan_data[[#This Row],[Interest earned]]</f>
        <v>15857.072</v>
      </c>
      <c r="T159" s="2">
        <f t="shared" si="13"/>
        <v>-8791.880000000001</v>
      </c>
      <c r="U159" s="2">
        <f t="shared" si="14"/>
        <v>0</v>
      </c>
      <c r="V159" s="2" t="str">
        <f>IF(banking_loan_data[[#This Row],[Loan Status]]="FULLY PAID","GOOD",IF(banking_loan_data[[#This Row],[Loan Status]]="CURRENT","ACTIVE","BAD"))</f>
        <v>ACTIVE</v>
      </c>
      <c r="W15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59" s="3">
        <f t="shared" si="15"/>
        <v>11225.200000406396</v>
      </c>
      <c r="Y159" s="4">
        <f t="shared" si="16"/>
        <v>-0.74406567366283016</v>
      </c>
      <c r="Z159" s="2" t="str">
        <f t="shared" si="17"/>
        <v>Normal</v>
      </c>
    </row>
    <row r="160" spans="1:26" x14ac:dyDescent="0.3">
      <c r="A160" t="s">
        <v>362</v>
      </c>
      <c r="B160" s="1">
        <v>44476</v>
      </c>
      <c r="C160" t="s">
        <v>363</v>
      </c>
      <c r="D160" t="s">
        <v>18</v>
      </c>
      <c r="E160">
        <v>33733</v>
      </c>
      <c r="F160">
        <v>17.7</v>
      </c>
      <c r="G160">
        <v>60</v>
      </c>
      <c r="H160" t="s">
        <v>19</v>
      </c>
      <c r="I160" t="s">
        <v>57</v>
      </c>
      <c r="J160" t="s">
        <v>28</v>
      </c>
      <c r="K160">
        <v>123405</v>
      </c>
      <c r="L160" t="s">
        <v>22</v>
      </c>
      <c r="M160">
        <v>0.14000000000000001</v>
      </c>
      <c r="N160">
        <v>0.83</v>
      </c>
      <c r="O160">
        <v>39703.74</v>
      </c>
      <c r="P160">
        <v>0</v>
      </c>
      <c r="Q160">
        <f ca="1">DATEDIF(banking_loan_data[[#This Row],[Issue Date]],TODAY(),"M")</f>
        <v>53</v>
      </c>
      <c r="R160">
        <f t="shared" si="12"/>
        <v>29853.705000000002</v>
      </c>
      <c r="S160">
        <f>+banking_loan_data[[#This Row],[Loan Amount]]+banking_loan_data[[#This Row],[Interest earned]]</f>
        <v>63586.705000000002</v>
      </c>
      <c r="T160" s="2">
        <f t="shared" si="13"/>
        <v>5970.739999999998</v>
      </c>
      <c r="U160" s="2">
        <f t="shared" si="14"/>
        <v>0</v>
      </c>
      <c r="V160" s="2" t="str">
        <f>IF(banking_loan_data[[#This Row],[Loan Status]]="FULLY PAID","GOOD",IF(banking_loan_data[[#This Row],[Loan Status]]="CURRENT","ACTIVE","BAD"))</f>
        <v>GOOD</v>
      </c>
      <c r="W16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60" s="3">
        <f t="shared" si="15"/>
        <v>49756.174999999996</v>
      </c>
      <c r="Y160" s="4">
        <f t="shared" si="16"/>
        <v>0.17699997035543824</v>
      </c>
      <c r="Z160" s="2" t="str">
        <f t="shared" si="17"/>
        <v>High Risk</v>
      </c>
    </row>
    <row r="161" spans="1:26" x14ac:dyDescent="0.3">
      <c r="A161" t="s">
        <v>364</v>
      </c>
      <c r="B161" s="1">
        <v>45080</v>
      </c>
      <c r="C161" t="s">
        <v>365</v>
      </c>
      <c r="D161" t="s">
        <v>76</v>
      </c>
      <c r="E161">
        <v>21144</v>
      </c>
      <c r="F161">
        <v>8</v>
      </c>
      <c r="G161">
        <v>60</v>
      </c>
      <c r="H161" t="s">
        <v>26</v>
      </c>
      <c r="I161" t="s">
        <v>36</v>
      </c>
      <c r="J161" t="s">
        <v>21</v>
      </c>
      <c r="K161">
        <v>52588</v>
      </c>
      <c r="L161" t="s">
        <v>29</v>
      </c>
      <c r="M161">
        <v>0.14000000000000001</v>
      </c>
      <c r="N161">
        <v>0.89</v>
      </c>
      <c r="O161">
        <v>5994.33</v>
      </c>
      <c r="P161">
        <v>0</v>
      </c>
      <c r="Q161">
        <f ca="1">DATEDIF(banking_loan_data[[#This Row],[Issue Date]],TODAY(),"M")</f>
        <v>33</v>
      </c>
      <c r="R161">
        <f t="shared" si="12"/>
        <v>8457.6</v>
      </c>
      <c r="S161">
        <f>+banking_loan_data[[#This Row],[Loan Amount]]+banking_loan_data[[#This Row],[Interest earned]]</f>
        <v>29601.599999999999</v>
      </c>
      <c r="T161" s="2">
        <f t="shared" si="13"/>
        <v>-15149.67</v>
      </c>
      <c r="U161" s="2">
        <f t="shared" si="14"/>
        <v>0</v>
      </c>
      <c r="V161" s="2" t="str">
        <f>IF(banking_loan_data[[#This Row],[Loan Status]]="FULLY PAID","GOOD",IF(banking_loan_data[[#This Row],[Loan Status]]="CURRENT","ACTIVE","BAD"))</f>
        <v>ACTIVE</v>
      </c>
      <c r="W16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61" s="3">
        <f t="shared" si="15"/>
        <v>14096.000000000688</v>
      </c>
      <c r="Y161" s="4">
        <f t="shared" si="16"/>
        <v>-0.71649971623155506</v>
      </c>
      <c r="Z161" s="2" t="str">
        <f t="shared" si="17"/>
        <v>High Risk</v>
      </c>
    </row>
    <row r="162" spans="1:26" x14ac:dyDescent="0.3">
      <c r="A162" t="s">
        <v>366</v>
      </c>
      <c r="B162" s="1">
        <v>44394</v>
      </c>
      <c r="C162" t="s">
        <v>367</v>
      </c>
      <c r="D162" t="s">
        <v>25</v>
      </c>
      <c r="E162">
        <v>3050</v>
      </c>
      <c r="F162">
        <v>18.899999999999999</v>
      </c>
      <c r="G162">
        <v>60</v>
      </c>
      <c r="H162" t="s">
        <v>26</v>
      </c>
      <c r="I162" t="s">
        <v>20</v>
      </c>
      <c r="J162" t="s">
        <v>32</v>
      </c>
      <c r="K162">
        <v>108976</v>
      </c>
      <c r="L162" t="s">
        <v>29</v>
      </c>
      <c r="M162">
        <v>0.18</v>
      </c>
      <c r="N162">
        <v>0.92</v>
      </c>
      <c r="O162">
        <v>344.54</v>
      </c>
      <c r="P162">
        <v>0</v>
      </c>
      <c r="Q162">
        <f ca="1">DATEDIF(banking_loan_data[[#This Row],[Issue Date]],TODAY(),"M")</f>
        <v>56</v>
      </c>
      <c r="R162">
        <f t="shared" si="12"/>
        <v>2882.2499999999995</v>
      </c>
      <c r="S162">
        <f>+banking_loan_data[[#This Row],[Loan Amount]]+banking_loan_data[[#This Row],[Interest earned]]</f>
        <v>5932.25</v>
      </c>
      <c r="T162" s="2">
        <f t="shared" si="13"/>
        <v>-2705.46</v>
      </c>
      <c r="U162" s="2">
        <f t="shared" si="14"/>
        <v>0</v>
      </c>
      <c r="V162" s="2" t="str">
        <f>IF(banking_loan_data[[#This Row],[Loan Status]]="FULLY PAID","GOOD",IF(banking_loan_data[[#This Row],[Loan Status]]="CURRENT","ACTIVE","BAD"))</f>
        <v>ACTIVE</v>
      </c>
      <c r="W16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62" s="3">
        <f t="shared" si="15"/>
        <v>4803.75</v>
      </c>
      <c r="Y162" s="4">
        <f t="shared" si="16"/>
        <v>-0.88703606557377046</v>
      </c>
      <c r="Z162" s="2" t="str">
        <f t="shared" si="17"/>
        <v>High Risk</v>
      </c>
    </row>
    <row r="163" spans="1:26" x14ac:dyDescent="0.3">
      <c r="A163" t="s">
        <v>368</v>
      </c>
      <c r="B163" s="1">
        <v>45178</v>
      </c>
      <c r="C163" t="s">
        <v>369</v>
      </c>
      <c r="D163" t="s">
        <v>40</v>
      </c>
      <c r="E163">
        <v>34933</v>
      </c>
      <c r="F163">
        <v>19.899999999999999</v>
      </c>
      <c r="G163">
        <v>36</v>
      </c>
      <c r="H163" t="s">
        <v>19</v>
      </c>
      <c r="I163" t="s">
        <v>27</v>
      </c>
      <c r="J163" t="s">
        <v>37</v>
      </c>
      <c r="K163">
        <v>61709</v>
      </c>
      <c r="L163" t="s">
        <v>29</v>
      </c>
      <c r="M163">
        <v>0.12</v>
      </c>
      <c r="N163">
        <v>0.72</v>
      </c>
      <c r="O163">
        <v>41884.67</v>
      </c>
      <c r="P163">
        <v>0</v>
      </c>
      <c r="Q163">
        <f ca="1">DATEDIF(banking_loan_data[[#This Row],[Issue Date]],TODAY(),"M")</f>
        <v>30</v>
      </c>
      <c r="R163">
        <f t="shared" si="12"/>
        <v>20855.001</v>
      </c>
      <c r="S163">
        <f>+banking_loan_data[[#This Row],[Loan Amount]]+banking_loan_data[[#This Row],[Interest earned]]</f>
        <v>55788.001000000004</v>
      </c>
      <c r="T163" s="2">
        <f t="shared" si="13"/>
        <v>6951.6699999999983</v>
      </c>
      <c r="U163" s="2">
        <f t="shared" si="14"/>
        <v>0</v>
      </c>
      <c r="V163" s="2" t="str">
        <f>IF(banking_loan_data[[#This Row],[Loan Status]]="FULLY PAID","GOOD",IF(banking_loan_data[[#This Row],[Loan Status]]="CURRENT","ACTIVE","BAD"))</f>
        <v>GOOD</v>
      </c>
      <c r="W16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63" s="3">
        <f t="shared" si="15"/>
        <v>57930.558333333363</v>
      </c>
      <c r="Y163" s="4">
        <f t="shared" si="16"/>
        <v>0.19900008587868201</v>
      </c>
      <c r="Z163" s="2" t="str">
        <f t="shared" si="17"/>
        <v>Normal</v>
      </c>
    </row>
    <row r="164" spans="1:26" x14ac:dyDescent="0.3">
      <c r="A164" t="s">
        <v>370</v>
      </c>
      <c r="B164" s="1">
        <v>44948</v>
      </c>
      <c r="C164" t="s">
        <v>371</v>
      </c>
      <c r="D164" t="s">
        <v>53</v>
      </c>
      <c r="E164">
        <v>25951</v>
      </c>
      <c r="F164">
        <v>24.6</v>
      </c>
      <c r="G164">
        <v>36</v>
      </c>
      <c r="H164" t="s">
        <v>19</v>
      </c>
      <c r="I164" t="s">
        <v>27</v>
      </c>
      <c r="J164" t="s">
        <v>32</v>
      </c>
      <c r="K164">
        <v>77788</v>
      </c>
      <c r="L164" t="s">
        <v>33</v>
      </c>
      <c r="M164">
        <v>0.35</v>
      </c>
      <c r="N164">
        <v>0.82</v>
      </c>
      <c r="O164">
        <v>32334.95</v>
      </c>
      <c r="P164">
        <v>0</v>
      </c>
      <c r="Q164">
        <f ca="1">DATEDIF(banking_loan_data[[#This Row],[Issue Date]],TODAY(),"M")</f>
        <v>37</v>
      </c>
      <c r="R164">
        <f t="shared" si="12"/>
        <v>19151.838000000003</v>
      </c>
      <c r="S164">
        <f>+banking_loan_data[[#This Row],[Loan Amount]]+banking_loan_data[[#This Row],[Interest earned]]</f>
        <v>45102.838000000003</v>
      </c>
      <c r="T164" s="2">
        <f t="shared" si="13"/>
        <v>6383.9500000000007</v>
      </c>
      <c r="U164" s="2">
        <f t="shared" si="14"/>
        <v>0</v>
      </c>
      <c r="V164" s="2" t="str">
        <f>IF(banking_loan_data[[#This Row],[Loan Status]]="FULLY PAID","GOOD",IF(banking_loan_data[[#This Row],[Loan Status]]="CURRENT","ACTIVE","BAD"))</f>
        <v>GOOD</v>
      </c>
      <c r="W16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64" s="3">
        <f t="shared" si="15"/>
        <v>53199.55000000001</v>
      </c>
      <c r="Y164" s="4">
        <f t="shared" si="16"/>
        <v>0.24600015413664217</v>
      </c>
      <c r="Z164" s="2" t="str">
        <f t="shared" si="17"/>
        <v>High Risk</v>
      </c>
    </row>
    <row r="165" spans="1:26" x14ac:dyDescent="0.3">
      <c r="A165" t="s">
        <v>372</v>
      </c>
      <c r="B165" s="1">
        <v>44340</v>
      </c>
      <c r="C165" t="s">
        <v>373</v>
      </c>
      <c r="D165" t="s">
        <v>46</v>
      </c>
      <c r="E165">
        <v>33413</v>
      </c>
      <c r="F165">
        <v>9.1999999999999993</v>
      </c>
      <c r="G165">
        <v>36</v>
      </c>
      <c r="H165" t="s">
        <v>19</v>
      </c>
      <c r="I165" t="s">
        <v>27</v>
      </c>
      <c r="J165" t="s">
        <v>28</v>
      </c>
      <c r="K165">
        <v>118031</v>
      </c>
      <c r="L165" t="s">
        <v>33</v>
      </c>
      <c r="M165">
        <v>0.21</v>
      </c>
      <c r="N165">
        <v>0.88</v>
      </c>
      <c r="O165">
        <v>36487</v>
      </c>
      <c r="P165">
        <v>0</v>
      </c>
      <c r="Q165">
        <f ca="1">DATEDIF(banking_loan_data[[#This Row],[Issue Date]],TODAY(),"M")</f>
        <v>57</v>
      </c>
      <c r="R165">
        <f t="shared" si="12"/>
        <v>9221.9879999999994</v>
      </c>
      <c r="S165">
        <f>+banking_loan_data[[#This Row],[Loan Amount]]+banking_loan_data[[#This Row],[Interest earned]]</f>
        <v>42634.987999999998</v>
      </c>
      <c r="T165" s="2">
        <f t="shared" si="13"/>
        <v>3074</v>
      </c>
      <c r="U165" s="2">
        <f t="shared" si="14"/>
        <v>0</v>
      </c>
      <c r="V165" s="2" t="str">
        <f>IF(banking_loan_data[[#This Row],[Loan Status]]="FULLY PAID","GOOD",IF(banking_loan_data[[#This Row],[Loan Status]]="CURRENT","ACTIVE","BAD"))</f>
        <v>GOOD</v>
      </c>
      <c r="W16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65" s="3">
        <f t="shared" si="15"/>
        <v>25616.633365764003</v>
      </c>
      <c r="Y165" s="4">
        <f t="shared" si="16"/>
        <v>9.2000119713883818E-2</v>
      </c>
      <c r="Z165" s="2" t="str">
        <f t="shared" si="17"/>
        <v>High Risk</v>
      </c>
    </row>
    <row r="166" spans="1:26" x14ac:dyDescent="0.3">
      <c r="A166" t="s">
        <v>374</v>
      </c>
      <c r="B166" s="1">
        <v>44805</v>
      </c>
      <c r="C166" t="s">
        <v>375</v>
      </c>
      <c r="D166" t="s">
        <v>40</v>
      </c>
      <c r="E166">
        <v>35801</v>
      </c>
      <c r="F166">
        <v>21.5</v>
      </c>
      <c r="G166">
        <v>60</v>
      </c>
      <c r="H166" t="s">
        <v>26</v>
      </c>
      <c r="I166" t="s">
        <v>57</v>
      </c>
      <c r="J166" t="s">
        <v>21</v>
      </c>
      <c r="K166">
        <v>67019</v>
      </c>
      <c r="L166" t="s">
        <v>29</v>
      </c>
      <c r="M166">
        <v>0.21</v>
      </c>
      <c r="N166">
        <v>0.69</v>
      </c>
      <c r="O166">
        <v>10056.99</v>
      </c>
      <c r="P166">
        <v>0</v>
      </c>
      <c r="Q166">
        <f ca="1">DATEDIF(banking_loan_data[[#This Row],[Issue Date]],TODAY(),"M")</f>
        <v>42</v>
      </c>
      <c r="R166">
        <f t="shared" si="12"/>
        <v>38486.075000000004</v>
      </c>
      <c r="S166">
        <f>+banking_loan_data[[#This Row],[Loan Amount]]+banking_loan_data[[#This Row],[Interest earned]]</f>
        <v>74287.075000000012</v>
      </c>
      <c r="T166" s="2">
        <f t="shared" si="13"/>
        <v>-25744.010000000002</v>
      </c>
      <c r="U166" s="2">
        <f t="shared" si="14"/>
        <v>0</v>
      </c>
      <c r="V166" s="2" t="str">
        <f>IF(banking_loan_data[[#This Row],[Loan Status]]="FULLY PAID","GOOD",IF(banking_loan_data[[#This Row],[Loan Status]]="CURRENT","ACTIVE","BAD"))</f>
        <v>ACTIVE</v>
      </c>
      <c r="W16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66" s="3">
        <f t="shared" si="15"/>
        <v>64143.458333333336</v>
      </c>
      <c r="Y166" s="4">
        <f t="shared" si="16"/>
        <v>-0.71908633837043667</v>
      </c>
      <c r="Z166" s="2" t="str">
        <f t="shared" si="17"/>
        <v>Normal</v>
      </c>
    </row>
    <row r="167" spans="1:26" x14ac:dyDescent="0.3">
      <c r="A167" t="s">
        <v>376</v>
      </c>
      <c r="B167" s="1">
        <v>44383</v>
      </c>
      <c r="C167" t="s">
        <v>377</v>
      </c>
      <c r="D167" t="s">
        <v>46</v>
      </c>
      <c r="E167">
        <v>33913</v>
      </c>
      <c r="F167">
        <v>15.4</v>
      </c>
      <c r="G167">
        <v>36</v>
      </c>
      <c r="H167" t="s">
        <v>19</v>
      </c>
      <c r="I167" t="s">
        <v>36</v>
      </c>
      <c r="J167" t="s">
        <v>47</v>
      </c>
      <c r="K167">
        <v>74948</v>
      </c>
      <c r="L167" t="s">
        <v>22</v>
      </c>
      <c r="M167">
        <v>0.23</v>
      </c>
      <c r="N167">
        <v>0.64</v>
      </c>
      <c r="O167">
        <v>39135.599999999999</v>
      </c>
      <c r="P167">
        <v>0</v>
      </c>
      <c r="Q167">
        <f ca="1">DATEDIF(banking_loan_data[[#This Row],[Issue Date]],TODAY(),"M")</f>
        <v>56</v>
      </c>
      <c r="R167">
        <f t="shared" si="12"/>
        <v>15667.805999999999</v>
      </c>
      <c r="S167">
        <f>+banking_loan_data[[#This Row],[Loan Amount]]+banking_loan_data[[#This Row],[Interest earned]]</f>
        <v>49580.805999999997</v>
      </c>
      <c r="T167" s="2">
        <f t="shared" si="13"/>
        <v>5222.5999999999985</v>
      </c>
      <c r="U167" s="2">
        <f t="shared" si="14"/>
        <v>0</v>
      </c>
      <c r="V167" s="2" t="str">
        <f>IF(banking_loan_data[[#This Row],[Loan Status]]="FULLY PAID","GOOD",IF(banking_loan_data[[#This Row],[Loan Status]]="CURRENT","ACTIVE","BAD"))</f>
        <v>GOOD</v>
      </c>
      <c r="W16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67" s="3">
        <f t="shared" si="15"/>
        <v>43521.683333338704</v>
      </c>
      <c r="Y167" s="4">
        <f t="shared" si="16"/>
        <v>0.15399994102556538</v>
      </c>
      <c r="Z167" s="2" t="str">
        <f t="shared" si="17"/>
        <v>Normal</v>
      </c>
    </row>
    <row r="168" spans="1:26" x14ac:dyDescent="0.3">
      <c r="A168" t="s">
        <v>378</v>
      </c>
      <c r="B168" s="1">
        <v>44660</v>
      </c>
      <c r="C168" t="s">
        <v>379</v>
      </c>
      <c r="D168" t="s">
        <v>50</v>
      </c>
      <c r="E168">
        <v>26280</v>
      </c>
      <c r="F168">
        <v>12.5</v>
      </c>
      <c r="G168">
        <v>60</v>
      </c>
      <c r="H168" t="s">
        <v>19</v>
      </c>
      <c r="I168" t="s">
        <v>27</v>
      </c>
      <c r="J168" t="s">
        <v>21</v>
      </c>
      <c r="K168">
        <v>95133</v>
      </c>
      <c r="L168" t="s">
        <v>29</v>
      </c>
      <c r="M168">
        <v>0.37</v>
      </c>
      <c r="N168">
        <v>0.92</v>
      </c>
      <c r="O168">
        <v>29565</v>
      </c>
      <c r="P168">
        <v>0</v>
      </c>
      <c r="Q168">
        <f ca="1">DATEDIF(banking_loan_data[[#This Row],[Issue Date]],TODAY(),"M")</f>
        <v>47</v>
      </c>
      <c r="R168">
        <f t="shared" si="12"/>
        <v>16425</v>
      </c>
      <c r="S168">
        <f>+banking_loan_data[[#This Row],[Loan Amount]]+banking_loan_data[[#This Row],[Interest earned]]</f>
        <v>42705</v>
      </c>
      <c r="T168" s="2">
        <f t="shared" si="13"/>
        <v>3285</v>
      </c>
      <c r="U168" s="2">
        <f t="shared" si="14"/>
        <v>0</v>
      </c>
      <c r="V168" s="2" t="str">
        <f>IF(banking_loan_data[[#This Row],[Loan Status]]="FULLY PAID","GOOD",IF(banking_loan_data[[#This Row],[Loan Status]]="CURRENT","ACTIVE","BAD"))</f>
        <v>GOOD</v>
      </c>
      <c r="W16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68" s="3">
        <f t="shared" si="15"/>
        <v>27375.000000000004</v>
      </c>
      <c r="Y168" s="4">
        <f t="shared" si="16"/>
        <v>0.125</v>
      </c>
      <c r="Z168" s="2" t="str">
        <f t="shared" si="17"/>
        <v>High Risk</v>
      </c>
    </row>
    <row r="169" spans="1:26" x14ac:dyDescent="0.3">
      <c r="A169" t="s">
        <v>380</v>
      </c>
      <c r="B169" s="1">
        <v>44856</v>
      </c>
      <c r="C169" t="s">
        <v>381</v>
      </c>
      <c r="D169" t="s">
        <v>65</v>
      </c>
      <c r="E169">
        <v>25557</v>
      </c>
      <c r="F169">
        <v>7.4</v>
      </c>
      <c r="G169">
        <v>36</v>
      </c>
      <c r="H169" t="s">
        <v>26</v>
      </c>
      <c r="I169" t="s">
        <v>57</v>
      </c>
      <c r="J169" t="s">
        <v>28</v>
      </c>
      <c r="K169">
        <v>144444</v>
      </c>
      <c r="L169" t="s">
        <v>29</v>
      </c>
      <c r="M169">
        <v>0.45</v>
      </c>
      <c r="N169">
        <v>0.73</v>
      </c>
      <c r="O169">
        <v>4065.82</v>
      </c>
      <c r="P169">
        <v>0</v>
      </c>
      <c r="Q169">
        <f ca="1">DATEDIF(banking_loan_data[[#This Row],[Issue Date]],TODAY(),"M")</f>
        <v>40</v>
      </c>
      <c r="R169">
        <f t="shared" si="12"/>
        <v>5673.6539999999995</v>
      </c>
      <c r="S169">
        <f>+banking_loan_data[[#This Row],[Loan Amount]]+banking_loan_data[[#This Row],[Interest earned]]</f>
        <v>31230.653999999999</v>
      </c>
      <c r="T169" s="2">
        <f t="shared" si="13"/>
        <v>-21491.18</v>
      </c>
      <c r="U169" s="2">
        <f t="shared" si="14"/>
        <v>0</v>
      </c>
      <c r="V169" s="2" t="str">
        <f>IF(banking_loan_data[[#This Row],[Loan Status]]="FULLY PAID","GOOD",IF(banking_loan_data[[#This Row],[Loan Status]]="CURRENT","ACTIVE","BAD"))</f>
        <v>ACTIVE</v>
      </c>
      <c r="W16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69" s="3">
        <f t="shared" si="15"/>
        <v>15760.150486656961</v>
      </c>
      <c r="Y169" s="4">
        <f t="shared" si="16"/>
        <v>-0.84091168760026613</v>
      </c>
      <c r="Z169" s="2" t="str">
        <f t="shared" si="17"/>
        <v>High Risk</v>
      </c>
    </row>
    <row r="170" spans="1:26" x14ac:dyDescent="0.3">
      <c r="A170" t="s">
        <v>382</v>
      </c>
      <c r="B170" s="1">
        <v>44960</v>
      </c>
      <c r="C170" t="s">
        <v>383</v>
      </c>
      <c r="D170" t="s">
        <v>56</v>
      </c>
      <c r="E170">
        <v>36400</v>
      </c>
      <c r="F170">
        <v>19.7</v>
      </c>
      <c r="G170">
        <v>60</v>
      </c>
      <c r="H170" t="s">
        <v>26</v>
      </c>
      <c r="I170" t="s">
        <v>27</v>
      </c>
      <c r="J170" t="s">
        <v>47</v>
      </c>
      <c r="K170">
        <v>96458</v>
      </c>
      <c r="L170" t="s">
        <v>33</v>
      </c>
      <c r="M170">
        <v>0.4</v>
      </c>
      <c r="N170">
        <v>0.72</v>
      </c>
      <c r="O170">
        <v>4839.3500000000004</v>
      </c>
      <c r="P170">
        <v>0</v>
      </c>
      <c r="Q170">
        <f ca="1">DATEDIF(banking_loan_data[[#This Row],[Issue Date]],TODAY(),"M")</f>
        <v>37</v>
      </c>
      <c r="R170">
        <f t="shared" si="12"/>
        <v>35854</v>
      </c>
      <c r="S170">
        <f>+banking_loan_data[[#This Row],[Loan Amount]]+banking_loan_data[[#This Row],[Interest earned]]</f>
        <v>72254</v>
      </c>
      <c r="T170" s="2">
        <f t="shared" si="13"/>
        <v>-31560.65</v>
      </c>
      <c r="U170" s="2">
        <f t="shared" si="14"/>
        <v>0</v>
      </c>
      <c r="V170" s="2" t="str">
        <f>IF(banking_loan_data[[#This Row],[Loan Status]]="FULLY PAID","GOOD",IF(banking_loan_data[[#This Row],[Loan Status]]="CURRENT","ACTIVE","BAD"))</f>
        <v>ACTIVE</v>
      </c>
      <c r="W17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70" s="3">
        <f t="shared" si="15"/>
        <v>59756.666666666664</v>
      </c>
      <c r="Y170" s="4">
        <f t="shared" si="16"/>
        <v>-0.86705082417582424</v>
      </c>
      <c r="Z170" s="2" t="str">
        <f t="shared" si="17"/>
        <v>Normal</v>
      </c>
    </row>
    <row r="171" spans="1:26" x14ac:dyDescent="0.3">
      <c r="A171" t="s">
        <v>384</v>
      </c>
      <c r="B171" s="1">
        <v>45151</v>
      </c>
      <c r="C171" t="s">
        <v>385</v>
      </c>
      <c r="D171" t="s">
        <v>40</v>
      </c>
      <c r="E171">
        <v>5494</v>
      </c>
      <c r="F171">
        <v>9.6999999999999993</v>
      </c>
      <c r="G171">
        <v>36</v>
      </c>
      <c r="H171" t="s">
        <v>19</v>
      </c>
      <c r="I171" t="s">
        <v>57</v>
      </c>
      <c r="J171" t="s">
        <v>32</v>
      </c>
      <c r="K171">
        <v>147603</v>
      </c>
      <c r="L171" t="s">
        <v>33</v>
      </c>
      <c r="M171">
        <v>0.39</v>
      </c>
      <c r="N171">
        <v>0.57999999999999996</v>
      </c>
      <c r="O171">
        <v>6026.92</v>
      </c>
      <c r="P171">
        <v>0</v>
      </c>
      <c r="Q171">
        <f ca="1">DATEDIF(banking_loan_data[[#This Row],[Issue Date]],TODAY(),"M")</f>
        <v>31</v>
      </c>
      <c r="R171">
        <f t="shared" si="12"/>
        <v>1598.7539999999999</v>
      </c>
      <c r="S171">
        <f>+banking_loan_data[[#This Row],[Loan Amount]]+banking_loan_data[[#This Row],[Interest earned]]</f>
        <v>7092.7539999999999</v>
      </c>
      <c r="T171" s="2">
        <f t="shared" si="13"/>
        <v>532.92000000000007</v>
      </c>
      <c r="U171" s="2">
        <f t="shared" si="14"/>
        <v>0</v>
      </c>
      <c r="V171" s="2" t="str">
        <f>IF(banking_loan_data[[#This Row],[Loan Status]]="FULLY PAID","GOOD",IF(banking_loan_data[[#This Row],[Loan Status]]="CURRENT","ACTIVE","BAD"))</f>
        <v>GOOD</v>
      </c>
      <c r="W17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71" s="3">
        <f t="shared" si="15"/>
        <v>4440.9833357624784</v>
      </c>
      <c r="Y171" s="4">
        <f t="shared" si="16"/>
        <v>9.700036403349109E-2</v>
      </c>
      <c r="Z171" s="2" t="str">
        <f t="shared" si="17"/>
        <v>Normal</v>
      </c>
    </row>
    <row r="172" spans="1:26" x14ac:dyDescent="0.3">
      <c r="A172" t="s">
        <v>386</v>
      </c>
      <c r="B172" s="1">
        <v>44599</v>
      </c>
      <c r="C172" t="s">
        <v>387</v>
      </c>
      <c r="D172" t="s">
        <v>25</v>
      </c>
      <c r="E172">
        <v>16152</v>
      </c>
      <c r="F172">
        <v>12.4</v>
      </c>
      <c r="G172">
        <v>36</v>
      </c>
      <c r="H172" t="s">
        <v>19</v>
      </c>
      <c r="I172" t="s">
        <v>57</v>
      </c>
      <c r="J172" t="s">
        <v>37</v>
      </c>
      <c r="K172">
        <v>57526</v>
      </c>
      <c r="L172" t="s">
        <v>33</v>
      </c>
      <c r="M172">
        <v>0.28999999999999998</v>
      </c>
      <c r="N172">
        <v>0.55000000000000004</v>
      </c>
      <c r="O172">
        <v>18154.849999999999</v>
      </c>
      <c r="P172">
        <v>0</v>
      </c>
      <c r="Q172">
        <f ca="1">DATEDIF(banking_loan_data[[#This Row],[Issue Date]],TODAY(),"M")</f>
        <v>49</v>
      </c>
      <c r="R172">
        <f t="shared" si="12"/>
        <v>6008.5440000000008</v>
      </c>
      <c r="S172">
        <f>+banking_loan_data[[#This Row],[Loan Amount]]+banking_loan_data[[#This Row],[Interest earned]]</f>
        <v>22160.544000000002</v>
      </c>
      <c r="T172" s="2">
        <f t="shared" si="13"/>
        <v>2002.8499999999985</v>
      </c>
      <c r="U172" s="2">
        <f t="shared" si="14"/>
        <v>0</v>
      </c>
      <c r="V172" s="2" t="str">
        <f>IF(banking_loan_data[[#This Row],[Loan Status]]="FULLY PAID","GOOD",IF(banking_loan_data[[#This Row],[Loan Status]]="CURRENT","ACTIVE","BAD"))</f>
        <v>GOOD</v>
      </c>
      <c r="W17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72" s="3">
        <f t="shared" si="15"/>
        <v>16690.400000133955</v>
      </c>
      <c r="Y172" s="4">
        <f t="shared" si="16"/>
        <v>0.12400012382367499</v>
      </c>
      <c r="Z172" s="2" t="str">
        <f t="shared" si="17"/>
        <v>Normal</v>
      </c>
    </row>
    <row r="173" spans="1:26" x14ac:dyDescent="0.3">
      <c r="A173" t="s">
        <v>388</v>
      </c>
      <c r="B173" s="1">
        <v>44343</v>
      </c>
      <c r="C173" t="s">
        <v>389</v>
      </c>
      <c r="D173" t="s">
        <v>46</v>
      </c>
      <c r="E173">
        <v>24895</v>
      </c>
      <c r="F173">
        <v>6.3</v>
      </c>
      <c r="G173">
        <v>36</v>
      </c>
      <c r="H173" t="s">
        <v>26</v>
      </c>
      <c r="I173" t="s">
        <v>57</v>
      </c>
      <c r="J173" t="s">
        <v>37</v>
      </c>
      <c r="K173">
        <v>103493</v>
      </c>
      <c r="L173" t="s">
        <v>29</v>
      </c>
      <c r="M173">
        <v>0.38</v>
      </c>
      <c r="N173">
        <v>0.88</v>
      </c>
      <c r="O173">
        <v>1971.07</v>
      </c>
      <c r="P173">
        <v>0</v>
      </c>
      <c r="Q173">
        <f ca="1">DATEDIF(banking_loan_data[[#This Row],[Issue Date]],TODAY(),"M")</f>
        <v>57</v>
      </c>
      <c r="R173">
        <f t="shared" si="12"/>
        <v>4705.1549999999997</v>
      </c>
      <c r="S173">
        <f>+banking_loan_data[[#This Row],[Loan Amount]]+banking_loan_data[[#This Row],[Interest earned]]</f>
        <v>29600.154999999999</v>
      </c>
      <c r="T173" s="2">
        <f t="shared" si="13"/>
        <v>-22923.93</v>
      </c>
      <c r="U173" s="2">
        <f t="shared" si="14"/>
        <v>0</v>
      </c>
      <c r="V173" s="2" t="str">
        <f>IF(banking_loan_data[[#This Row],[Loan Status]]="FULLY PAID","GOOD",IF(banking_loan_data[[#This Row],[Loan Status]]="CURRENT","ACTIVE","BAD"))</f>
        <v>ACTIVE</v>
      </c>
      <c r="W17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73" s="3">
        <f t="shared" si="15"/>
        <v>13069.878300328512</v>
      </c>
      <c r="Y173" s="4">
        <f t="shared" si="16"/>
        <v>-0.92082466358706572</v>
      </c>
      <c r="Z173" s="2" t="str">
        <f t="shared" si="17"/>
        <v>High Risk</v>
      </c>
    </row>
    <row r="174" spans="1:26" x14ac:dyDescent="0.3">
      <c r="A174" t="s">
        <v>390</v>
      </c>
      <c r="B174" s="1">
        <v>45060</v>
      </c>
      <c r="C174" t="s">
        <v>391</v>
      </c>
      <c r="D174" t="s">
        <v>76</v>
      </c>
      <c r="E174">
        <v>10155</v>
      </c>
      <c r="F174">
        <v>21</v>
      </c>
      <c r="G174">
        <v>60</v>
      </c>
      <c r="H174" t="s">
        <v>81</v>
      </c>
      <c r="I174" t="s">
        <v>84</v>
      </c>
      <c r="J174" t="s">
        <v>21</v>
      </c>
      <c r="K174">
        <v>82198</v>
      </c>
      <c r="L174" t="s">
        <v>29</v>
      </c>
      <c r="M174">
        <v>0.32</v>
      </c>
      <c r="N174">
        <v>0.78</v>
      </c>
      <c r="O174">
        <v>3338.92</v>
      </c>
      <c r="P174">
        <v>989.42</v>
      </c>
      <c r="Q174">
        <f ca="1">DATEDIF(banking_loan_data[[#This Row],[Issue Date]],TODAY(),"M")</f>
        <v>34</v>
      </c>
      <c r="R174">
        <f t="shared" si="12"/>
        <v>10662.750000000002</v>
      </c>
      <c r="S174">
        <f>+banking_loan_data[[#This Row],[Loan Amount]]+banking_loan_data[[#This Row],[Interest earned]]</f>
        <v>20817.75</v>
      </c>
      <c r="T174" s="2">
        <f t="shared" si="13"/>
        <v>-5826.66</v>
      </c>
      <c r="U174" s="2">
        <f t="shared" si="14"/>
        <v>1</v>
      </c>
      <c r="V174" s="2" t="str">
        <f>IF(banking_loan_data[[#This Row],[Loan Status]]="FULLY PAID","GOOD",IF(banking_loan_data[[#This Row],[Loan Status]]="CURRENT","ACTIVE","BAD"))</f>
        <v>BAD</v>
      </c>
      <c r="W17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74" s="3">
        <f t="shared" si="15"/>
        <v>17771.25</v>
      </c>
      <c r="Y174" s="4">
        <f t="shared" si="16"/>
        <v>-0.57377252584933525</v>
      </c>
      <c r="Z174" s="2" t="str">
        <f t="shared" si="17"/>
        <v>Normal</v>
      </c>
    </row>
    <row r="175" spans="1:26" x14ac:dyDescent="0.3">
      <c r="A175" t="s">
        <v>392</v>
      </c>
      <c r="B175" s="1">
        <v>44685</v>
      </c>
      <c r="C175" t="s">
        <v>393</v>
      </c>
      <c r="D175" t="s">
        <v>50</v>
      </c>
      <c r="E175">
        <v>32883</v>
      </c>
      <c r="F175">
        <v>20.3</v>
      </c>
      <c r="G175">
        <v>60</v>
      </c>
      <c r="H175" t="s">
        <v>81</v>
      </c>
      <c r="I175" t="s">
        <v>73</v>
      </c>
      <c r="J175" t="s">
        <v>32</v>
      </c>
      <c r="K175">
        <v>144100</v>
      </c>
      <c r="L175" t="s">
        <v>22</v>
      </c>
      <c r="M175">
        <v>0.19</v>
      </c>
      <c r="N175">
        <v>0.65</v>
      </c>
      <c r="O175">
        <v>7504.97</v>
      </c>
      <c r="P175">
        <v>9677.33</v>
      </c>
      <c r="Q175">
        <f ca="1">DATEDIF(banking_loan_data[[#This Row],[Issue Date]],TODAY(),"M")</f>
        <v>46</v>
      </c>
      <c r="R175">
        <f t="shared" si="12"/>
        <v>33376.245000000003</v>
      </c>
      <c r="S175">
        <f>+banking_loan_data[[#This Row],[Loan Amount]]+banking_loan_data[[#This Row],[Interest earned]]</f>
        <v>66259.244999999995</v>
      </c>
      <c r="T175" s="2">
        <f t="shared" si="13"/>
        <v>-15700.7</v>
      </c>
      <c r="U175" s="2">
        <f t="shared" si="14"/>
        <v>1</v>
      </c>
      <c r="V175" s="2" t="str">
        <f>IF(banking_loan_data[[#This Row],[Loan Status]]="FULLY PAID","GOOD",IF(banking_loan_data[[#This Row],[Loan Status]]="CURRENT","ACTIVE","BAD"))</f>
        <v>BAD</v>
      </c>
      <c r="W17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75" s="3">
        <f t="shared" si="15"/>
        <v>55627.074999999997</v>
      </c>
      <c r="Y175" s="4">
        <f t="shared" si="16"/>
        <v>-0.47747164188182345</v>
      </c>
      <c r="Z175" s="2" t="str">
        <f t="shared" si="17"/>
        <v>Normal</v>
      </c>
    </row>
    <row r="176" spans="1:26" x14ac:dyDescent="0.3">
      <c r="A176" t="s">
        <v>394</v>
      </c>
      <c r="B176" s="1">
        <v>45125</v>
      </c>
      <c r="C176" t="s">
        <v>395</v>
      </c>
      <c r="D176" t="s">
        <v>25</v>
      </c>
      <c r="E176">
        <v>2828</v>
      </c>
      <c r="F176">
        <v>19.7</v>
      </c>
      <c r="G176">
        <v>36</v>
      </c>
      <c r="H176" t="s">
        <v>26</v>
      </c>
      <c r="I176" t="s">
        <v>27</v>
      </c>
      <c r="J176" t="s">
        <v>28</v>
      </c>
      <c r="K176">
        <v>129534</v>
      </c>
      <c r="L176" t="s">
        <v>29</v>
      </c>
      <c r="M176">
        <v>0.18</v>
      </c>
      <c r="N176">
        <v>0.59</v>
      </c>
      <c r="O176">
        <v>938.87</v>
      </c>
      <c r="P176">
        <v>0</v>
      </c>
      <c r="Q176">
        <f ca="1">DATEDIF(banking_loan_data[[#This Row],[Issue Date]],TODAY(),"M")</f>
        <v>32</v>
      </c>
      <c r="R176">
        <f t="shared" si="12"/>
        <v>1671.348</v>
      </c>
      <c r="S176">
        <f>+banking_loan_data[[#This Row],[Loan Amount]]+banking_loan_data[[#This Row],[Interest earned]]</f>
        <v>4499.348</v>
      </c>
      <c r="T176" s="2">
        <f t="shared" si="13"/>
        <v>-1889.13</v>
      </c>
      <c r="U176" s="2">
        <f t="shared" si="14"/>
        <v>0</v>
      </c>
      <c r="V176" s="2" t="str">
        <f>IF(banking_loan_data[[#This Row],[Loan Status]]="FULLY PAID","GOOD",IF(banking_loan_data[[#This Row],[Loan Status]]="CURRENT","ACTIVE","BAD"))</f>
        <v>ACTIVE</v>
      </c>
      <c r="W17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76" s="3">
        <f t="shared" si="15"/>
        <v>4642.6333333333359</v>
      </c>
      <c r="Y176" s="4">
        <f t="shared" si="16"/>
        <v>-0.66800919377652057</v>
      </c>
      <c r="Z176" s="2" t="str">
        <f t="shared" si="17"/>
        <v>Normal</v>
      </c>
    </row>
    <row r="177" spans="1:26" x14ac:dyDescent="0.3">
      <c r="A177" t="s">
        <v>396</v>
      </c>
      <c r="B177" s="1">
        <v>44747</v>
      </c>
      <c r="C177" t="s">
        <v>397</v>
      </c>
      <c r="D177" t="s">
        <v>18</v>
      </c>
      <c r="E177">
        <v>33123</v>
      </c>
      <c r="F177">
        <v>11</v>
      </c>
      <c r="G177">
        <v>36</v>
      </c>
      <c r="H177" t="s">
        <v>19</v>
      </c>
      <c r="I177" t="s">
        <v>57</v>
      </c>
      <c r="J177" t="s">
        <v>37</v>
      </c>
      <c r="K177">
        <v>73395</v>
      </c>
      <c r="L177" t="s">
        <v>29</v>
      </c>
      <c r="M177">
        <v>0.22</v>
      </c>
      <c r="N177">
        <v>0.75</v>
      </c>
      <c r="O177">
        <v>36766.53</v>
      </c>
      <c r="P177">
        <v>0</v>
      </c>
      <c r="Q177">
        <f ca="1">DATEDIF(banking_loan_data[[#This Row],[Issue Date]],TODAY(),"M")</f>
        <v>44</v>
      </c>
      <c r="R177">
        <f t="shared" si="12"/>
        <v>10930.590000000002</v>
      </c>
      <c r="S177">
        <f>+banking_loan_data[[#This Row],[Loan Amount]]+banking_loan_data[[#This Row],[Interest earned]]</f>
        <v>44053.590000000004</v>
      </c>
      <c r="T177" s="2">
        <f t="shared" si="13"/>
        <v>3643.5299999999988</v>
      </c>
      <c r="U177" s="2">
        <f t="shared" si="14"/>
        <v>0</v>
      </c>
      <c r="V177" s="2" t="str">
        <f>IF(banking_loan_data[[#This Row],[Loan Status]]="FULLY PAID","GOOD",IF(banking_loan_data[[#This Row],[Loan Status]]="CURRENT","ACTIVE","BAD"))</f>
        <v>GOOD</v>
      </c>
      <c r="W17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77" s="3">
        <f t="shared" si="15"/>
        <v>30362.750002044861</v>
      </c>
      <c r="Y177" s="4">
        <f t="shared" si="16"/>
        <v>0.10999999999999996</v>
      </c>
      <c r="Z177" s="2" t="str">
        <f t="shared" si="17"/>
        <v>Normal</v>
      </c>
    </row>
    <row r="178" spans="1:26" x14ac:dyDescent="0.3">
      <c r="A178" t="s">
        <v>398</v>
      </c>
      <c r="B178" s="1">
        <v>44534</v>
      </c>
      <c r="C178" t="s">
        <v>399</v>
      </c>
      <c r="D178" t="s">
        <v>56</v>
      </c>
      <c r="E178">
        <v>38573</v>
      </c>
      <c r="F178">
        <v>8.5</v>
      </c>
      <c r="G178">
        <v>36</v>
      </c>
      <c r="H178" t="s">
        <v>19</v>
      </c>
      <c r="I178" t="s">
        <v>57</v>
      </c>
      <c r="J178" t="s">
        <v>32</v>
      </c>
      <c r="K178">
        <v>54031</v>
      </c>
      <c r="L178" t="s">
        <v>33</v>
      </c>
      <c r="M178">
        <v>0.46</v>
      </c>
      <c r="N178">
        <v>0.76</v>
      </c>
      <c r="O178">
        <v>41851.699999999997</v>
      </c>
      <c r="P178">
        <v>0</v>
      </c>
      <c r="Q178">
        <f ca="1">DATEDIF(banking_loan_data[[#This Row],[Issue Date]],TODAY(),"M")</f>
        <v>51</v>
      </c>
      <c r="R178">
        <f t="shared" si="12"/>
        <v>9836.1149999999998</v>
      </c>
      <c r="S178">
        <f>+banking_loan_data[[#This Row],[Loan Amount]]+banking_loan_data[[#This Row],[Interest earned]]</f>
        <v>48409.114999999998</v>
      </c>
      <c r="T178" s="2">
        <f t="shared" si="13"/>
        <v>3278.6999999999971</v>
      </c>
      <c r="U178" s="2">
        <f t="shared" si="14"/>
        <v>0</v>
      </c>
      <c r="V178" s="2" t="str">
        <f>IF(banking_loan_data[[#This Row],[Loan Status]]="FULLY PAID","GOOD",IF(banking_loan_data[[#This Row],[Loan Status]]="CURRENT","ACTIVE","BAD"))</f>
        <v>GOOD</v>
      </c>
      <c r="W17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78" s="3">
        <f t="shared" si="15"/>
        <v>27322.54178251958</v>
      </c>
      <c r="Y178" s="4">
        <f t="shared" si="16"/>
        <v>8.4999870375651293E-2</v>
      </c>
      <c r="Z178" s="2" t="str">
        <f t="shared" si="17"/>
        <v>High Risk</v>
      </c>
    </row>
    <row r="179" spans="1:26" x14ac:dyDescent="0.3">
      <c r="A179" t="s">
        <v>400</v>
      </c>
      <c r="B179" s="1">
        <v>45068</v>
      </c>
      <c r="C179" t="s">
        <v>401</v>
      </c>
      <c r="D179" t="s">
        <v>50</v>
      </c>
      <c r="E179">
        <v>1806</v>
      </c>
      <c r="F179">
        <v>17.8</v>
      </c>
      <c r="G179">
        <v>60</v>
      </c>
      <c r="H179" t="s">
        <v>19</v>
      </c>
      <c r="I179" t="s">
        <v>36</v>
      </c>
      <c r="J179" t="s">
        <v>21</v>
      </c>
      <c r="K179">
        <v>105542</v>
      </c>
      <c r="L179" t="s">
        <v>33</v>
      </c>
      <c r="M179">
        <v>0.32</v>
      </c>
      <c r="N179">
        <v>0.59</v>
      </c>
      <c r="O179">
        <v>2127.4699999999998</v>
      </c>
      <c r="P179">
        <v>0</v>
      </c>
      <c r="Q179">
        <f ca="1">DATEDIF(banking_loan_data[[#This Row],[Issue Date]],TODAY(),"M")</f>
        <v>33</v>
      </c>
      <c r="R179">
        <f t="shared" si="12"/>
        <v>1607.3400000000001</v>
      </c>
      <c r="S179">
        <f>+banking_loan_data[[#This Row],[Loan Amount]]+banking_loan_data[[#This Row],[Interest earned]]</f>
        <v>3413.34</v>
      </c>
      <c r="T179" s="2">
        <f t="shared" si="13"/>
        <v>321.4699999999998</v>
      </c>
      <c r="U179" s="2">
        <f t="shared" si="14"/>
        <v>0</v>
      </c>
      <c r="V179" s="2" t="str">
        <f>IF(banking_loan_data[[#This Row],[Loan Status]]="FULLY PAID","GOOD",IF(banking_loan_data[[#This Row],[Loan Status]]="CURRENT","ACTIVE","BAD"))</f>
        <v>GOOD</v>
      </c>
      <c r="W17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79" s="3">
        <f t="shared" si="15"/>
        <v>2678.9</v>
      </c>
      <c r="Y179" s="4">
        <f t="shared" si="16"/>
        <v>0.17800110741971195</v>
      </c>
      <c r="Z179" s="2" t="str">
        <f t="shared" si="17"/>
        <v>Normal</v>
      </c>
    </row>
    <row r="180" spans="1:26" x14ac:dyDescent="0.3">
      <c r="A180" t="s">
        <v>402</v>
      </c>
      <c r="B180" s="1">
        <v>44837</v>
      </c>
      <c r="C180" t="s">
        <v>403</v>
      </c>
      <c r="D180" t="s">
        <v>65</v>
      </c>
      <c r="E180">
        <v>30757</v>
      </c>
      <c r="F180">
        <v>14.9</v>
      </c>
      <c r="G180">
        <v>36</v>
      </c>
      <c r="H180" t="s">
        <v>19</v>
      </c>
      <c r="I180" t="s">
        <v>73</v>
      </c>
      <c r="J180" t="s">
        <v>47</v>
      </c>
      <c r="K180">
        <v>67701</v>
      </c>
      <c r="L180" t="s">
        <v>33</v>
      </c>
      <c r="M180">
        <v>0.39</v>
      </c>
      <c r="N180">
        <v>0.88</v>
      </c>
      <c r="O180">
        <v>35339.79</v>
      </c>
      <c r="P180">
        <v>0</v>
      </c>
      <c r="Q180">
        <f ca="1">DATEDIF(banking_loan_data[[#This Row],[Issue Date]],TODAY(),"M")</f>
        <v>41</v>
      </c>
      <c r="R180">
        <f t="shared" si="12"/>
        <v>13748.378999999999</v>
      </c>
      <c r="S180">
        <f>+banking_loan_data[[#This Row],[Loan Amount]]+banking_loan_data[[#This Row],[Interest earned]]</f>
        <v>44505.379000000001</v>
      </c>
      <c r="T180" s="2">
        <f t="shared" si="13"/>
        <v>4582.7900000000009</v>
      </c>
      <c r="U180" s="2">
        <f t="shared" si="14"/>
        <v>0</v>
      </c>
      <c r="V180" s="2" t="str">
        <f>IF(banking_loan_data[[#This Row],[Loan Status]]="FULLY PAID","GOOD",IF(banking_loan_data[[#This Row],[Loan Status]]="CURRENT","ACTIVE","BAD"))</f>
        <v>GOOD</v>
      </c>
      <c r="W18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80" s="3">
        <f t="shared" si="15"/>
        <v>38189.941666675819</v>
      </c>
      <c r="Y180" s="4">
        <f t="shared" si="16"/>
        <v>0.14899990246122838</v>
      </c>
      <c r="Z180" s="2" t="str">
        <f t="shared" si="17"/>
        <v>High Risk</v>
      </c>
    </row>
    <row r="181" spans="1:26" x14ac:dyDescent="0.3">
      <c r="A181" t="s">
        <v>404</v>
      </c>
      <c r="B181" s="1">
        <v>44669</v>
      </c>
      <c r="C181" t="s">
        <v>405</v>
      </c>
      <c r="D181" t="s">
        <v>56</v>
      </c>
      <c r="E181">
        <v>35636</v>
      </c>
      <c r="F181">
        <v>8.6</v>
      </c>
      <c r="G181">
        <v>36</v>
      </c>
      <c r="H181" t="s">
        <v>26</v>
      </c>
      <c r="I181" t="s">
        <v>36</v>
      </c>
      <c r="J181" t="s">
        <v>21</v>
      </c>
      <c r="K181">
        <v>142599</v>
      </c>
      <c r="L181" t="s">
        <v>33</v>
      </c>
      <c r="M181">
        <v>0.24</v>
      </c>
      <c r="N181">
        <v>0.54</v>
      </c>
      <c r="O181">
        <v>13449.63</v>
      </c>
      <c r="P181">
        <v>0</v>
      </c>
      <c r="Q181">
        <f ca="1">DATEDIF(banking_loan_data[[#This Row],[Issue Date]],TODAY(),"M")</f>
        <v>47</v>
      </c>
      <c r="R181">
        <f t="shared" si="12"/>
        <v>9194.0879999999997</v>
      </c>
      <c r="S181">
        <f>+banking_loan_data[[#This Row],[Loan Amount]]+banking_loan_data[[#This Row],[Interest earned]]</f>
        <v>44830.088000000003</v>
      </c>
      <c r="T181" s="2">
        <f t="shared" si="13"/>
        <v>-22186.370000000003</v>
      </c>
      <c r="U181" s="2">
        <f t="shared" si="14"/>
        <v>0</v>
      </c>
      <c r="V181" s="2" t="str">
        <f>IF(banking_loan_data[[#This Row],[Loan Status]]="FULLY PAID","GOOD",IF(banking_loan_data[[#This Row],[Loan Status]]="CURRENT","ACTIVE","BAD"))</f>
        <v>ACTIVE</v>
      </c>
      <c r="W18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81" s="3">
        <f t="shared" si="15"/>
        <v>25539.133424222284</v>
      </c>
      <c r="Y181" s="4">
        <f t="shared" si="16"/>
        <v>-0.62258306207206204</v>
      </c>
      <c r="Z181" s="2" t="str">
        <f t="shared" si="17"/>
        <v>Normal</v>
      </c>
    </row>
    <row r="182" spans="1:26" x14ac:dyDescent="0.3">
      <c r="A182" t="s">
        <v>406</v>
      </c>
      <c r="B182" s="1">
        <v>44347</v>
      </c>
      <c r="C182" t="s">
        <v>407</v>
      </c>
      <c r="D182" t="s">
        <v>46</v>
      </c>
      <c r="E182">
        <v>15561</v>
      </c>
      <c r="F182">
        <v>18.7</v>
      </c>
      <c r="G182">
        <v>36</v>
      </c>
      <c r="H182" t="s">
        <v>19</v>
      </c>
      <c r="I182" t="s">
        <v>20</v>
      </c>
      <c r="J182" t="s">
        <v>21</v>
      </c>
      <c r="K182">
        <v>55939</v>
      </c>
      <c r="L182" t="s">
        <v>33</v>
      </c>
      <c r="M182">
        <v>0.26</v>
      </c>
      <c r="N182">
        <v>0.66</v>
      </c>
      <c r="O182">
        <v>18470.91</v>
      </c>
      <c r="P182">
        <v>0</v>
      </c>
      <c r="Q182">
        <f ca="1">DATEDIF(banking_loan_data[[#This Row],[Issue Date]],TODAY(),"M")</f>
        <v>57</v>
      </c>
      <c r="R182">
        <f t="shared" si="12"/>
        <v>8729.7209999999995</v>
      </c>
      <c r="S182">
        <f>+banking_loan_data[[#This Row],[Loan Amount]]+banking_loan_data[[#This Row],[Interest earned]]</f>
        <v>24290.720999999998</v>
      </c>
      <c r="T182" s="2">
        <f t="shared" si="13"/>
        <v>2909.91</v>
      </c>
      <c r="U182" s="2">
        <f t="shared" si="14"/>
        <v>0</v>
      </c>
      <c r="V182" s="2" t="str">
        <f>IF(banking_loan_data[[#This Row],[Loan Status]]="FULLY PAID","GOOD",IF(banking_loan_data[[#This Row],[Loan Status]]="CURRENT","ACTIVE","BAD"))</f>
        <v>GOOD</v>
      </c>
      <c r="W18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82" s="3">
        <f t="shared" si="15"/>
        <v>24249.225000000049</v>
      </c>
      <c r="Y182" s="4">
        <f t="shared" si="16"/>
        <v>0.18700019278966645</v>
      </c>
      <c r="Z182" s="2" t="str">
        <f t="shared" si="17"/>
        <v>Normal</v>
      </c>
    </row>
    <row r="183" spans="1:26" x14ac:dyDescent="0.3">
      <c r="A183" t="s">
        <v>408</v>
      </c>
      <c r="B183" s="1">
        <v>44459</v>
      </c>
      <c r="C183" t="s">
        <v>409</v>
      </c>
      <c r="D183" t="s">
        <v>25</v>
      </c>
      <c r="E183">
        <v>25262</v>
      </c>
      <c r="F183">
        <v>24.8</v>
      </c>
      <c r="G183">
        <v>36</v>
      </c>
      <c r="H183" t="s">
        <v>19</v>
      </c>
      <c r="I183" t="s">
        <v>20</v>
      </c>
      <c r="J183" t="s">
        <v>32</v>
      </c>
      <c r="K183">
        <v>79145</v>
      </c>
      <c r="L183" t="s">
        <v>22</v>
      </c>
      <c r="M183">
        <v>0.15</v>
      </c>
      <c r="N183">
        <v>0.81</v>
      </c>
      <c r="O183">
        <v>31526.98</v>
      </c>
      <c r="P183">
        <v>0</v>
      </c>
      <c r="Q183">
        <f ca="1">DATEDIF(banking_loan_data[[#This Row],[Issue Date]],TODAY(),"M")</f>
        <v>53</v>
      </c>
      <c r="R183">
        <f t="shared" si="12"/>
        <v>18794.928</v>
      </c>
      <c r="S183">
        <f>+banking_loan_data[[#This Row],[Loan Amount]]+banking_loan_data[[#This Row],[Interest earned]]</f>
        <v>44056.928</v>
      </c>
      <c r="T183" s="2">
        <f t="shared" si="13"/>
        <v>6264.98</v>
      </c>
      <c r="U183" s="2">
        <f t="shared" si="14"/>
        <v>0</v>
      </c>
      <c r="V183" s="2" t="str">
        <f>IF(banking_loan_data[[#This Row],[Loan Status]]="FULLY PAID","GOOD",IF(banking_loan_data[[#This Row],[Loan Status]]="CURRENT","ACTIVE","BAD"))</f>
        <v>GOOD</v>
      </c>
      <c r="W18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83" s="3">
        <f t="shared" si="15"/>
        <v>52208.133333333339</v>
      </c>
      <c r="Y183" s="4">
        <f t="shared" si="16"/>
        <v>0.24800015834059058</v>
      </c>
      <c r="Z183" s="2" t="str">
        <f t="shared" si="17"/>
        <v>High Risk</v>
      </c>
    </row>
    <row r="184" spans="1:26" x14ac:dyDescent="0.3">
      <c r="A184" t="s">
        <v>410</v>
      </c>
      <c r="B184" s="1">
        <v>44340</v>
      </c>
      <c r="C184" t="s">
        <v>411</v>
      </c>
      <c r="D184" t="s">
        <v>18</v>
      </c>
      <c r="E184">
        <v>15899</v>
      </c>
      <c r="F184">
        <v>19.899999999999999</v>
      </c>
      <c r="G184">
        <v>60</v>
      </c>
      <c r="H184" t="s">
        <v>315</v>
      </c>
      <c r="I184" t="s">
        <v>84</v>
      </c>
      <c r="J184" t="s">
        <v>37</v>
      </c>
      <c r="K184">
        <v>50324</v>
      </c>
      <c r="L184" t="s">
        <v>22</v>
      </c>
      <c r="M184">
        <v>0.17</v>
      </c>
      <c r="N184">
        <v>0.62</v>
      </c>
      <c r="O184">
        <v>0</v>
      </c>
      <c r="P184">
        <v>0</v>
      </c>
      <c r="Q184">
        <f ca="1">DATEDIF(banking_loan_data[[#This Row],[Issue Date]],TODAY(),"M")</f>
        <v>57</v>
      </c>
      <c r="R184">
        <f t="shared" si="12"/>
        <v>15819.504999999999</v>
      </c>
      <c r="S184">
        <f>+banking_loan_data[[#This Row],[Loan Amount]]+banking_loan_data[[#This Row],[Interest earned]]</f>
        <v>31718.504999999997</v>
      </c>
      <c r="T184" s="2">
        <f t="shared" si="13"/>
        <v>-15899</v>
      </c>
      <c r="U184" s="2">
        <f t="shared" si="14"/>
        <v>0</v>
      </c>
      <c r="V184" s="2" t="str">
        <f>IF(banking_loan_data[[#This Row],[Loan Status]]="FULLY PAID","GOOD",IF(banking_loan_data[[#This Row],[Loan Status]]="CURRENT","ACTIVE","BAD"))</f>
        <v>BAD</v>
      </c>
      <c r="W18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84" s="3">
        <f t="shared" si="15"/>
        <v>26365.841666666664</v>
      </c>
      <c r="Y184" s="4">
        <f t="shared" si="16"/>
        <v>-1</v>
      </c>
      <c r="Z184" s="2" t="str">
        <f t="shared" si="17"/>
        <v>Normal</v>
      </c>
    </row>
    <row r="185" spans="1:26" x14ac:dyDescent="0.3">
      <c r="A185" t="s">
        <v>412</v>
      </c>
      <c r="B185" s="1">
        <v>44542</v>
      </c>
      <c r="C185" t="s">
        <v>413</v>
      </c>
      <c r="D185" t="s">
        <v>72</v>
      </c>
      <c r="E185">
        <v>16934</v>
      </c>
      <c r="F185">
        <v>19.8</v>
      </c>
      <c r="G185">
        <v>60</v>
      </c>
      <c r="H185" t="s">
        <v>19</v>
      </c>
      <c r="I185" t="s">
        <v>27</v>
      </c>
      <c r="J185" t="s">
        <v>32</v>
      </c>
      <c r="K185">
        <v>52867</v>
      </c>
      <c r="L185" t="s">
        <v>22</v>
      </c>
      <c r="M185">
        <v>0.43</v>
      </c>
      <c r="N185">
        <v>0.87</v>
      </c>
      <c r="O185">
        <v>20286.93</v>
      </c>
      <c r="P185">
        <v>0</v>
      </c>
      <c r="Q185">
        <f ca="1">DATEDIF(banking_loan_data[[#This Row],[Issue Date]],TODAY(),"M")</f>
        <v>51</v>
      </c>
      <c r="R185">
        <f t="shared" si="12"/>
        <v>16764.66</v>
      </c>
      <c r="S185">
        <f>+banking_loan_data[[#This Row],[Loan Amount]]+banking_loan_data[[#This Row],[Interest earned]]</f>
        <v>33698.660000000003</v>
      </c>
      <c r="T185" s="2">
        <f t="shared" si="13"/>
        <v>3352.9300000000003</v>
      </c>
      <c r="U185" s="2">
        <f t="shared" si="14"/>
        <v>0</v>
      </c>
      <c r="V185" s="2" t="str">
        <f>IF(banking_loan_data[[#This Row],[Loan Status]]="FULLY PAID","GOOD",IF(banking_loan_data[[#This Row],[Loan Status]]="CURRENT","ACTIVE","BAD"))</f>
        <v>GOOD</v>
      </c>
      <c r="W18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85" s="3">
        <f t="shared" si="15"/>
        <v>27941.100000000002</v>
      </c>
      <c r="Y185" s="4">
        <f t="shared" si="16"/>
        <v>0.19799988189441362</v>
      </c>
      <c r="Z185" s="2" t="str">
        <f t="shared" si="17"/>
        <v>High Risk</v>
      </c>
    </row>
    <row r="186" spans="1:26" x14ac:dyDescent="0.3">
      <c r="A186" t="s">
        <v>414</v>
      </c>
      <c r="B186" s="1">
        <v>44820</v>
      </c>
      <c r="C186" t="s">
        <v>415</v>
      </c>
      <c r="D186" t="s">
        <v>65</v>
      </c>
      <c r="E186">
        <v>39197</v>
      </c>
      <c r="F186">
        <v>24</v>
      </c>
      <c r="G186">
        <v>36</v>
      </c>
      <c r="H186" t="s">
        <v>19</v>
      </c>
      <c r="I186" t="s">
        <v>20</v>
      </c>
      <c r="J186" t="s">
        <v>47</v>
      </c>
      <c r="K186">
        <v>30203</v>
      </c>
      <c r="L186" t="s">
        <v>33</v>
      </c>
      <c r="M186">
        <v>0.33</v>
      </c>
      <c r="N186">
        <v>0.83</v>
      </c>
      <c r="O186">
        <v>48604.28</v>
      </c>
      <c r="P186">
        <v>0</v>
      </c>
      <c r="Q186">
        <f ca="1">DATEDIF(banking_loan_data[[#This Row],[Issue Date]],TODAY(),"M")</f>
        <v>42</v>
      </c>
      <c r="R186">
        <f t="shared" si="12"/>
        <v>28221.84</v>
      </c>
      <c r="S186">
        <f>+banking_loan_data[[#This Row],[Loan Amount]]+banking_loan_data[[#This Row],[Interest earned]]</f>
        <v>67418.84</v>
      </c>
      <c r="T186" s="2">
        <f t="shared" si="13"/>
        <v>9407.2799999999988</v>
      </c>
      <c r="U186" s="2">
        <f t="shared" si="14"/>
        <v>0</v>
      </c>
      <c r="V186" s="2" t="str">
        <f>IF(banking_loan_data[[#This Row],[Loan Status]]="FULLY PAID","GOOD",IF(banking_loan_data[[#This Row],[Loan Status]]="CURRENT","ACTIVE","BAD"))</f>
        <v>GOOD</v>
      </c>
      <c r="W18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86" s="3">
        <f t="shared" si="15"/>
        <v>78394</v>
      </c>
      <c r="Y186" s="4">
        <f t="shared" si="16"/>
        <v>0.23999999999999996</v>
      </c>
      <c r="Z186" s="2" t="str">
        <f t="shared" si="17"/>
        <v>High Risk</v>
      </c>
    </row>
    <row r="187" spans="1:26" x14ac:dyDescent="0.3">
      <c r="A187" t="s">
        <v>416</v>
      </c>
      <c r="B187" s="1">
        <v>45213</v>
      </c>
      <c r="C187" t="s">
        <v>417</v>
      </c>
      <c r="D187" t="s">
        <v>53</v>
      </c>
      <c r="E187">
        <v>37332</v>
      </c>
      <c r="F187">
        <v>9.1</v>
      </c>
      <c r="G187">
        <v>36</v>
      </c>
      <c r="H187" t="s">
        <v>19</v>
      </c>
      <c r="I187" t="s">
        <v>57</v>
      </c>
      <c r="J187" t="s">
        <v>32</v>
      </c>
      <c r="K187">
        <v>46544</v>
      </c>
      <c r="L187" t="s">
        <v>33</v>
      </c>
      <c r="M187">
        <v>0.24</v>
      </c>
      <c r="N187">
        <v>0.86</v>
      </c>
      <c r="O187">
        <v>40729.21</v>
      </c>
      <c r="P187">
        <v>0</v>
      </c>
      <c r="Q187">
        <f ca="1">DATEDIF(banking_loan_data[[#This Row],[Issue Date]],TODAY(),"M")</f>
        <v>29</v>
      </c>
      <c r="R187">
        <f t="shared" si="12"/>
        <v>10191.636</v>
      </c>
      <c r="S187">
        <f>+banking_loan_data[[#This Row],[Loan Amount]]+banking_loan_data[[#This Row],[Interest earned]]</f>
        <v>47523.635999999999</v>
      </c>
      <c r="T187" s="2">
        <f t="shared" si="13"/>
        <v>3397.2099999999991</v>
      </c>
      <c r="U187" s="2">
        <f t="shared" si="14"/>
        <v>0</v>
      </c>
      <c r="V187" s="2" t="str">
        <f>IF(banking_loan_data[[#This Row],[Loan Status]]="FULLY PAID","GOOD",IF(banking_loan_data[[#This Row],[Loan Status]]="CURRENT","ACTIVE","BAD"))</f>
        <v>GOOD</v>
      </c>
      <c r="W18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87" s="3">
        <f t="shared" si="15"/>
        <v>28310.100042491089</v>
      </c>
      <c r="Y187" s="4">
        <f t="shared" si="16"/>
        <v>9.0999946426658068E-2</v>
      </c>
      <c r="Z187" s="2" t="str">
        <f t="shared" si="17"/>
        <v>High Risk</v>
      </c>
    </row>
    <row r="188" spans="1:26" x14ac:dyDescent="0.3">
      <c r="A188" t="s">
        <v>418</v>
      </c>
      <c r="B188" s="1">
        <v>45077</v>
      </c>
      <c r="C188" t="s">
        <v>419</v>
      </c>
      <c r="D188" t="s">
        <v>46</v>
      </c>
      <c r="E188">
        <v>35157</v>
      </c>
      <c r="F188">
        <v>16.3</v>
      </c>
      <c r="G188">
        <v>60</v>
      </c>
      <c r="H188" t="s">
        <v>26</v>
      </c>
      <c r="I188" t="s">
        <v>84</v>
      </c>
      <c r="J188" t="s">
        <v>28</v>
      </c>
      <c r="K188">
        <v>45899</v>
      </c>
      <c r="L188" t="s">
        <v>33</v>
      </c>
      <c r="M188">
        <v>0.42</v>
      </c>
      <c r="N188">
        <v>0.55000000000000004</v>
      </c>
      <c r="O188">
        <v>12505.08</v>
      </c>
      <c r="P188">
        <v>0</v>
      </c>
      <c r="Q188">
        <f ca="1">DATEDIF(banking_loan_data[[#This Row],[Issue Date]],TODAY(),"M")</f>
        <v>33</v>
      </c>
      <c r="R188">
        <f t="shared" si="12"/>
        <v>28652.954999999998</v>
      </c>
      <c r="S188">
        <f>+banking_loan_data[[#This Row],[Loan Amount]]+banking_loan_data[[#This Row],[Interest earned]]</f>
        <v>63809.955000000002</v>
      </c>
      <c r="T188" s="2">
        <f t="shared" si="13"/>
        <v>-22651.919999999998</v>
      </c>
      <c r="U188" s="2">
        <f t="shared" si="14"/>
        <v>0</v>
      </c>
      <c r="V188" s="2" t="str">
        <f>IF(banking_loan_data[[#This Row],[Loan Status]]="FULLY PAID","GOOD",IF(banking_loan_data[[#This Row],[Loan Status]]="CURRENT","ACTIVE","BAD"))</f>
        <v>ACTIVE</v>
      </c>
      <c r="W18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88" s="3">
        <f t="shared" si="15"/>
        <v>47754.925000000003</v>
      </c>
      <c r="Y188" s="4">
        <f t="shared" si="16"/>
        <v>-0.64430753477259151</v>
      </c>
      <c r="Z188" s="2" t="str">
        <f t="shared" si="17"/>
        <v>High Risk</v>
      </c>
    </row>
    <row r="189" spans="1:26" x14ac:dyDescent="0.3">
      <c r="A189" t="s">
        <v>420</v>
      </c>
      <c r="B189" s="1">
        <v>44198</v>
      </c>
      <c r="C189" t="s">
        <v>421</v>
      </c>
      <c r="D189" t="s">
        <v>72</v>
      </c>
      <c r="E189">
        <v>12593</v>
      </c>
      <c r="F189">
        <v>24.6</v>
      </c>
      <c r="G189">
        <v>60</v>
      </c>
      <c r="H189" t="s">
        <v>26</v>
      </c>
      <c r="I189" t="s">
        <v>73</v>
      </c>
      <c r="J189" t="s">
        <v>21</v>
      </c>
      <c r="K189">
        <v>59063</v>
      </c>
      <c r="L189" t="s">
        <v>22</v>
      </c>
      <c r="M189">
        <v>0.2</v>
      </c>
      <c r="N189">
        <v>0.56000000000000005</v>
      </c>
      <c r="O189">
        <v>3295.91</v>
      </c>
      <c r="P189">
        <v>0</v>
      </c>
      <c r="Q189">
        <f ca="1">DATEDIF(banking_loan_data[[#This Row],[Issue Date]],TODAY(),"M")</f>
        <v>62</v>
      </c>
      <c r="R189">
        <f t="shared" si="12"/>
        <v>15489.390000000005</v>
      </c>
      <c r="S189">
        <f>+banking_loan_data[[#This Row],[Loan Amount]]+banking_loan_data[[#This Row],[Interest earned]]</f>
        <v>28082.390000000007</v>
      </c>
      <c r="T189" s="2">
        <f t="shared" si="13"/>
        <v>-9297.09</v>
      </c>
      <c r="U189" s="2">
        <f t="shared" si="14"/>
        <v>0</v>
      </c>
      <c r="V189" s="2" t="str">
        <f>IF(banking_loan_data[[#This Row],[Loan Status]]="FULLY PAID","GOOD",IF(banking_loan_data[[#This Row],[Loan Status]]="CURRENT","ACTIVE","BAD"))</f>
        <v>ACTIVE</v>
      </c>
      <c r="W18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89" s="3">
        <f t="shared" si="15"/>
        <v>25815.650000000005</v>
      </c>
      <c r="Y189" s="4">
        <f t="shared" si="16"/>
        <v>-0.73827443817994121</v>
      </c>
      <c r="Z189" s="2" t="str">
        <f t="shared" si="17"/>
        <v>Normal</v>
      </c>
    </row>
    <row r="190" spans="1:26" x14ac:dyDescent="0.3">
      <c r="A190" t="s">
        <v>422</v>
      </c>
      <c r="B190" s="1">
        <v>45093</v>
      </c>
      <c r="C190" t="s">
        <v>423</v>
      </c>
      <c r="D190" t="s">
        <v>40</v>
      </c>
      <c r="E190">
        <v>18320</v>
      </c>
      <c r="F190">
        <v>8.3000000000000007</v>
      </c>
      <c r="G190">
        <v>36</v>
      </c>
      <c r="H190" t="s">
        <v>19</v>
      </c>
      <c r="I190" t="s">
        <v>27</v>
      </c>
      <c r="J190" t="s">
        <v>37</v>
      </c>
      <c r="K190">
        <v>120880</v>
      </c>
      <c r="L190" t="s">
        <v>33</v>
      </c>
      <c r="M190">
        <v>0.49</v>
      </c>
      <c r="N190">
        <v>0.63</v>
      </c>
      <c r="O190">
        <v>19840.560000000001</v>
      </c>
      <c r="P190">
        <v>0</v>
      </c>
      <c r="Q190">
        <f ca="1">DATEDIF(banking_loan_data[[#This Row],[Issue Date]],TODAY(),"M")</f>
        <v>33</v>
      </c>
      <c r="R190">
        <f t="shared" si="12"/>
        <v>4561.6799999999994</v>
      </c>
      <c r="S190">
        <f>+banking_loan_data[[#This Row],[Loan Amount]]+banking_loan_data[[#This Row],[Interest earned]]</f>
        <v>22881.68</v>
      </c>
      <c r="T190" s="2">
        <f t="shared" si="13"/>
        <v>1520.5600000000013</v>
      </c>
      <c r="U190" s="2">
        <f t="shared" si="14"/>
        <v>0</v>
      </c>
      <c r="V190" s="2" t="str">
        <f>IF(banking_loan_data[[#This Row],[Loan Status]]="FULLY PAID","GOOD",IF(banking_loan_data[[#This Row],[Loan Status]]="CURRENT","ACTIVE","BAD"))</f>
        <v>GOOD</v>
      </c>
      <c r="W19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190" s="3">
        <f t="shared" si="15"/>
        <v>12671.33340980311</v>
      </c>
      <c r="Y190" s="4">
        <f t="shared" si="16"/>
        <v>8.3000000000000074E-2</v>
      </c>
      <c r="Z190" s="2" t="str">
        <f t="shared" si="17"/>
        <v>High Risk</v>
      </c>
    </row>
    <row r="191" spans="1:26" x14ac:dyDescent="0.3">
      <c r="A191" t="s">
        <v>424</v>
      </c>
      <c r="B191" s="1">
        <v>44450</v>
      </c>
      <c r="C191" t="s">
        <v>425</v>
      </c>
      <c r="D191" t="s">
        <v>18</v>
      </c>
      <c r="E191">
        <v>28376</v>
      </c>
      <c r="F191">
        <v>19</v>
      </c>
      <c r="G191">
        <v>60</v>
      </c>
      <c r="H191" t="s">
        <v>19</v>
      </c>
      <c r="I191" t="s">
        <v>57</v>
      </c>
      <c r="J191" t="s">
        <v>47</v>
      </c>
      <c r="K191">
        <v>33748</v>
      </c>
      <c r="L191" t="s">
        <v>22</v>
      </c>
      <c r="M191">
        <v>0.24</v>
      </c>
      <c r="N191">
        <v>0.73</v>
      </c>
      <c r="O191">
        <v>33767.440000000002</v>
      </c>
      <c r="P191">
        <v>0</v>
      </c>
      <c r="Q191">
        <f ca="1">DATEDIF(banking_loan_data[[#This Row],[Issue Date]],TODAY(),"M")</f>
        <v>54</v>
      </c>
      <c r="R191">
        <f t="shared" si="12"/>
        <v>26957.199999999997</v>
      </c>
      <c r="S191">
        <f>+banking_loan_data[[#This Row],[Loan Amount]]+banking_loan_data[[#This Row],[Interest earned]]</f>
        <v>55333.2</v>
      </c>
      <c r="T191" s="2">
        <f t="shared" si="13"/>
        <v>5391.4400000000023</v>
      </c>
      <c r="U191" s="2">
        <f t="shared" si="14"/>
        <v>0</v>
      </c>
      <c r="V191" s="2" t="str">
        <f>IF(banking_loan_data[[#This Row],[Loan Status]]="FULLY PAID","GOOD",IF(banking_loan_data[[#This Row],[Loan Status]]="CURRENT","ACTIVE","BAD"))</f>
        <v>GOOD</v>
      </c>
      <c r="W19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91" s="3">
        <f t="shared" si="15"/>
        <v>44928.666666666664</v>
      </c>
      <c r="Y191" s="4">
        <f t="shared" si="16"/>
        <v>0.19000000000000009</v>
      </c>
      <c r="Z191" s="2" t="str">
        <f t="shared" si="17"/>
        <v>Normal</v>
      </c>
    </row>
    <row r="192" spans="1:26" x14ac:dyDescent="0.3">
      <c r="A192" t="s">
        <v>426</v>
      </c>
      <c r="B192" s="1">
        <v>44649</v>
      </c>
      <c r="C192" t="s">
        <v>427</v>
      </c>
      <c r="D192" t="s">
        <v>76</v>
      </c>
      <c r="E192">
        <v>15199</v>
      </c>
      <c r="F192">
        <v>16.7</v>
      </c>
      <c r="G192">
        <v>60</v>
      </c>
      <c r="H192" t="s">
        <v>26</v>
      </c>
      <c r="I192" t="s">
        <v>57</v>
      </c>
      <c r="J192" t="s">
        <v>21</v>
      </c>
      <c r="K192">
        <v>135022</v>
      </c>
      <c r="L192" t="s">
        <v>33</v>
      </c>
      <c r="M192">
        <v>0.23</v>
      </c>
      <c r="N192">
        <v>0.84</v>
      </c>
      <c r="O192">
        <v>3413</v>
      </c>
      <c r="P192">
        <v>0</v>
      </c>
      <c r="Q192">
        <f ca="1">DATEDIF(banking_loan_data[[#This Row],[Issue Date]],TODAY(),"M")</f>
        <v>47</v>
      </c>
      <c r="R192">
        <f t="shared" si="12"/>
        <v>12691.164999999999</v>
      </c>
      <c r="S192">
        <f>+banking_loan_data[[#This Row],[Loan Amount]]+banking_loan_data[[#This Row],[Interest earned]]</f>
        <v>27890.165000000001</v>
      </c>
      <c r="T192" s="2">
        <f t="shared" si="13"/>
        <v>-11786</v>
      </c>
      <c r="U192" s="2">
        <f t="shared" si="14"/>
        <v>0</v>
      </c>
      <c r="V192" s="2" t="str">
        <f>IF(banking_loan_data[[#This Row],[Loan Status]]="FULLY PAID","GOOD",IF(banking_loan_data[[#This Row],[Loan Status]]="CURRENT","ACTIVE","BAD"))</f>
        <v>ACTIVE</v>
      </c>
      <c r="W19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92" s="3">
        <f t="shared" si="15"/>
        <v>21151.941666666666</v>
      </c>
      <c r="Y192" s="4">
        <f t="shared" si="16"/>
        <v>-0.77544575301006646</v>
      </c>
      <c r="Z192" s="2" t="str">
        <f t="shared" si="17"/>
        <v>High Risk</v>
      </c>
    </row>
    <row r="193" spans="1:26" x14ac:dyDescent="0.3">
      <c r="A193" t="s">
        <v>428</v>
      </c>
      <c r="B193" s="1">
        <v>45257</v>
      </c>
      <c r="C193" t="s">
        <v>429</v>
      </c>
      <c r="D193" t="s">
        <v>53</v>
      </c>
      <c r="E193">
        <v>16876</v>
      </c>
      <c r="F193">
        <v>16.7</v>
      </c>
      <c r="G193">
        <v>36</v>
      </c>
      <c r="H193" t="s">
        <v>26</v>
      </c>
      <c r="I193" t="s">
        <v>41</v>
      </c>
      <c r="J193" t="s">
        <v>32</v>
      </c>
      <c r="K193">
        <v>147269</v>
      </c>
      <c r="L193" t="s">
        <v>29</v>
      </c>
      <c r="M193">
        <v>0.22</v>
      </c>
      <c r="N193">
        <v>0.88</v>
      </c>
      <c r="O193">
        <v>3698.91</v>
      </c>
      <c r="P193">
        <v>0</v>
      </c>
      <c r="Q193">
        <f ca="1">DATEDIF(banking_loan_data[[#This Row],[Issue Date]],TODAY(),"M")</f>
        <v>27</v>
      </c>
      <c r="R193">
        <f t="shared" si="12"/>
        <v>8454.8760000000002</v>
      </c>
      <c r="S193">
        <f>+banking_loan_data[[#This Row],[Loan Amount]]+banking_loan_data[[#This Row],[Interest earned]]</f>
        <v>25330.876</v>
      </c>
      <c r="T193" s="2">
        <f t="shared" si="13"/>
        <v>-13177.09</v>
      </c>
      <c r="U193" s="2">
        <f t="shared" si="14"/>
        <v>0</v>
      </c>
      <c r="V193" s="2" t="str">
        <f>IF(banking_loan_data[[#This Row],[Loan Status]]="FULLY PAID","GOOD",IF(banking_loan_data[[#This Row],[Loan Status]]="CURRENT","ACTIVE","BAD"))</f>
        <v>ACTIVE</v>
      </c>
      <c r="W19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93" s="3">
        <f t="shared" si="15"/>
        <v>23485.766666667212</v>
      </c>
      <c r="Y193" s="4">
        <f t="shared" si="16"/>
        <v>-0.78081832187722211</v>
      </c>
      <c r="Z193" s="2" t="str">
        <f t="shared" si="17"/>
        <v>High Risk</v>
      </c>
    </row>
    <row r="194" spans="1:26" x14ac:dyDescent="0.3">
      <c r="A194" t="s">
        <v>430</v>
      </c>
      <c r="B194" s="1">
        <v>45211</v>
      </c>
      <c r="C194" t="s">
        <v>431</v>
      </c>
      <c r="D194" t="s">
        <v>25</v>
      </c>
      <c r="E194">
        <v>9245</v>
      </c>
      <c r="F194">
        <v>19</v>
      </c>
      <c r="G194">
        <v>60</v>
      </c>
      <c r="H194" t="s">
        <v>60</v>
      </c>
      <c r="I194" t="s">
        <v>20</v>
      </c>
      <c r="J194" t="s">
        <v>28</v>
      </c>
      <c r="K194">
        <v>96629</v>
      </c>
      <c r="L194" t="s">
        <v>22</v>
      </c>
      <c r="M194">
        <v>0.15</v>
      </c>
      <c r="N194">
        <v>0.82</v>
      </c>
      <c r="O194">
        <v>0</v>
      </c>
      <c r="P194">
        <v>0</v>
      </c>
      <c r="Q194">
        <f ca="1">DATEDIF(banking_loan_data[[#This Row],[Issue Date]],TODAY(),"M")</f>
        <v>29</v>
      </c>
      <c r="R194">
        <f t="shared" ref="R194:R257" si="18">(((E194*F194)/100)*G194)/12</f>
        <v>8782.75</v>
      </c>
      <c r="S194">
        <f>+banking_loan_data[[#This Row],[Loan Amount]]+banking_loan_data[[#This Row],[Interest earned]]</f>
        <v>18027.75</v>
      </c>
      <c r="T194" s="2">
        <f t="shared" ref="T194:T257" si="19">O194 + P194 - E194</f>
        <v>-9245</v>
      </c>
      <c r="U194" s="2">
        <f t="shared" ref="U194:U257" si="20">IF(H194="CHARGED OFF",1,0)</f>
        <v>0</v>
      </c>
      <c r="V194" s="2" t="str">
        <f>IF(banking_loan_data[[#This Row],[Loan Status]]="FULLY PAID","GOOD",IF(banking_loan_data[[#This Row],[Loan Status]]="CURRENT","ACTIVE","BAD"))</f>
        <v>BAD</v>
      </c>
      <c r="W19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94" s="3">
        <f t="shared" ref="X194:X257" si="21">PMT(F194/12,G194,-E194)</f>
        <v>14637.916666666666</v>
      </c>
      <c r="Y194" s="4">
        <f t="shared" ref="Y194:Y257" si="22">IF(E194=0,0,T194/E194)</f>
        <v>-1</v>
      </c>
      <c r="Z194" s="2" t="str">
        <f t="shared" ref="Z194:Z257" si="23">IF(OR(M194&gt;0.4,N194&gt;0.8),"High Risk","Normal")</f>
        <v>High Risk</v>
      </c>
    </row>
    <row r="195" spans="1:26" x14ac:dyDescent="0.3">
      <c r="A195" t="s">
        <v>432</v>
      </c>
      <c r="B195" s="1">
        <v>44205</v>
      </c>
      <c r="C195" t="s">
        <v>433</v>
      </c>
      <c r="D195" t="s">
        <v>18</v>
      </c>
      <c r="E195">
        <v>8214</v>
      </c>
      <c r="F195">
        <v>23.6</v>
      </c>
      <c r="G195">
        <v>60</v>
      </c>
      <c r="H195" t="s">
        <v>26</v>
      </c>
      <c r="I195" t="s">
        <v>73</v>
      </c>
      <c r="J195" t="s">
        <v>32</v>
      </c>
      <c r="K195">
        <v>110764</v>
      </c>
      <c r="L195" t="s">
        <v>29</v>
      </c>
      <c r="M195">
        <v>0.14000000000000001</v>
      </c>
      <c r="N195">
        <v>0.92</v>
      </c>
      <c r="O195">
        <v>2776.51</v>
      </c>
      <c r="P195">
        <v>0</v>
      </c>
      <c r="Q195">
        <f ca="1">DATEDIF(banking_loan_data[[#This Row],[Issue Date]],TODAY(),"M")</f>
        <v>62</v>
      </c>
      <c r="R195">
        <f t="shared" si="18"/>
        <v>9692.52</v>
      </c>
      <c r="S195">
        <f>+banking_loan_data[[#This Row],[Loan Amount]]+banking_loan_data[[#This Row],[Interest earned]]</f>
        <v>17906.52</v>
      </c>
      <c r="T195" s="2">
        <f t="shared" si="19"/>
        <v>-5437.49</v>
      </c>
      <c r="U195" s="2">
        <f t="shared" si="20"/>
        <v>0</v>
      </c>
      <c r="V195" s="2" t="str">
        <f>IF(banking_loan_data[[#This Row],[Loan Status]]="FULLY PAID","GOOD",IF(banking_loan_data[[#This Row],[Loan Status]]="CURRENT","ACTIVE","BAD"))</f>
        <v>ACTIVE</v>
      </c>
      <c r="W19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95" s="3">
        <f t="shared" si="21"/>
        <v>16154.2</v>
      </c>
      <c r="Y195" s="4">
        <f t="shared" si="22"/>
        <v>-0.66197832968103232</v>
      </c>
      <c r="Z195" s="2" t="str">
        <f t="shared" si="23"/>
        <v>High Risk</v>
      </c>
    </row>
    <row r="196" spans="1:26" x14ac:dyDescent="0.3">
      <c r="A196" t="s">
        <v>434</v>
      </c>
      <c r="B196" s="1">
        <v>45012</v>
      </c>
      <c r="C196" t="s">
        <v>435</v>
      </c>
      <c r="D196" t="s">
        <v>56</v>
      </c>
      <c r="E196">
        <v>1726</v>
      </c>
      <c r="F196">
        <v>20.7</v>
      </c>
      <c r="G196">
        <v>36</v>
      </c>
      <c r="H196" t="s">
        <v>26</v>
      </c>
      <c r="I196" t="s">
        <v>84</v>
      </c>
      <c r="J196" t="s">
        <v>21</v>
      </c>
      <c r="K196">
        <v>50884</v>
      </c>
      <c r="L196" t="s">
        <v>22</v>
      </c>
      <c r="M196">
        <v>0.36</v>
      </c>
      <c r="N196">
        <v>0.83</v>
      </c>
      <c r="O196">
        <v>470.61</v>
      </c>
      <c r="P196">
        <v>0</v>
      </c>
      <c r="Q196">
        <f ca="1">DATEDIF(banking_loan_data[[#This Row],[Issue Date]],TODAY(),"M")</f>
        <v>35</v>
      </c>
      <c r="R196">
        <f t="shared" si="18"/>
        <v>1071.846</v>
      </c>
      <c r="S196">
        <f>+banking_loan_data[[#This Row],[Loan Amount]]+banking_loan_data[[#This Row],[Interest earned]]</f>
        <v>2797.846</v>
      </c>
      <c r="T196" s="2">
        <f t="shared" si="19"/>
        <v>-1255.3899999999999</v>
      </c>
      <c r="U196" s="2">
        <f t="shared" si="20"/>
        <v>0</v>
      </c>
      <c r="V196" s="2" t="str">
        <f>IF(banking_loan_data[[#This Row],[Loan Status]]="FULLY PAID","GOOD",IF(banking_loan_data[[#This Row],[Loan Status]]="CURRENT","ACTIVE","BAD"))</f>
        <v>ACTIVE</v>
      </c>
      <c r="W19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96" s="3">
        <f t="shared" si="21"/>
        <v>2977.3500000000004</v>
      </c>
      <c r="Y196" s="4">
        <f t="shared" si="22"/>
        <v>-0.72734067207415987</v>
      </c>
      <c r="Z196" s="2" t="str">
        <f t="shared" si="23"/>
        <v>High Risk</v>
      </c>
    </row>
    <row r="197" spans="1:26" x14ac:dyDescent="0.3">
      <c r="A197" t="s">
        <v>436</v>
      </c>
      <c r="B197" s="1">
        <v>44404</v>
      </c>
      <c r="C197" t="s">
        <v>437</v>
      </c>
      <c r="D197" t="s">
        <v>50</v>
      </c>
      <c r="E197">
        <v>12362</v>
      </c>
      <c r="F197">
        <v>6.1</v>
      </c>
      <c r="G197">
        <v>36</v>
      </c>
      <c r="H197" t="s">
        <v>19</v>
      </c>
      <c r="I197" t="s">
        <v>20</v>
      </c>
      <c r="J197" t="s">
        <v>47</v>
      </c>
      <c r="K197">
        <v>55183</v>
      </c>
      <c r="L197" t="s">
        <v>33</v>
      </c>
      <c r="M197">
        <v>0.45</v>
      </c>
      <c r="N197">
        <v>0.64</v>
      </c>
      <c r="O197">
        <v>13116.08</v>
      </c>
      <c r="P197">
        <v>0</v>
      </c>
      <c r="Q197">
        <f ca="1">DATEDIF(banking_loan_data[[#This Row],[Issue Date]],TODAY(),"M")</f>
        <v>55</v>
      </c>
      <c r="R197">
        <f t="shared" si="18"/>
        <v>2262.2460000000001</v>
      </c>
      <c r="S197">
        <f>+banking_loan_data[[#This Row],[Loan Amount]]+banking_loan_data[[#This Row],[Interest earned]]</f>
        <v>14624.245999999999</v>
      </c>
      <c r="T197" s="2">
        <f t="shared" si="19"/>
        <v>754.07999999999993</v>
      </c>
      <c r="U197" s="2">
        <f t="shared" si="20"/>
        <v>0</v>
      </c>
      <c r="V197" s="2" t="str">
        <f>IF(banking_loan_data[[#This Row],[Loan Status]]="FULLY PAID","GOOD",IF(banking_loan_data[[#This Row],[Loan Status]]="CURRENT","ACTIVE","BAD"))</f>
        <v>GOOD</v>
      </c>
      <c r="W19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97" s="3">
        <f t="shared" si="21"/>
        <v>6284.0190235259488</v>
      </c>
      <c r="Y197" s="4">
        <f t="shared" si="22"/>
        <v>6.099983821388124E-2</v>
      </c>
      <c r="Z197" s="2" t="str">
        <f t="shared" si="23"/>
        <v>High Risk</v>
      </c>
    </row>
    <row r="198" spans="1:26" x14ac:dyDescent="0.3">
      <c r="A198" t="s">
        <v>438</v>
      </c>
      <c r="B198" s="1">
        <v>44600</v>
      </c>
      <c r="C198" t="s">
        <v>439</v>
      </c>
      <c r="D198" t="s">
        <v>56</v>
      </c>
      <c r="E198">
        <v>19297</v>
      </c>
      <c r="F198">
        <v>22.1</v>
      </c>
      <c r="G198">
        <v>60</v>
      </c>
      <c r="H198" t="s">
        <v>19</v>
      </c>
      <c r="I198" t="s">
        <v>57</v>
      </c>
      <c r="J198" t="s">
        <v>37</v>
      </c>
      <c r="K198">
        <v>111570</v>
      </c>
      <c r="L198" t="s">
        <v>33</v>
      </c>
      <c r="M198">
        <v>0.42</v>
      </c>
      <c r="N198">
        <v>0.62</v>
      </c>
      <c r="O198">
        <v>23561.64</v>
      </c>
      <c r="P198">
        <v>0</v>
      </c>
      <c r="Q198">
        <f ca="1">DATEDIF(banking_loan_data[[#This Row],[Issue Date]],TODAY(),"M")</f>
        <v>49</v>
      </c>
      <c r="R198">
        <f t="shared" si="18"/>
        <v>21323.184999999998</v>
      </c>
      <c r="S198">
        <f>+banking_loan_data[[#This Row],[Loan Amount]]+banking_loan_data[[#This Row],[Interest earned]]</f>
        <v>40620.184999999998</v>
      </c>
      <c r="T198" s="2">
        <f t="shared" si="19"/>
        <v>4264.6399999999994</v>
      </c>
      <c r="U198" s="2">
        <f t="shared" si="20"/>
        <v>0</v>
      </c>
      <c r="V198" s="2" t="str">
        <f>IF(banking_loan_data[[#This Row],[Loan Status]]="FULLY PAID","GOOD",IF(banking_loan_data[[#This Row],[Loan Status]]="CURRENT","ACTIVE","BAD"))</f>
        <v>GOOD</v>
      </c>
      <c r="W19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198" s="3">
        <f t="shared" si="21"/>
        <v>35538.64166666667</v>
      </c>
      <c r="Y198" s="4">
        <f t="shared" si="22"/>
        <v>0.22100015546457996</v>
      </c>
      <c r="Z198" s="2" t="str">
        <f t="shared" si="23"/>
        <v>High Risk</v>
      </c>
    </row>
    <row r="199" spans="1:26" x14ac:dyDescent="0.3">
      <c r="A199" t="s">
        <v>440</v>
      </c>
      <c r="B199" s="1">
        <v>44348</v>
      </c>
      <c r="C199" t="s">
        <v>441</v>
      </c>
      <c r="D199" t="s">
        <v>56</v>
      </c>
      <c r="E199">
        <v>31448</v>
      </c>
      <c r="F199">
        <v>9.5</v>
      </c>
      <c r="G199">
        <v>36</v>
      </c>
      <c r="H199" t="s">
        <v>19</v>
      </c>
      <c r="I199" t="s">
        <v>73</v>
      </c>
      <c r="J199" t="s">
        <v>21</v>
      </c>
      <c r="K199">
        <v>101246</v>
      </c>
      <c r="L199" t="s">
        <v>29</v>
      </c>
      <c r="M199">
        <v>0.16</v>
      </c>
      <c r="N199">
        <v>0.81</v>
      </c>
      <c r="O199">
        <v>34435.56</v>
      </c>
      <c r="P199">
        <v>0</v>
      </c>
      <c r="Q199">
        <f ca="1">DATEDIF(banking_loan_data[[#This Row],[Issue Date]],TODAY(),"M")</f>
        <v>57</v>
      </c>
      <c r="R199">
        <f t="shared" si="18"/>
        <v>8962.68</v>
      </c>
      <c r="S199">
        <f>+banking_loan_data[[#This Row],[Loan Amount]]+banking_loan_data[[#This Row],[Interest earned]]</f>
        <v>40410.68</v>
      </c>
      <c r="T199" s="2">
        <f t="shared" si="19"/>
        <v>2987.5599999999977</v>
      </c>
      <c r="U199" s="2">
        <f t="shared" si="20"/>
        <v>0</v>
      </c>
      <c r="V199" s="2" t="str">
        <f>IF(banking_loan_data[[#This Row],[Loan Status]]="FULLY PAID","GOOD",IF(banking_loan_data[[#This Row],[Loan Status]]="CURRENT","ACTIVE","BAD"))</f>
        <v>GOOD</v>
      </c>
      <c r="W19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99" s="3">
        <f t="shared" si="21"/>
        <v>24896.333352338672</v>
      </c>
      <c r="Y199" s="4">
        <f t="shared" si="22"/>
        <v>9.4999999999999932E-2</v>
      </c>
      <c r="Z199" s="2" t="str">
        <f t="shared" si="23"/>
        <v>High Risk</v>
      </c>
    </row>
    <row r="200" spans="1:26" x14ac:dyDescent="0.3">
      <c r="A200" t="s">
        <v>442</v>
      </c>
      <c r="B200" s="1">
        <v>44250</v>
      </c>
      <c r="C200" t="s">
        <v>443</v>
      </c>
      <c r="D200" t="s">
        <v>40</v>
      </c>
      <c r="E200">
        <v>27172</v>
      </c>
      <c r="F200">
        <v>12.5</v>
      </c>
      <c r="G200">
        <v>60</v>
      </c>
      <c r="H200" t="s">
        <v>26</v>
      </c>
      <c r="I200" t="s">
        <v>73</v>
      </c>
      <c r="J200" t="s">
        <v>47</v>
      </c>
      <c r="K200">
        <v>138036</v>
      </c>
      <c r="L200" t="s">
        <v>33</v>
      </c>
      <c r="M200">
        <v>0.32</v>
      </c>
      <c r="N200">
        <v>0.59</v>
      </c>
      <c r="O200">
        <v>11741.28</v>
      </c>
      <c r="P200">
        <v>0</v>
      </c>
      <c r="Q200">
        <f ca="1">DATEDIF(banking_loan_data[[#This Row],[Issue Date]],TODAY(),"M")</f>
        <v>60</v>
      </c>
      <c r="R200">
        <f t="shared" si="18"/>
        <v>16982.5</v>
      </c>
      <c r="S200">
        <f>+banking_loan_data[[#This Row],[Loan Amount]]+banking_loan_data[[#This Row],[Interest earned]]</f>
        <v>44154.5</v>
      </c>
      <c r="T200" s="2">
        <f t="shared" si="19"/>
        <v>-15430.72</v>
      </c>
      <c r="U200" s="2">
        <f t="shared" si="20"/>
        <v>0</v>
      </c>
      <c r="V200" s="2" t="str">
        <f>IF(banking_loan_data[[#This Row],[Loan Status]]="FULLY PAID","GOOD",IF(banking_loan_data[[#This Row],[Loan Status]]="CURRENT","ACTIVE","BAD"))</f>
        <v>ACTIVE</v>
      </c>
      <c r="W20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00" s="3">
        <f t="shared" si="21"/>
        <v>28304.166666666668</v>
      </c>
      <c r="Y200" s="4">
        <f t="shared" si="22"/>
        <v>-0.56789047548947447</v>
      </c>
      <c r="Z200" s="2" t="str">
        <f t="shared" si="23"/>
        <v>Normal</v>
      </c>
    </row>
    <row r="201" spans="1:26" x14ac:dyDescent="0.3">
      <c r="A201" t="s">
        <v>444</v>
      </c>
      <c r="B201" s="1">
        <v>44824</v>
      </c>
      <c r="C201" t="s">
        <v>445</v>
      </c>
      <c r="D201" t="s">
        <v>65</v>
      </c>
      <c r="E201">
        <v>8657</v>
      </c>
      <c r="F201">
        <v>14.2</v>
      </c>
      <c r="G201">
        <v>36</v>
      </c>
      <c r="H201" t="s">
        <v>26</v>
      </c>
      <c r="I201" t="s">
        <v>73</v>
      </c>
      <c r="J201" t="s">
        <v>21</v>
      </c>
      <c r="K201">
        <v>49259</v>
      </c>
      <c r="L201" t="s">
        <v>22</v>
      </c>
      <c r="M201">
        <v>0.14000000000000001</v>
      </c>
      <c r="N201">
        <v>0.54</v>
      </c>
      <c r="O201">
        <v>3840.38</v>
      </c>
      <c r="P201">
        <v>0</v>
      </c>
      <c r="Q201">
        <f ca="1">DATEDIF(banking_loan_data[[#This Row],[Issue Date]],TODAY(),"M")</f>
        <v>41</v>
      </c>
      <c r="R201">
        <f t="shared" si="18"/>
        <v>3687.8819999999996</v>
      </c>
      <c r="S201">
        <f>+banking_loan_data[[#This Row],[Loan Amount]]+banking_loan_data[[#This Row],[Interest earned]]</f>
        <v>12344.882</v>
      </c>
      <c r="T201" s="2">
        <f t="shared" si="19"/>
        <v>-4816.62</v>
      </c>
      <c r="U201" s="2">
        <f t="shared" si="20"/>
        <v>0</v>
      </c>
      <c r="V201" s="2" t="str">
        <f>IF(banking_loan_data[[#This Row],[Loan Status]]="FULLY PAID","GOOD",IF(banking_loan_data[[#This Row],[Loan Status]]="CURRENT","ACTIVE","BAD"))</f>
        <v>ACTIVE</v>
      </c>
      <c r="W20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01" s="3">
        <f t="shared" si="21"/>
        <v>10244.116666673008</v>
      </c>
      <c r="Y201" s="4">
        <f t="shared" si="22"/>
        <v>-0.55638442878595351</v>
      </c>
      <c r="Z201" s="2" t="str">
        <f t="shared" si="23"/>
        <v>Normal</v>
      </c>
    </row>
    <row r="202" spans="1:26" x14ac:dyDescent="0.3">
      <c r="A202" t="s">
        <v>446</v>
      </c>
      <c r="B202" s="1">
        <v>44783</v>
      </c>
      <c r="C202" t="s">
        <v>447</v>
      </c>
      <c r="D202" t="s">
        <v>76</v>
      </c>
      <c r="E202">
        <v>19850</v>
      </c>
      <c r="F202">
        <v>14.6</v>
      </c>
      <c r="G202">
        <v>60</v>
      </c>
      <c r="H202" t="s">
        <v>19</v>
      </c>
      <c r="I202" t="s">
        <v>57</v>
      </c>
      <c r="J202" t="s">
        <v>28</v>
      </c>
      <c r="K202">
        <v>65959</v>
      </c>
      <c r="L202" t="s">
        <v>33</v>
      </c>
      <c r="M202">
        <v>0.12</v>
      </c>
      <c r="N202">
        <v>0.74</v>
      </c>
      <c r="O202">
        <v>22748.1</v>
      </c>
      <c r="P202">
        <v>0</v>
      </c>
      <c r="Q202">
        <f ca="1">DATEDIF(banking_loan_data[[#This Row],[Issue Date]],TODAY(),"M")</f>
        <v>43</v>
      </c>
      <c r="R202">
        <f t="shared" si="18"/>
        <v>14490.5</v>
      </c>
      <c r="S202">
        <f>+banking_loan_data[[#This Row],[Loan Amount]]+banking_loan_data[[#This Row],[Interest earned]]</f>
        <v>34340.5</v>
      </c>
      <c r="T202" s="2">
        <f t="shared" si="19"/>
        <v>2898.0999999999985</v>
      </c>
      <c r="U202" s="2">
        <f t="shared" si="20"/>
        <v>0</v>
      </c>
      <c r="V202" s="2" t="str">
        <f>IF(banking_loan_data[[#This Row],[Loan Status]]="FULLY PAID","GOOD",IF(banking_loan_data[[#This Row],[Loan Status]]="CURRENT","ACTIVE","BAD"))</f>
        <v>GOOD</v>
      </c>
      <c r="W20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02" s="3">
        <f t="shared" si="21"/>
        <v>24150.833333333332</v>
      </c>
      <c r="Y202" s="4">
        <f t="shared" si="22"/>
        <v>0.14599999999999994</v>
      </c>
      <c r="Z202" s="2" t="str">
        <f t="shared" si="23"/>
        <v>Normal</v>
      </c>
    </row>
    <row r="203" spans="1:26" x14ac:dyDescent="0.3">
      <c r="A203" t="s">
        <v>448</v>
      </c>
      <c r="B203" s="1">
        <v>44300</v>
      </c>
      <c r="C203" t="s">
        <v>449</v>
      </c>
      <c r="D203" t="s">
        <v>53</v>
      </c>
      <c r="E203">
        <v>26425</v>
      </c>
      <c r="F203">
        <v>13.7</v>
      </c>
      <c r="G203">
        <v>36</v>
      </c>
      <c r="H203" t="s">
        <v>19</v>
      </c>
      <c r="I203" t="s">
        <v>73</v>
      </c>
      <c r="J203" t="s">
        <v>32</v>
      </c>
      <c r="K203">
        <v>146525</v>
      </c>
      <c r="L203" t="s">
        <v>33</v>
      </c>
      <c r="M203">
        <v>0.36</v>
      </c>
      <c r="N203">
        <v>0.87</v>
      </c>
      <c r="O203">
        <v>30045.22</v>
      </c>
      <c r="P203">
        <v>0</v>
      </c>
      <c r="Q203">
        <f ca="1">DATEDIF(banking_loan_data[[#This Row],[Issue Date]],TODAY(),"M")</f>
        <v>59</v>
      </c>
      <c r="R203">
        <f t="shared" si="18"/>
        <v>10860.674999999999</v>
      </c>
      <c r="S203">
        <f>+banking_loan_data[[#This Row],[Loan Amount]]+banking_loan_data[[#This Row],[Interest earned]]</f>
        <v>37285.675000000003</v>
      </c>
      <c r="T203" s="2">
        <f t="shared" si="19"/>
        <v>3620.2200000000012</v>
      </c>
      <c r="U203" s="2">
        <f t="shared" si="20"/>
        <v>0</v>
      </c>
      <c r="V203" s="2" t="str">
        <f>IF(banking_loan_data[[#This Row],[Loan Status]]="FULLY PAID","GOOD",IF(banking_loan_data[[#This Row],[Loan Status]]="CURRENT","ACTIVE","BAD"))</f>
        <v>GOOD</v>
      </c>
      <c r="W20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03" s="3">
        <f t="shared" si="21"/>
        <v>30168.54166670403</v>
      </c>
      <c r="Y203" s="4">
        <f t="shared" si="22"/>
        <v>0.13699981078524129</v>
      </c>
      <c r="Z203" s="2" t="str">
        <f t="shared" si="23"/>
        <v>High Risk</v>
      </c>
    </row>
    <row r="204" spans="1:26" x14ac:dyDescent="0.3">
      <c r="A204" t="s">
        <v>450</v>
      </c>
      <c r="B204" s="1">
        <v>44450</v>
      </c>
      <c r="C204" t="s">
        <v>451</v>
      </c>
      <c r="D204" t="s">
        <v>65</v>
      </c>
      <c r="E204">
        <v>27685</v>
      </c>
      <c r="F204">
        <v>23.7</v>
      </c>
      <c r="G204">
        <v>60</v>
      </c>
      <c r="H204" t="s">
        <v>19</v>
      </c>
      <c r="I204" t="s">
        <v>73</v>
      </c>
      <c r="J204" t="s">
        <v>37</v>
      </c>
      <c r="K204">
        <v>63457</v>
      </c>
      <c r="L204" t="s">
        <v>22</v>
      </c>
      <c r="M204">
        <v>0.31</v>
      </c>
      <c r="N204">
        <v>0.55000000000000004</v>
      </c>
      <c r="O204">
        <v>34246.339999999997</v>
      </c>
      <c r="P204">
        <v>0</v>
      </c>
      <c r="Q204">
        <f ca="1">DATEDIF(banking_loan_data[[#This Row],[Issue Date]],TODAY(),"M")</f>
        <v>54</v>
      </c>
      <c r="R204">
        <f t="shared" si="18"/>
        <v>32806.724999999999</v>
      </c>
      <c r="S204">
        <f>+banking_loan_data[[#This Row],[Loan Amount]]+banking_loan_data[[#This Row],[Interest earned]]</f>
        <v>60491.724999999999</v>
      </c>
      <c r="T204" s="2">
        <f t="shared" si="19"/>
        <v>6561.3399999999965</v>
      </c>
      <c r="U204" s="2">
        <f t="shared" si="20"/>
        <v>0</v>
      </c>
      <c r="V204" s="2" t="str">
        <f>IF(banking_loan_data[[#This Row],[Loan Status]]="FULLY PAID","GOOD",IF(banking_loan_data[[#This Row],[Loan Status]]="CURRENT","ACTIVE","BAD"))</f>
        <v>GOOD</v>
      </c>
      <c r="W20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04" s="3">
        <f t="shared" si="21"/>
        <v>54677.874999999993</v>
      </c>
      <c r="Y204" s="4">
        <f t="shared" si="22"/>
        <v>0.23699981939678513</v>
      </c>
      <c r="Z204" s="2" t="str">
        <f t="shared" si="23"/>
        <v>Normal</v>
      </c>
    </row>
    <row r="205" spans="1:26" x14ac:dyDescent="0.3">
      <c r="A205" t="s">
        <v>452</v>
      </c>
      <c r="B205" s="1">
        <v>44706</v>
      </c>
      <c r="C205" t="s">
        <v>453</v>
      </c>
      <c r="D205" t="s">
        <v>18</v>
      </c>
      <c r="E205">
        <v>25578</v>
      </c>
      <c r="F205">
        <v>19.100000000000001</v>
      </c>
      <c r="G205">
        <v>60</v>
      </c>
      <c r="H205" t="s">
        <v>81</v>
      </c>
      <c r="I205" t="s">
        <v>27</v>
      </c>
      <c r="J205" t="s">
        <v>47</v>
      </c>
      <c r="K205">
        <v>115679</v>
      </c>
      <c r="L205" t="s">
        <v>29</v>
      </c>
      <c r="M205">
        <v>0.13</v>
      </c>
      <c r="N205">
        <v>0.86</v>
      </c>
      <c r="O205">
        <v>3866.58</v>
      </c>
      <c r="P205">
        <v>7371.47</v>
      </c>
      <c r="Q205">
        <f ca="1">DATEDIF(banking_loan_data[[#This Row],[Issue Date]],TODAY(),"M")</f>
        <v>45</v>
      </c>
      <c r="R205">
        <f t="shared" si="18"/>
        <v>24426.99</v>
      </c>
      <c r="S205">
        <f>+banking_loan_data[[#This Row],[Loan Amount]]+banking_loan_data[[#This Row],[Interest earned]]</f>
        <v>50004.990000000005</v>
      </c>
      <c r="T205" s="2">
        <f t="shared" si="19"/>
        <v>-14339.95</v>
      </c>
      <c r="U205" s="2">
        <f t="shared" si="20"/>
        <v>1</v>
      </c>
      <c r="V205" s="2" t="str">
        <f>IF(banking_loan_data[[#This Row],[Loan Status]]="FULLY PAID","GOOD",IF(banking_loan_data[[#This Row],[Loan Status]]="CURRENT","ACTIVE","BAD"))</f>
        <v>BAD</v>
      </c>
      <c r="W20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05" s="3">
        <f t="shared" si="21"/>
        <v>40711.65</v>
      </c>
      <c r="Y205" s="4">
        <f t="shared" si="22"/>
        <v>-0.56063609351786692</v>
      </c>
      <c r="Z205" s="2" t="str">
        <f t="shared" si="23"/>
        <v>High Risk</v>
      </c>
    </row>
    <row r="206" spans="1:26" x14ac:dyDescent="0.3">
      <c r="A206" t="s">
        <v>454</v>
      </c>
      <c r="B206" s="1">
        <v>44295</v>
      </c>
      <c r="C206" t="s">
        <v>455</v>
      </c>
      <c r="D206" t="s">
        <v>56</v>
      </c>
      <c r="E206">
        <v>29831</v>
      </c>
      <c r="F206">
        <v>17.600000000000001</v>
      </c>
      <c r="G206">
        <v>60</v>
      </c>
      <c r="H206" t="s">
        <v>26</v>
      </c>
      <c r="I206" t="s">
        <v>20</v>
      </c>
      <c r="J206" t="s">
        <v>37</v>
      </c>
      <c r="K206">
        <v>32103</v>
      </c>
      <c r="L206" t="s">
        <v>29</v>
      </c>
      <c r="M206">
        <v>0.11</v>
      </c>
      <c r="N206">
        <v>0.87</v>
      </c>
      <c r="O206">
        <v>3320.34</v>
      </c>
      <c r="P206">
        <v>0</v>
      </c>
      <c r="Q206">
        <f ca="1">DATEDIF(banking_loan_data[[#This Row],[Issue Date]],TODAY(),"M")</f>
        <v>59</v>
      </c>
      <c r="R206">
        <f t="shared" si="18"/>
        <v>26251.28000000001</v>
      </c>
      <c r="S206">
        <f>+banking_loan_data[[#This Row],[Loan Amount]]+banking_loan_data[[#This Row],[Interest earned]]</f>
        <v>56082.280000000013</v>
      </c>
      <c r="T206" s="2">
        <f t="shared" si="19"/>
        <v>-26510.66</v>
      </c>
      <c r="U206" s="2">
        <f t="shared" si="20"/>
        <v>0</v>
      </c>
      <c r="V206" s="2" t="str">
        <f>IF(banking_loan_data[[#This Row],[Loan Status]]="FULLY PAID","GOOD",IF(banking_loan_data[[#This Row],[Loan Status]]="CURRENT","ACTIVE","BAD"))</f>
        <v>ACTIVE</v>
      </c>
      <c r="W20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06" s="3">
        <f t="shared" si="21"/>
        <v>43752.133333333339</v>
      </c>
      <c r="Y206" s="4">
        <f t="shared" si="22"/>
        <v>-0.88869498173041461</v>
      </c>
      <c r="Z206" s="2" t="str">
        <f t="shared" si="23"/>
        <v>High Risk</v>
      </c>
    </row>
    <row r="207" spans="1:26" x14ac:dyDescent="0.3">
      <c r="A207" t="s">
        <v>456</v>
      </c>
      <c r="B207" s="1">
        <v>44349</v>
      </c>
      <c r="C207" t="s">
        <v>457</v>
      </c>
      <c r="D207" t="s">
        <v>40</v>
      </c>
      <c r="E207">
        <v>8906</v>
      </c>
      <c r="F207">
        <v>6</v>
      </c>
      <c r="G207">
        <v>36</v>
      </c>
      <c r="H207" t="s">
        <v>26</v>
      </c>
      <c r="I207" t="s">
        <v>27</v>
      </c>
      <c r="J207" t="s">
        <v>37</v>
      </c>
      <c r="K207">
        <v>95901</v>
      </c>
      <c r="L207" t="s">
        <v>33</v>
      </c>
      <c r="M207">
        <v>0.5</v>
      </c>
      <c r="N207">
        <v>0.72</v>
      </c>
      <c r="O207">
        <v>2971.76</v>
      </c>
      <c r="P207">
        <v>0</v>
      </c>
      <c r="Q207">
        <f ca="1">DATEDIF(banking_loan_data[[#This Row],[Issue Date]],TODAY(),"M")</f>
        <v>57</v>
      </c>
      <c r="R207">
        <f t="shared" si="18"/>
        <v>1603.08</v>
      </c>
      <c r="S207">
        <f>+banking_loan_data[[#This Row],[Loan Amount]]+banking_loan_data[[#This Row],[Interest earned]]</f>
        <v>10509.08</v>
      </c>
      <c r="T207" s="2">
        <f t="shared" si="19"/>
        <v>-5934.24</v>
      </c>
      <c r="U207" s="2">
        <f t="shared" si="20"/>
        <v>0</v>
      </c>
      <c r="V207" s="2" t="str">
        <f>IF(banking_loan_data[[#This Row],[Loan Status]]="FULLY PAID","GOOD",IF(banking_loan_data[[#This Row],[Loan Status]]="CURRENT","ACTIVE","BAD"))</f>
        <v>ACTIVE</v>
      </c>
      <c r="W20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07" s="3">
        <f t="shared" si="21"/>
        <v>4453.002038766871</v>
      </c>
      <c r="Y207" s="4">
        <f t="shared" si="22"/>
        <v>-0.66631933527958676</v>
      </c>
      <c r="Z207" s="2" t="str">
        <f t="shared" si="23"/>
        <v>High Risk</v>
      </c>
    </row>
    <row r="208" spans="1:26" x14ac:dyDescent="0.3">
      <c r="A208" t="s">
        <v>458</v>
      </c>
      <c r="B208" s="1">
        <v>45110</v>
      </c>
      <c r="C208" t="s">
        <v>459</v>
      </c>
      <c r="D208" t="s">
        <v>18</v>
      </c>
      <c r="E208">
        <v>8287</v>
      </c>
      <c r="F208">
        <v>23.1</v>
      </c>
      <c r="G208">
        <v>36</v>
      </c>
      <c r="H208" t="s">
        <v>26</v>
      </c>
      <c r="I208" t="s">
        <v>36</v>
      </c>
      <c r="J208" t="s">
        <v>37</v>
      </c>
      <c r="K208">
        <v>142314</v>
      </c>
      <c r="L208" t="s">
        <v>22</v>
      </c>
      <c r="M208">
        <v>0.11</v>
      </c>
      <c r="N208">
        <v>0.53</v>
      </c>
      <c r="O208">
        <v>1537.67</v>
      </c>
      <c r="P208">
        <v>0</v>
      </c>
      <c r="Q208">
        <f ca="1">DATEDIF(banking_loan_data[[#This Row],[Issue Date]],TODAY(),"M")</f>
        <v>32</v>
      </c>
      <c r="R208">
        <f t="shared" si="18"/>
        <v>5742.8909999999996</v>
      </c>
      <c r="S208">
        <f>+banking_loan_data[[#This Row],[Loan Amount]]+banking_loan_data[[#This Row],[Interest earned]]</f>
        <v>14029.891</v>
      </c>
      <c r="T208" s="2">
        <f t="shared" si="19"/>
        <v>-6749.33</v>
      </c>
      <c r="U208" s="2">
        <f t="shared" si="20"/>
        <v>0</v>
      </c>
      <c r="V208" s="2" t="str">
        <f>IF(banking_loan_data[[#This Row],[Loan Status]]="FULLY PAID","GOOD",IF(banking_loan_data[[#This Row],[Loan Status]]="CURRENT","ACTIVE","BAD"))</f>
        <v>ACTIVE</v>
      </c>
      <c r="W20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08" s="3">
        <f t="shared" si="21"/>
        <v>15952.475</v>
      </c>
      <c r="Y208" s="4">
        <f t="shared" si="22"/>
        <v>-0.81444793049354414</v>
      </c>
      <c r="Z208" s="2" t="str">
        <f t="shared" si="23"/>
        <v>Normal</v>
      </c>
    </row>
    <row r="209" spans="1:26" x14ac:dyDescent="0.3">
      <c r="A209" t="s">
        <v>460</v>
      </c>
      <c r="B209" s="1">
        <v>45074</v>
      </c>
      <c r="C209" t="s">
        <v>461</v>
      </c>
      <c r="D209" t="s">
        <v>50</v>
      </c>
      <c r="E209">
        <v>34660</v>
      </c>
      <c r="F209">
        <v>23.2</v>
      </c>
      <c r="G209">
        <v>60</v>
      </c>
      <c r="H209" t="s">
        <v>81</v>
      </c>
      <c r="I209" t="s">
        <v>73</v>
      </c>
      <c r="J209" t="s">
        <v>47</v>
      </c>
      <c r="K209">
        <v>74535</v>
      </c>
      <c r="L209" t="s">
        <v>29</v>
      </c>
      <c r="M209">
        <v>0.28000000000000003</v>
      </c>
      <c r="N209">
        <v>0.57999999999999996</v>
      </c>
      <c r="O209">
        <v>3659.1</v>
      </c>
      <c r="P209">
        <v>4720.7299999999996</v>
      </c>
      <c r="Q209">
        <f ca="1">DATEDIF(banking_loan_data[[#This Row],[Issue Date]],TODAY(),"M")</f>
        <v>33</v>
      </c>
      <c r="R209">
        <f t="shared" si="18"/>
        <v>40205.599999999999</v>
      </c>
      <c r="S209">
        <f>+banking_loan_data[[#This Row],[Loan Amount]]+banking_loan_data[[#This Row],[Interest earned]]</f>
        <v>74865.600000000006</v>
      </c>
      <c r="T209" s="2">
        <f t="shared" si="19"/>
        <v>-26280.17</v>
      </c>
      <c r="U209" s="2">
        <f t="shared" si="20"/>
        <v>1</v>
      </c>
      <c r="V209" s="2" t="str">
        <f>IF(banking_loan_data[[#This Row],[Loan Status]]="FULLY PAID","GOOD",IF(banking_loan_data[[#This Row],[Loan Status]]="CURRENT","ACTIVE","BAD"))</f>
        <v>BAD</v>
      </c>
      <c r="W20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09" s="3">
        <f t="shared" si="21"/>
        <v>67009.333333333328</v>
      </c>
      <c r="Y209" s="4">
        <f t="shared" si="22"/>
        <v>-0.75822763993075581</v>
      </c>
      <c r="Z209" s="2" t="str">
        <f t="shared" si="23"/>
        <v>Normal</v>
      </c>
    </row>
    <row r="210" spans="1:26" x14ac:dyDescent="0.3">
      <c r="A210" t="s">
        <v>462</v>
      </c>
      <c r="B210" s="1">
        <v>44534</v>
      </c>
      <c r="C210" t="s">
        <v>463</v>
      </c>
      <c r="D210" t="s">
        <v>76</v>
      </c>
      <c r="E210">
        <v>11222</v>
      </c>
      <c r="F210">
        <v>20.6</v>
      </c>
      <c r="G210">
        <v>60</v>
      </c>
      <c r="H210" t="s">
        <v>26</v>
      </c>
      <c r="I210" t="s">
        <v>27</v>
      </c>
      <c r="J210" t="s">
        <v>47</v>
      </c>
      <c r="K210">
        <v>46103</v>
      </c>
      <c r="L210" t="s">
        <v>29</v>
      </c>
      <c r="M210">
        <v>0.3</v>
      </c>
      <c r="N210">
        <v>0.82</v>
      </c>
      <c r="O210">
        <v>5048.66</v>
      </c>
      <c r="P210">
        <v>0</v>
      </c>
      <c r="Q210">
        <f ca="1">DATEDIF(banking_loan_data[[#This Row],[Issue Date]],TODAY(),"M")</f>
        <v>51</v>
      </c>
      <c r="R210">
        <f t="shared" si="18"/>
        <v>11558.659999999998</v>
      </c>
      <c r="S210">
        <f>+banking_loan_data[[#This Row],[Loan Amount]]+banking_loan_data[[#This Row],[Interest earned]]</f>
        <v>22780.659999999996</v>
      </c>
      <c r="T210" s="2">
        <f t="shared" si="19"/>
        <v>-6173.34</v>
      </c>
      <c r="U210" s="2">
        <f t="shared" si="20"/>
        <v>0</v>
      </c>
      <c r="V210" s="2" t="str">
        <f>IF(banking_loan_data[[#This Row],[Loan Status]]="FULLY PAID","GOOD",IF(banking_loan_data[[#This Row],[Loan Status]]="CURRENT","ACTIVE","BAD"))</f>
        <v>ACTIVE</v>
      </c>
      <c r="W21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10" s="3">
        <f t="shared" si="21"/>
        <v>19264.433333333334</v>
      </c>
      <c r="Y210" s="4">
        <f t="shared" si="22"/>
        <v>-0.55011049723756911</v>
      </c>
      <c r="Z210" s="2" t="str">
        <f t="shared" si="23"/>
        <v>High Risk</v>
      </c>
    </row>
    <row r="211" spans="1:26" x14ac:dyDescent="0.3">
      <c r="A211" t="s">
        <v>464</v>
      </c>
      <c r="B211" s="1">
        <v>45018</v>
      </c>
      <c r="C211" t="s">
        <v>465</v>
      </c>
      <c r="D211" t="s">
        <v>53</v>
      </c>
      <c r="E211">
        <v>38443</v>
      </c>
      <c r="F211">
        <v>5.0999999999999996</v>
      </c>
      <c r="G211">
        <v>36</v>
      </c>
      <c r="H211" t="s">
        <v>26</v>
      </c>
      <c r="I211" t="s">
        <v>73</v>
      </c>
      <c r="J211" t="s">
        <v>37</v>
      </c>
      <c r="K211">
        <v>128046</v>
      </c>
      <c r="L211" t="s">
        <v>33</v>
      </c>
      <c r="M211">
        <v>0.15</v>
      </c>
      <c r="N211">
        <v>0.82</v>
      </c>
      <c r="O211">
        <v>5847.39</v>
      </c>
      <c r="P211">
        <v>0</v>
      </c>
      <c r="Q211">
        <f ca="1">DATEDIF(banking_loan_data[[#This Row],[Issue Date]],TODAY(),"M")</f>
        <v>35</v>
      </c>
      <c r="R211">
        <f t="shared" si="18"/>
        <v>5881.7789999999995</v>
      </c>
      <c r="S211">
        <f>+banking_loan_data[[#This Row],[Loan Amount]]+banking_loan_data[[#This Row],[Interest earned]]</f>
        <v>44324.779000000002</v>
      </c>
      <c r="T211" s="2">
        <f t="shared" si="19"/>
        <v>-32595.61</v>
      </c>
      <c r="U211" s="2">
        <f t="shared" si="20"/>
        <v>0</v>
      </c>
      <c r="V211" s="2" t="str">
        <f>IF(banking_loan_data[[#This Row],[Loan Status]]="FULLY PAID","GOOD",IF(banking_loan_data[[#This Row],[Loan Status]]="CURRENT","ACTIVE","BAD"))</f>
        <v>ACTIVE</v>
      </c>
      <c r="W21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11" s="3">
        <f t="shared" si="21"/>
        <v>16338.322410260926</v>
      </c>
      <c r="Y211" s="4">
        <f t="shared" si="22"/>
        <v>-0.84789454517077234</v>
      </c>
      <c r="Z211" s="2" t="str">
        <f t="shared" si="23"/>
        <v>High Risk</v>
      </c>
    </row>
    <row r="212" spans="1:26" x14ac:dyDescent="0.3">
      <c r="A212" t="s">
        <v>466</v>
      </c>
      <c r="B212" s="1">
        <v>45153</v>
      </c>
      <c r="C212" t="s">
        <v>467</v>
      </c>
      <c r="D212" t="s">
        <v>50</v>
      </c>
      <c r="E212">
        <v>35701</v>
      </c>
      <c r="F212">
        <v>6.1</v>
      </c>
      <c r="G212">
        <v>36</v>
      </c>
      <c r="H212" t="s">
        <v>19</v>
      </c>
      <c r="I212" t="s">
        <v>84</v>
      </c>
      <c r="J212" t="s">
        <v>32</v>
      </c>
      <c r="K212">
        <v>120012</v>
      </c>
      <c r="L212" t="s">
        <v>22</v>
      </c>
      <c r="M212">
        <v>0.17</v>
      </c>
      <c r="N212">
        <v>0.9</v>
      </c>
      <c r="O212">
        <v>37878.76</v>
      </c>
      <c r="P212">
        <v>0</v>
      </c>
      <c r="Q212">
        <f ca="1">DATEDIF(banking_loan_data[[#This Row],[Issue Date]],TODAY(),"M")</f>
        <v>31</v>
      </c>
      <c r="R212">
        <f t="shared" si="18"/>
        <v>6533.2829999999994</v>
      </c>
      <c r="S212">
        <f>+banking_loan_data[[#This Row],[Loan Amount]]+banking_loan_data[[#This Row],[Interest earned]]</f>
        <v>42234.282999999996</v>
      </c>
      <c r="T212" s="2">
        <f t="shared" si="19"/>
        <v>2177.760000000002</v>
      </c>
      <c r="U212" s="2">
        <f t="shared" si="20"/>
        <v>0</v>
      </c>
      <c r="V212" s="2" t="str">
        <f>IF(banking_loan_data[[#This Row],[Loan Status]]="FULLY PAID","GOOD",IF(banking_loan_data[[#This Row],[Loan Status]]="CURRENT","ACTIVE","BAD"))</f>
        <v>GOOD</v>
      </c>
      <c r="W21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12" s="3">
        <f t="shared" si="21"/>
        <v>18148.015139856001</v>
      </c>
      <c r="Y212" s="4">
        <f t="shared" si="22"/>
        <v>6.0999971989580182E-2</v>
      </c>
      <c r="Z212" s="2" t="str">
        <f t="shared" si="23"/>
        <v>High Risk</v>
      </c>
    </row>
    <row r="213" spans="1:26" x14ac:dyDescent="0.3">
      <c r="A213" t="s">
        <v>468</v>
      </c>
      <c r="B213" s="1">
        <v>44357</v>
      </c>
      <c r="C213" t="s">
        <v>469</v>
      </c>
      <c r="D213" t="s">
        <v>40</v>
      </c>
      <c r="E213">
        <v>18764</v>
      </c>
      <c r="F213">
        <v>9.5</v>
      </c>
      <c r="G213">
        <v>36</v>
      </c>
      <c r="H213" t="s">
        <v>19</v>
      </c>
      <c r="I213" t="s">
        <v>36</v>
      </c>
      <c r="J213" t="s">
        <v>21</v>
      </c>
      <c r="K213">
        <v>108278</v>
      </c>
      <c r="L213" t="s">
        <v>29</v>
      </c>
      <c r="M213">
        <v>0.24</v>
      </c>
      <c r="N213">
        <v>0.76</v>
      </c>
      <c r="O213">
        <v>20546.580000000002</v>
      </c>
      <c r="P213">
        <v>0</v>
      </c>
      <c r="Q213">
        <f ca="1">DATEDIF(banking_loan_data[[#This Row],[Issue Date]],TODAY(),"M")</f>
        <v>57</v>
      </c>
      <c r="R213">
        <f t="shared" si="18"/>
        <v>5347.74</v>
      </c>
      <c r="S213">
        <f>+banking_loan_data[[#This Row],[Loan Amount]]+banking_loan_data[[#This Row],[Interest earned]]</f>
        <v>24111.739999999998</v>
      </c>
      <c r="T213" s="2">
        <f t="shared" si="19"/>
        <v>1782.5800000000017</v>
      </c>
      <c r="U213" s="2">
        <f t="shared" si="20"/>
        <v>0</v>
      </c>
      <c r="V213" s="2" t="str">
        <f>IF(banking_loan_data[[#This Row],[Loan Status]]="FULLY PAID","GOOD",IF(banking_loan_data[[#This Row],[Loan Status]]="CURRENT","ACTIVE","BAD"))</f>
        <v>GOOD</v>
      </c>
      <c r="W21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13" s="3">
        <f t="shared" si="21"/>
        <v>14854.833344673203</v>
      </c>
      <c r="Y213" s="4">
        <f t="shared" si="22"/>
        <v>9.5000000000000098E-2</v>
      </c>
      <c r="Z213" s="2" t="str">
        <f t="shared" si="23"/>
        <v>Normal</v>
      </c>
    </row>
    <row r="214" spans="1:26" x14ac:dyDescent="0.3">
      <c r="A214" t="s">
        <v>470</v>
      </c>
      <c r="B214" s="1">
        <v>44997</v>
      </c>
      <c r="C214" t="s">
        <v>471</v>
      </c>
      <c r="D214" t="s">
        <v>76</v>
      </c>
      <c r="E214">
        <v>18674</v>
      </c>
      <c r="F214">
        <v>7.6</v>
      </c>
      <c r="G214">
        <v>36</v>
      </c>
      <c r="H214" t="s">
        <v>19</v>
      </c>
      <c r="I214" t="s">
        <v>20</v>
      </c>
      <c r="J214" t="s">
        <v>37</v>
      </c>
      <c r="K214">
        <v>42391</v>
      </c>
      <c r="L214" t="s">
        <v>33</v>
      </c>
      <c r="M214">
        <v>0.4</v>
      </c>
      <c r="N214">
        <v>0.56000000000000005</v>
      </c>
      <c r="O214">
        <v>20093.22</v>
      </c>
      <c r="P214">
        <v>0</v>
      </c>
      <c r="Q214">
        <f ca="1">DATEDIF(banking_loan_data[[#This Row],[Issue Date]],TODAY(),"M")</f>
        <v>36</v>
      </c>
      <c r="R214">
        <f t="shared" si="18"/>
        <v>4257.6719999999996</v>
      </c>
      <c r="S214">
        <f>+banking_loan_data[[#This Row],[Loan Amount]]+banking_loan_data[[#This Row],[Interest earned]]</f>
        <v>22931.671999999999</v>
      </c>
      <c r="T214" s="2">
        <f t="shared" si="19"/>
        <v>1419.2200000000012</v>
      </c>
      <c r="U214" s="2">
        <f t="shared" si="20"/>
        <v>0</v>
      </c>
      <c r="V214" s="2" t="str">
        <f>IF(banking_loan_data[[#This Row],[Loan Status]]="FULLY PAID","GOOD",IF(banking_loan_data[[#This Row],[Loan Status]]="CURRENT","ACTIVE","BAD"))</f>
        <v>GOOD</v>
      </c>
      <c r="W21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14" s="3">
        <f t="shared" si="21"/>
        <v>11826.866919117028</v>
      </c>
      <c r="Y214" s="4">
        <f t="shared" si="22"/>
        <v>7.5999785798436387E-2</v>
      </c>
      <c r="Z214" s="2" t="str">
        <f t="shared" si="23"/>
        <v>Normal</v>
      </c>
    </row>
    <row r="215" spans="1:26" x14ac:dyDescent="0.3">
      <c r="A215" t="s">
        <v>472</v>
      </c>
      <c r="B215" s="1">
        <v>44594</v>
      </c>
      <c r="C215" t="s">
        <v>473</v>
      </c>
      <c r="D215" t="s">
        <v>18</v>
      </c>
      <c r="E215">
        <v>19024</v>
      </c>
      <c r="F215">
        <v>13</v>
      </c>
      <c r="G215">
        <v>36</v>
      </c>
      <c r="H215" t="s">
        <v>19</v>
      </c>
      <c r="I215" t="s">
        <v>57</v>
      </c>
      <c r="J215" t="s">
        <v>28</v>
      </c>
      <c r="K215">
        <v>132476</v>
      </c>
      <c r="L215" t="s">
        <v>33</v>
      </c>
      <c r="M215">
        <v>0.3</v>
      </c>
      <c r="N215">
        <v>0.55000000000000004</v>
      </c>
      <c r="O215">
        <v>21497.119999999999</v>
      </c>
      <c r="P215">
        <v>0</v>
      </c>
      <c r="Q215">
        <f ca="1">DATEDIF(banking_loan_data[[#This Row],[Issue Date]],TODAY(),"M")</f>
        <v>49</v>
      </c>
      <c r="R215">
        <f t="shared" si="18"/>
        <v>7419.36</v>
      </c>
      <c r="S215">
        <f>+banking_loan_data[[#This Row],[Loan Amount]]+banking_loan_data[[#This Row],[Interest earned]]</f>
        <v>26443.360000000001</v>
      </c>
      <c r="T215" s="2">
        <f t="shared" si="19"/>
        <v>2473.119999999999</v>
      </c>
      <c r="U215" s="2">
        <f t="shared" si="20"/>
        <v>0</v>
      </c>
      <c r="V215" s="2" t="str">
        <f>IF(banking_loan_data[[#This Row],[Loan Status]]="FULLY PAID","GOOD",IF(banking_loan_data[[#This Row],[Loan Status]]="CURRENT","ACTIVE","BAD"))</f>
        <v>GOOD</v>
      </c>
      <c r="W21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15" s="3">
        <f t="shared" si="21"/>
        <v>20609.333333402315</v>
      </c>
      <c r="Y215" s="4">
        <f t="shared" si="22"/>
        <v>0.12999999999999995</v>
      </c>
      <c r="Z215" s="2" t="str">
        <f t="shared" si="23"/>
        <v>Normal</v>
      </c>
    </row>
    <row r="216" spans="1:26" x14ac:dyDescent="0.3">
      <c r="A216" t="s">
        <v>474</v>
      </c>
      <c r="B216" s="1">
        <v>45012</v>
      </c>
      <c r="C216" t="s">
        <v>475</v>
      </c>
      <c r="D216" t="s">
        <v>56</v>
      </c>
      <c r="E216">
        <v>24874</v>
      </c>
      <c r="F216">
        <v>23.5</v>
      </c>
      <c r="G216">
        <v>36</v>
      </c>
      <c r="H216" t="s">
        <v>60</v>
      </c>
      <c r="I216" t="s">
        <v>57</v>
      </c>
      <c r="J216" t="s">
        <v>37</v>
      </c>
      <c r="K216">
        <v>58901</v>
      </c>
      <c r="L216" t="s">
        <v>33</v>
      </c>
      <c r="M216">
        <v>0.36</v>
      </c>
      <c r="N216">
        <v>0.82</v>
      </c>
      <c r="O216">
        <v>0</v>
      </c>
      <c r="P216">
        <v>0</v>
      </c>
      <c r="Q216">
        <f ca="1">DATEDIF(banking_loan_data[[#This Row],[Issue Date]],TODAY(),"M")</f>
        <v>35</v>
      </c>
      <c r="R216">
        <f t="shared" si="18"/>
        <v>17536.170000000002</v>
      </c>
      <c r="S216">
        <f>+banking_loan_data[[#This Row],[Loan Amount]]+banking_loan_data[[#This Row],[Interest earned]]</f>
        <v>42410.17</v>
      </c>
      <c r="T216" s="2">
        <f t="shared" si="19"/>
        <v>-24874</v>
      </c>
      <c r="U216" s="2">
        <f t="shared" si="20"/>
        <v>0</v>
      </c>
      <c r="V216" s="2" t="str">
        <f>IF(banking_loan_data[[#This Row],[Loan Status]]="FULLY PAID","GOOD",IF(banking_loan_data[[#This Row],[Loan Status]]="CURRENT","ACTIVE","BAD"))</f>
        <v>BAD</v>
      </c>
      <c r="W21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16" s="3">
        <f t="shared" si="21"/>
        <v>48711.583333333328</v>
      </c>
      <c r="Y216" s="4">
        <f t="shared" si="22"/>
        <v>-1</v>
      </c>
      <c r="Z216" s="2" t="str">
        <f t="shared" si="23"/>
        <v>High Risk</v>
      </c>
    </row>
    <row r="217" spans="1:26" x14ac:dyDescent="0.3">
      <c r="A217" t="s">
        <v>476</v>
      </c>
      <c r="B217" s="1">
        <v>44597</v>
      </c>
      <c r="C217" t="s">
        <v>477</v>
      </c>
      <c r="D217" t="s">
        <v>56</v>
      </c>
      <c r="E217">
        <v>33284</v>
      </c>
      <c r="F217">
        <v>14.4</v>
      </c>
      <c r="G217">
        <v>60</v>
      </c>
      <c r="H217" t="s">
        <v>19</v>
      </c>
      <c r="I217" t="s">
        <v>57</v>
      </c>
      <c r="J217" t="s">
        <v>47</v>
      </c>
      <c r="K217">
        <v>127537</v>
      </c>
      <c r="L217" t="s">
        <v>33</v>
      </c>
      <c r="M217">
        <v>0.49</v>
      </c>
      <c r="N217">
        <v>0.57999999999999996</v>
      </c>
      <c r="O217">
        <v>38076.9</v>
      </c>
      <c r="P217">
        <v>0</v>
      </c>
      <c r="Q217">
        <f ca="1">DATEDIF(banking_loan_data[[#This Row],[Issue Date]],TODAY(),"M")</f>
        <v>49</v>
      </c>
      <c r="R217">
        <f t="shared" si="18"/>
        <v>23964.48</v>
      </c>
      <c r="S217">
        <f>+banking_loan_data[[#This Row],[Loan Amount]]+banking_loan_data[[#This Row],[Interest earned]]</f>
        <v>57248.479999999996</v>
      </c>
      <c r="T217" s="2">
        <f t="shared" si="19"/>
        <v>4792.9000000000015</v>
      </c>
      <c r="U217" s="2">
        <f t="shared" si="20"/>
        <v>0</v>
      </c>
      <c r="V217" s="2" t="str">
        <f>IF(banking_loan_data[[#This Row],[Loan Status]]="FULLY PAID","GOOD",IF(banking_loan_data[[#This Row],[Loan Status]]="CURRENT","ACTIVE","BAD"))</f>
        <v>GOOD</v>
      </c>
      <c r="W21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17" s="3">
        <f t="shared" si="21"/>
        <v>39940.799999999996</v>
      </c>
      <c r="Y217" s="4">
        <f t="shared" si="22"/>
        <v>0.14400012017786329</v>
      </c>
      <c r="Z217" s="2" t="str">
        <f t="shared" si="23"/>
        <v>High Risk</v>
      </c>
    </row>
    <row r="218" spans="1:26" x14ac:dyDescent="0.3">
      <c r="A218" t="s">
        <v>478</v>
      </c>
      <c r="B218" s="1">
        <v>44836</v>
      </c>
      <c r="C218" t="s">
        <v>479</v>
      </c>
      <c r="D218" t="s">
        <v>46</v>
      </c>
      <c r="E218">
        <v>18602</v>
      </c>
      <c r="F218">
        <v>5.3</v>
      </c>
      <c r="G218">
        <v>36</v>
      </c>
      <c r="H218" t="s">
        <v>81</v>
      </c>
      <c r="I218" t="s">
        <v>20</v>
      </c>
      <c r="J218" t="s">
        <v>21</v>
      </c>
      <c r="K218">
        <v>111159</v>
      </c>
      <c r="L218" t="s">
        <v>29</v>
      </c>
      <c r="M218">
        <v>0.41</v>
      </c>
      <c r="N218">
        <v>0.65</v>
      </c>
      <c r="O218">
        <v>7046.14</v>
      </c>
      <c r="P218">
        <v>4694.51</v>
      </c>
      <c r="Q218">
        <f ca="1">DATEDIF(banking_loan_data[[#This Row],[Issue Date]],TODAY(),"M")</f>
        <v>41</v>
      </c>
      <c r="R218">
        <f t="shared" si="18"/>
        <v>2957.7179999999994</v>
      </c>
      <c r="S218">
        <f>+banking_loan_data[[#This Row],[Loan Amount]]+banking_loan_data[[#This Row],[Interest earned]]</f>
        <v>21559.718000000001</v>
      </c>
      <c r="T218" s="2">
        <f t="shared" si="19"/>
        <v>-6861.3499999999985</v>
      </c>
      <c r="U218" s="2">
        <f t="shared" si="20"/>
        <v>1</v>
      </c>
      <c r="V218" s="2" t="str">
        <f>IF(banking_loan_data[[#This Row],[Loan Status]]="FULLY PAID","GOOD",IF(banking_loan_data[[#This Row],[Loan Status]]="CURRENT","ACTIVE","BAD"))</f>
        <v>BAD</v>
      </c>
      <c r="W21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18" s="3">
        <f t="shared" si="21"/>
        <v>8215.8990196232626</v>
      </c>
      <c r="Y218" s="4">
        <f t="shared" si="22"/>
        <v>-0.36885012364261899</v>
      </c>
      <c r="Z218" s="2" t="str">
        <f t="shared" si="23"/>
        <v>High Risk</v>
      </c>
    </row>
    <row r="219" spans="1:26" x14ac:dyDescent="0.3">
      <c r="A219" t="s">
        <v>480</v>
      </c>
      <c r="B219" s="1">
        <v>45253</v>
      </c>
      <c r="C219" t="s">
        <v>481</v>
      </c>
      <c r="D219" t="s">
        <v>56</v>
      </c>
      <c r="E219">
        <v>38784</v>
      </c>
      <c r="F219">
        <v>10.7</v>
      </c>
      <c r="G219">
        <v>60</v>
      </c>
      <c r="H219" t="s">
        <v>19</v>
      </c>
      <c r="I219" t="s">
        <v>84</v>
      </c>
      <c r="J219" t="s">
        <v>28</v>
      </c>
      <c r="K219">
        <v>97914</v>
      </c>
      <c r="L219" t="s">
        <v>22</v>
      </c>
      <c r="M219">
        <v>0.27</v>
      </c>
      <c r="N219">
        <v>0.72</v>
      </c>
      <c r="O219">
        <v>42933.89</v>
      </c>
      <c r="P219">
        <v>0</v>
      </c>
      <c r="Q219">
        <f ca="1">DATEDIF(banking_loan_data[[#This Row],[Issue Date]],TODAY(),"M")</f>
        <v>27</v>
      </c>
      <c r="R219">
        <f t="shared" si="18"/>
        <v>20749.439999999999</v>
      </c>
      <c r="S219">
        <f>+banking_loan_data[[#This Row],[Loan Amount]]+banking_loan_data[[#This Row],[Interest earned]]</f>
        <v>59533.440000000002</v>
      </c>
      <c r="T219" s="2">
        <f t="shared" si="19"/>
        <v>4149.8899999999994</v>
      </c>
      <c r="U219" s="2">
        <f t="shared" si="20"/>
        <v>0</v>
      </c>
      <c r="V219" s="2" t="str">
        <f>IF(banking_loan_data[[#This Row],[Loan Status]]="FULLY PAID","GOOD",IF(banking_loan_data[[#This Row],[Loan Status]]="CURRENT","ACTIVE","BAD"))</f>
        <v>GOOD</v>
      </c>
      <c r="W21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19" s="3">
        <f t="shared" si="21"/>
        <v>34582.399999999994</v>
      </c>
      <c r="Y219" s="4">
        <f t="shared" si="22"/>
        <v>0.10700005156765675</v>
      </c>
      <c r="Z219" s="2" t="str">
        <f t="shared" si="23"/>
        <v>Normal</v>
      </c>
    </row>
    <row r="220" spans="1:26" x14ac:dyDescent="0.3">
      <c r="A220" t="s">
        <v>482</v>
      </c>
      <c r="B220" s="1">
        <v>44884</v>
      </c>
      <c r="C220" t="s">
        <v>483</v>
      </c>
      <c r="D220" t="s">
        <v>72</v>
      </c>
      <c r="E220">
        <v>24265</v>
      </c>
      <c r="F220">
        <v>5.9</v>
      </c>
      <c r="G220">
        <v>36</v>
      </c>
      <c r="H220" t="s">
        <v>19</v>
      </c>
      <c r="I220" t="s">
        <v>20</v>
      </c>
      <c r="J220" t="s">
        <v>21</v>
      </c>
      <c r="K220">
        <v>80357</v>
      </c>
      <c r="L220" t="s">
        <v>33</v>
      </c>
      <c r="M220">
        <v>0.28000000000000003</v>
      </c>
      <c r="N220">
        <v>0.51</v>
      </c>
      <c r="O220">
        <v>25696.639999999999</v>
      </c>
      <c r="P220">
        <v>0</v>
      </c>
      <c r="Q220">
        <f ca="1">DATEDIF(banking_loan_data[[#This Row],[Issue Date]],TODAY(),"M")</f>
        <v>40</v>
      </c>
      <c r="R220">
        <f t="shared" si="18"/>
        <v>4294.9049999999997</v>
      </c>
      <c r="S220">
        <f>+banking_loan_data[[#This Row],[Loan Amount]]+banking_loan_data[[#This Row],[Interest earned]]</f>
        <v>28559.904999999999</v>
      </c>
      <c r="T220" s="2">
        <f t="shared" si="19"/>
        <v>1431.6399999999994</v>
      </c>
      <c r="U220" s="2">
        <f t="shared" si="20"/>
        <v>0</v>
      </c>
      <c r="V220" s="2" t="str">
        <f>IF(banking_loan_data[[#This Row],[Loan Status]]="FULLY PAID","GOOD",IF(banking_loan_data[[#This Row],[Loan Status]]="CURRENT","ACTIVE","BAD"))</f>
        <v>GOOD</v>
      </c>
      <c r="W22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20" s="3">
        <f t="shared" si="21"/>
        <v>11930.298341909154</v>
      </c>
      <c r="Y220" s="4">
        <f t="shared" si="22"/>
        <v>5.9000206058108365E-2</v>
      </c>
      <c r="Z220" s="2" t="str">
        <f t="shared" si="23"/>
        <v>Normal</v>
      </c>
    </row>
    <row r="221" spans="1:26" x14ac:dyDescent="0.3">
      <c r="A221" t="s">
        <v>484</v>
      </c>
      <c r="B221" s="1">
        <v>44656</v>
      </c>
      <c r="C221" t="s">
        <v>485</v>
      </c>
      <c r="D221" t="s">
        <v>56</v>
      </c>
      <c r="E221">
        <v>26931</v>
      </c>
      <c r="F221">
        <v>5.7</v>
      </c>
      <c r="G221">
        <v>36</v>
      </c>
      <c r="H221" t="s">
        <v>81</v>
      </c>
      <c r="I221" t="s">
        <v>73</v>
      </c>
      <c r="J221" t="s">
        <v>21</v>
      </c>
      <c r="K221">
        <v>116908</v>
      </c>
      <c r="L221" t="s">
        <v>33</v>
      </c>
      <c r="M221">
        <v>0.35</v>
      </c>
      <c r="N221">
        <v>0.61</v>
      </c>
      <c r="O221">
        <v>8489.4699999999993</v>
      </c>
      <c r="P221">
        <v>8648.65</v>
      </c>
      <c r="Q221">
        <f ca="1">DATEDIF(banking_loan_data[[#This Row],[Issue Date]],TODAY(),"M")</f>
        <v>47</v>
      </c>
      <c r="R221">
        <f t="shared" si="18"/>
        <v>4605.201</v>
      </c>
      <c r="S221">
        <f>+banking_loan_data[[#This Row],[Loan Amount]]+banking_loan_data[[#This Row],[Interest earned]]</f>
        <v>31536.201000000001</v>
      </c>
      <c r="T221" s="2">
        <f t="shared" si="19"/>
        <v>-9792.880000000001</v>
      </c>
      <c r="U221" s="2">
        <f t="shared" si="20"/>
        <v>1</v>
      </c>
      <c r="V221" s="2" t="str">
        <f>IF(banking_loan_data[[#This Row],[Loan Status]]="FULLY PAID","GOOD",IF(banking_loan_data[[#This Row],[Loan Status]]="CURRENT","ACTIVE","BAD"))</f>
        <v>BAD</v>
      </c>
      <c r="W22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21" s="3">
        <f t="shared" si="21"/>
        <v>12792.235725899476</v>
      </c>
      <c r="Y221" s="4">
        <f t="shared" si="22"/>
        <v>-0.36362853217481717</v>
      </c>
      <c r="Z221" s="2" t="str">
        <f t="shared" si="23"/>
        <v>Normal</v>
      </c>
    </row>
    <row r="222" spans="1:26" x14ac:dyDescent="0.3">
      <c r="A222" t="s">
        <v>486</v>
      </c>
      <c r="B222" s="1">
        <v>45151</v>
      </c>
      <c r="C222" t="s">
        <v>487</v>
      </c>
      <c r="D222" t="s">
        <v>72</v>
      </c>
      <c r="E222">
        <v>29841</v>
      </c>
      <c r="F222">
        <v>10.5</v>
      </c>
      <c r="G222">
        <v>60</v>
      </c>
      <c r="H222" t="s">
        <v>19</v>
      </c>
      <c r="I222" t="s">
        <v>27</v>
      </c>
      <c r="J222" t="s">
        <v>28</v>
      </c>
      <c r="K222">
        <v>140335</v>
      </c>
      <c r="L222" t="s">
        <v>29</v>
      </c>
      <c r="M222">
        <v>0.37</v>
      </c>
      <c r="N222">
        <v>0.68</v>
      </c>
      <c r="O222">
        <v>32974.300000000003</v>
      </c>
      <c r="P222">
        <v>0</v>
      </c>
      <c r="Q222">
        <f ca="1">DATEDIF(banking_loan_data[[#This Row],[Issue Date]],TODAY(),"M")</f>
        <v>31</v>
      </c>
      <c r="R222">
        <f t="shared" si="18"/>
        <v>15666.525</v>
      </c>
      <c r="S222">
        <f>+banking_loan_data[[#This Row],[Loan Amount]]+banking_loan_data[[#This Row],[Interest earned]]</f>
        <v>45507.525000000001</v>
      </c>
      <c r="T222" s="2">
        <f t="shared" si="19"/>
        <v>3133.3000000000029</v>
      </c>
      <c r="U222" s="2">
        <f t="shared" si="20"/>
        <v>0</v>
      </c>
      <c r="V222" s="2" t="str">
        <f>IF(banking_loan_data[[#This Row],[Loan Status]]="FULLY PAID","GOOD",IF(banking_loan_data[[#This Row],[Loan Status]]="CURRENT","ACTIVE","BAD"))</f>
        <v>GOOD</v>
      </c>
      <c r="W22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22" s="3">
        <f t="shared" si="21"/>
        <v>26110.875</v>
      </c>
      <c r="Y222" s="4">
        <f t="shared" si="22"/>
        <v>0.10499983244529348</v>
      </c>
      <c r="Z222" s="2" t="str">
        <f t="shared" si="23"/>
        <v>Normal</v>
      </c>
    </row>
    <row r="223" spans="1:26" x14ac:dyDescent="0.3">
      <c r="A223" t="s">
        <v>488</v>
      </c>
      <c r="B223" s="1">
        <v>44666</v>
      </c>
      <c r="C223" t="s">
        <v>489</v>
      </c>
      <c r="D223" t="s">
        <v>25</v>
      </c>
      <c r="E223">
        <v>30192</v>
      </c>
      <c r="F223">
        <v>10.5</v>
      </c>
      <c r="G223">
        <v>60</v>
      </c>
      <c r="H223" t="s">
        <v>19</v>
      </c>
      <c r="I223" t="s">
        <v>20</v>
      </c>
      <c r="J223" t="s">
        <v>37</v>
      </c>
      <c r="K223">
        <v>68437</v>
      </c>
      <c r="L223" t="s">
        <v>33</v>
      </c>
      <c r="M223">
        <v>0.3</v>
      </c>
      <c r="N223">
        <v>0.63</v>
      </c>
      <c r="O223">
        <v>33362.160000000003</v>
      </c>
      <c r="P223">
        <v>0</v>
      </c>
      <c r="Q223">
        <f ca="1">DATEDIF(banking_loan_data[[#This Row],[Issue Date]],TODAY(),"M")</f>
        <v>47</v>
      </c>
      <c r="R223">
        <f t="shared" si="18"/>
        <v>15850.799999999997</v>
      </c>
      <c r="S223">
        <f>+banking_loan_data[[#This Row],[Loan Amount]]+banking_loan_data[[#This Row],[Interest earned]]</f>
        <v>46042.799999999996</v>
      </c>
      <c r="T223" s="2">
        <f t="shared" si="19"/>
        <v>3170.1600000000035</v>
      </c>
      <c r="U223" s="2">
        <f t="shared" si="20"/>
        <v>0</v>
      </c>
      <c r="V223" s="2" t="str">
        <f>IF(banking_loan_data[[#This Row],[Loan Status]]="FULLY PAID","GOOD",IF(banking_loan_data[[#This Row],[Loan Status]]="CURRENT","ACTIVE","BAD"))</f>
        <v>GOOD</v>
      </c>
      <c r="W22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23" s="3">
        <f t="shared" si="21"/>
        <v>26418</v>
      </c>
      <c r="Y223" s="4">
        <f t="shared" si="22"/>
        <v>0.10500000000000012</v>
      </c>
      <c r="Z223" s="2" t="str">
        <f t="shared" si="23"/>
        <v>Normal</v>
      </c>
    </row>
    <row r="224" spans="1:26" x14ac:dyDescent="0.3">
      <c r="A224" t="s">
        <v>490</v>
      </c>
      <c r="B224" s="1">
        <v>45242</v>
      </c>
      <c r="C224" t="s">
        <v>491</v>
      </c>
      <c r="D224" t="s">
        <v>72</v>
      </c>
      <c r="E224">
        <v>16585</v>
      </c>
      <c r="F224">
        <v>20.7</v>
      </c>
      <c r="G224">
        <v>36</v>
      </c>
      <c r="H224" t="s">
        <v>19</v>
      </c>
      <c r="I224" t="s">
        <v>36</v>
      </c>
      <c r="J224" t="s">
        <v>37</v>
      </c>
      <c r="K224">
        <v>65503</v>
      </c>
      <c r="L224" t="s">
        <v>33</v>
      </c>
      <c r="M224">
        <v>0.36</v>
      </c>
      <c r="N224">
        <v>0.56000000000000005</v>
      </c>
      <c r="O224">
        <v>20018.099999999999</v>
      </c>
      <c r="P224">
        <v>0</v>
      </c>
      <c r="Q224">
        <f ca="1">DATEDIF(banking_loan_data[[#This Row],[Issue Date]],TODAY(),"M")</f>
        <v>28</v>
      </c>
      <c r="R224">
        <f t="shared" si="18"/>
        <v>10299.285</v>
      </c>
      <c r="S224">
        <f>+banking_loan_data[[#This Row],[Loan Amount]]+banking_loan_data[[#This Row],[Interest earned]]</f>
        <v>26884.285</v>
      </c>
      <c r="T224" s="2">
        <f t="shared" si="19"/>
        <v>3433.0999999999985</v>
      </c>
      <c r="U224" s="2">
        <f t="shared" si="20"/>
        <v>0</v>
      </c>
      <c r="V224" s="2" t="str">
        <f>IF(banking_loan_data[[#This Row],[Loan Status]]="FULLY PAID","GOOD",IF(banking_loan_data[[#This Row],[Loan Status]]="CURRENT","ACTIVE","BAD"))</f>
        <v>GOOD</v>
      </c>
      <c r="W22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24" s="3">
        <f t="shared" si="21"/>
        <v>28609.125000000004</v>
      </c>
      <c r="Y224" s="4">
        <f t="shared" si="22"/>
        <v>0.20700030147723839</v>
      </c>
      <c r="Z224" s="2" t="str">
        <f t="shared" si="23"/>
        <v>Normal</v>
      </c>
    </row>
    <row r="225" spans="1:26" x14ac:dyDescent="0.3">
      <c r="A225" t="s">
        <v>492</v>
      </c>
      <c r="B225" s="1">
        <v>44946</v>
      </c>
      <c r="C225" t="s">
        <v>493</v>
      </c>
      <c r="D225" t="s">
        <v>76</v>
      </c>
      <c r="E225">
        <v>26559</v>
      </c>
      <c r="F225">
        <v>24.5</v>
      </c>
      <c r="G225">
        <v>60</v>
      </c>
      <c r="H225" t="s">
        <v>26</v>
      </c>
      <c r="I225" t="s">
        <v>84</v>
      </c>
      <c r="J225" t="s">
        <v>37</v>
      </c>
      <c r="K225">
        <v>126282</v>
      </c>
      <c r="L225" t="s">
        <v>22</v>
      </c>
      <c r="M225">
        <v>0.11</v>
      </c>
      <c r="N225">
        <v>0.83</v>
      </c>
      <c r="O225">
        <v>10442.84</v>
      </c>
      <c r="P225">
        <v>0</v>
      </c>
      <c r="Q225">
        <f ca="1">DATEDIF(banking_loan_data[[#This Row],[Issue Date]],TODAY(),"M")</f>
        <v>37</v>
      </c>
      <c r="R225">
        <f t="shared" si="18"/>
        <v>32534.774999999998</v>
      </c>
      <c r="S225">
        <f>+banking_loan_data[[#This Row],[Loan Amount]]+banking_loan_data[[#This Row],[Interest earned]]</f>
        <v>59093.774999999994</v>
      </c>
      <c r="T225" s="2">
        <f t="shared" si="19"/>
        <v>-16116.16</v>
      </c>
      <c r="U225" s="2">
        <f t="shared" si="20"/>
        <v>0</v>
      </c>
      <c r="V225" s="2" t="str">
        <f>IF(banking_loan_data[[#This Row],[Loan Status]]="FULLY PAID","GOOD",IF(banking_loan_data[[#This Row],[Loan Status]]="CURRENT","ACTIVE","BAD"))</f>
        <v>ACTIVE</v>
      </c>
      <c r="W22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25" s="3">
        <f t="shared" si="21"/>
        <v>54224.624999999993</v>
      </c>
      <c r="Y225" s="4">
        <f t="shared" si="22"/>
        <v>-0.60680597914078094</v>
      </c>
      <c r="Z225" s="2" t="str">
        <f t="shared" si="23"/>
        <v>High Risk</v>
      </c>
    </row>
    <row r="226" spans="1:26" x14ac:dyDescent="0.3">
      <c r="A226" t="s">
        <v>494</v>
      </c>
      <c r="B226" s="1">
        <v>44234</v>
      </c>
      <c r="C226" t="s">
        <v>495</v>
      </c>
      <c r="D226" t="s">
        <v>50</v>
      </c>
      <c r="E226">
        <v>34742</v>
      </c>
      <c r="F226">
        <v>12.4</v>
      </c>
      <c r="G226">
        <v>60</v>
      </c>
      <c r="H226" t="s">
        <v>19</v>
      </c>
      <c r="I226" t="s">
        <v>73</v>
      </c>
      <c r="J226" t="s">
        <v>32</v>
      </c>
      <c r="K226">
        <v>123459</v>
      </c>
      <c r="L226" t="s">
        <v>33</v>
      </c>
      <c r="M226">
        <v>0.27</v>
      </c>
      <c r="N226">
        <v>0.87</v>
      </c>
      <c r="O226">
        <v>39050.01</v>
      </c>
      <c r="P226">
        <v>0</v>
      </c>
      <c r="Q226">
        <f ca="1">DATEDIF(banking_loan_data[[#This Row],[Issue Date]],TODAY(),"M")</f>
        <v>61</v>
      </c>
      <c r="R226">
        <f t="shared" si="18"/>
        <v>21540.039999999997</v>
      </c>
      <c r="S226">
        <f>+banking_loan_data[[#This Row],[Loan Amount]]+banking_loan_data[[#This Row],[Interest earned]]</f>
        <v>56282.039999999994</v>
      </c>
      <c r="T226" s="2">
        <f t="shared" si="19"/>
        <v>4308.010000000002</v>
      </c>
      <c r="U226" s="2">
        <f t="shared" si="20"/>
        <v>0</v>
      </c>
      <c r="V226" s="2" t="str">
        <f>IF(banking_loan_data[[#This Row],[Loan Status]]="FULLY PAID","GOOD",IF(banking_loan_data[[#This Row],[Loan Status]]="CURRENT","ACTIVE","BAD"))</f>
        <v>GOOD</v>
      </c>
      <c r="W22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26" s="3">
        <f t="shared" si="21"/>
        <v>35900.066666666673</v>
      </c>
      <c r="Y226" s="4">
        <f t="shared" si="22"/>
        <v>0.12400005756720978</v>
      </c>
      <c r="Z226" s="2" t="str">
        <f t="shared" si="23"/>
        <v>High Risk</v>
      </c>
    </row>
    <row r="227" spans="1:26" x14ac:dyDescent="0.3">
      <c r="A227" t="s">
        <v>496</v>
      </c>
      <c r="B227" s="1">
        <v>44426</v>
      </c>
      <c r="C227" t="s">
        <v>497</v>
      </c>
      <c r="D227" t="s">
        <v>76</v>
      </c>
      <c r="E227">
        <v>5133</v>
      </c>
      <c r="F227">
        <v>13.6</v>
      </c>
      <c r="G227">
        <v>60</v>
      </c>
      <c r="H227" t="s">
        <v>26</v>
      </c>
      <c r="I227" t="s">
        <v>57</v>
      </c>
      <c r="J227" t="s">
        <v>37</v>
      </c>
      <c r="K227">
        <v>105403</v>
      </c>
      <c r="L227" t="s">
        <v>29</v>
      </c>
      <c r="M227">
        <v>0.21</v>
      </c>
      <c r="N227">
        <v>0.62</v>
      </c>
      <c r="O227">
        <v>722</v>
      </c>
      <c r="P227">
        <v>0</v>
      </c>
      <c r="Q227">
        <f ca="1">DATEDIF(banking_loan_data[[#This Row],[Issue Date]],TODAY(),"M")</f>
        <v>55</v>
      </c>
      <c r="R227">
        <f t="shared" si="18"/>
        <v>3490.4400000000005</v>
      </c>
      <c r="S227">
        <f>+banking_loan_data[[#This Row],[Loan Amount]]+banking_loan_data[[#This Row],[Interest earned]]</f>
        <v>8623.44</v>
      </c>
      <c r="T227" s="2">
        <f t="shared" si="19"/>
        <v>-4411</v>
      </c>
      <c r="U227" s="2">
        <f t="shared" si="20"/>
        <v>0</v>
      </c>
      <c r="V227" s="2" t="str">
        <f>IF(banking_loan_data[[#This Row],[Loan Status]]="FULLY PAID","GOOD",IF(banking_loan_data[[#This Row],[Loan Status]]="CURRENT","ACTIVE","BAD"))</f>
        <v>ACTIVE</v>
      </c>
      <c r="W22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27" s="3">
        <f t="shared" si="21"/>
        <v>5817.4</v>
      </c>
      <c r="Y227" s="4">
        <f t="shared" si="22"/>
        <v>-0.85934151568283657</v>
      </c>
      <c r="Z227" s="2" t="str">
        <f t="shared" si="23"/>
        <v>Normal</v>
      </c>
    </row>
    <row r="228" spans="1:26" x14ac:dyDescent="0.3">
      <c r="A228" t="s">
        <v>498</v>
      </c>
      <c r="B228" s="1">
        <v>44759</v>
      </c>
      <c r="C228" t="s">
        <v>499</v>
      </c>
      <c r="D228" t="s">
        <v>50</v>
      </c>
      <c r="E228">
        <v>15663</v>
      </c>
      <c r="F228">
        <v>21.9</v>
      </c>
      <c r="G228">
        <v>60</v>
      </c>
      <c r="H228" t="s">
        <v>26</v>
      </c>
      <c r="I228" t="s">
        <v>20</v>
      </c>
      <c r="J228" t="s">
        <v>28</v>
      </c>
      <c r="K228">
        <v>71258</v>
      </c>
      <c r="L228" t="s">
        <v>22</v>
      </c>
      <c r="M228">
        <v>0.15</v>
      </c>
      <c r="N228">
        <v>0.85</v>
      </c>
      <c r="O228">
        <v>2433.83</v>
      </c>
      <c r="P228">
        <v>0</v>
      </c>
      <c r="Q228">
        <f ca="1">DATEDIF(banking_loan_data[[#This Row],[Issue Date]],TODAY(),"M")</f>
        <v>44</v>
      </c>
      <c r="R228">
        <f t="shared" si="18"/>
        <v>17150.984999999997</v>
      </c>
      <c r="S228">
        <f>+banking_loan_data[[#This Row],[Loan Amount]]+banking_loan_data[[#This Row],[Interest earned]]</f>
        <v>32813.985000000001</v>
      </c>
      <c r="T228" s="2">
        <f t="shared" si="19"/>
        <v>-13229.17</v>
      </c>
      <c r="U228" s="2">
        <f t="shared" si="20"/>
        <v>0</v>
      </c>
      <c r="V228" s="2" t="str">
        <f>IF(banking_loan_data[[#This Row],[Loan Status]]="FULLY PAID","GOOD",IF(banking_loan_data[[#This Row],[Loan Status]]="CURRENT","ACTIVE","BAD"))</f>
        <v>ACTIVE</v>
      </c>
      <c r="W22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28" s="3">
        <f t="shared" si="21"/>
        <v>28584.974999999999</v>
      </c>
      <c r="Y228" s="4">
        <f t="shared" si="22"/>
        <v>-0.84461278171486942</v>
      </c>
      <c r="Z228" s="2" t="str">
        <f t="shared" si="23"/>
        <v>High Risk</v>
      </c>
    </row>
    <row r="229" spans="1:26" x14ac:dyDescent="0.3">
      <c r="A229" t="s">
        <v>500</v>
      </c>
      <c r="B229" s="1">
        <v>44634</v>
      </c>
      <c r="C229" t="s">
        <v>501</v>
      </c>
      <c r="D229" t="s">
        <v>46</v>
      </c>
      <c r="E229">
        <v>22754</v>
      </c>
      <c r="F229">
        <v>10.4</v>
      </c>
      <c r="G229">
        <v>36</v>
      </c>
      <c r="H229" t="s">
        <v>26</v>
      </c>
      <c r="I229" t="s">
        <v>27</v>
      </c>
      <c r="J229" t="s">
        <v>32</v>
      </c>
      <c r="K229">
        <v>63724</v>
      </c>
      <c r="L229" t="s">
        <v>29</v>
      </c>
      <c r="M229">
        <v>0.14000000000000001</v>
      </c>
      <c r="N229">
        <v>0.67</v>
      </c>
      <c r="O229">
        <v>6475.12</v>
      </c>
      <c r="P229">
        <v>0</v>
      </c>
      <c r="Q229">
        <f ca="1">DATEDIF(banking_loan_data[[#This Row],[Issue Date]],TODAY(),"M")</f>
        <v>48</v>
      </c>
      <c r="R229">
        <f t="shared" si="18"/>
        <v>7099.2480000000005</v>
      </c>
      <c r="S229">
        <f>+banking_loan_data[[#This Row],[Loan Amount]]+banking_loan_data[[#This Row],[Interest earned]]</f>
        <v>29853.248</v>
      </c>
      <c r="T229" s="2">
        <f t="shared" si="19"/>
        <v>-16278.880000000001</v>
      </c>
      <c r="U229" s="2">
        <f t="shared" si="20"/>
        <v>0</v>
      </c>
      <c r="V229" s="2" t="str">
        <f>IF(banking_loan_data[[#This Row],[Loan Status]]="FULLY PAID","GOOD",IF(banking_loan_data[[#This Row],[Loan Status]]="CURRENT","ACTIVE","BAD"))</f>
        <v>ACTIVE</v>
      </c>
      <c r="W22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29" s="3">
        <f t="shared" si="21"/>
        <v>19720.133336772917</v>
      </c>
      <c r="Y229" s="4">
        <f t="shared" si="22"/>
        <v>-0.71542937505493542</v>
      </c>
      <c r="Z229" s="2" t="str">
        <f t="shared" si="23"/>
        <v>Normal</v>
      </c>
    </row>
    <row r="230" spans="1:26" x14ac:dyDescent="0.3">
      <c r="A230" t="s">
        <v>502</v>
      </c>
      <c r="B230" s="1">
        <v>44223</v>
      </c>
      <c r="C230" t="s">
        <v>503</v>
      </c>
      <c r="D230" t="s">
        <v>25</v>
      </c>
      <c r="E230">
        <v>4972</v>
      </c>
      <c r="F230">
        <v>8.1</v>
      </c>
      <c r="G230">
        <v>60</v>
      </c>
      <c r="H230" t="s">
        <v>26</v>
      </c>
      <c r="I230" t="s">
        <v>20</v>
      </c>
      <c r="J230" t="s">
        <v>37</v>
      </c>
      <c r="K230">
        <v>94286</v>
      </c>
      <c r="L230" t="s">
        <v>22</v>
      </c>
      <c r="M230">
        <v>0.34</v>
      </c>
      <c r="N230">
        <v>0.73</v>
      </c>
      <c r="O230">
        <v>633.66</v>
      </c>
      <c r="P230">
        <v>0</v>
      </c>
      <c r="Q230">
        <f ca="1">DATEDIF(banking_loan_data[[#This Row],[Issue Date]],TODAY(),"M")</f>
        <v>61</v>
      </c>
      <c r="R230">
        <f t="shared" si="18"/>
        <v>2013.6599999999999</v>
      </c>
      <c r="S230">
        <f>+banking_loan_data[[#This Row],[Loan Amount]]+banking_loan_data[[#This Row],[Interest earned]]</f>
        <v>6985.66</v>
      </c>
      <c r="T230" s="2">
        <f t="shared" si="19"/>
        <v>-4338.34</v>
      </c>
      <c r="U230" s="2">
        <f t="shared" si="20"/>
        <v>0</v>
      </c>
      <c r="V230" s="2" t="str">
        <f>IF(banking_loan_data[[#This Row],[Loan Status]]="FULLY PAID","GOOD",IF(banking_loan_data[[#This Row],[Loan Status]]="CURRENT","ACTIVE","BAD"))</f>
        <v>ACTIVE</v>
      </c>
      <c r="W23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30" s="3">
        <f t="shared" si="21"/>
        <v>3356.1000000001213</v>
      </c>
      <c r="Y230" s="4">
        <f t="shared" si="22"/>
        <v>-0.87255430410297674</v>
      </c>
      <c r="Z230" s="2" t="str">
        <f t="shared" si="23"/>
        <v>Normal</v>
      </c>
    </row>
    <row r="231" spans="1:26" x14ac:dyDescent="0.3">
      <c r="A231" t="s">
        <v>504</v>
      </c>
      <c r="B231" s="1">
        <v>44422</v>
      </c>
      <c r="C231" t="s">
        <v>505</v>
      </c>
      <c r="D231" t="s">
        <v>50</v>
      </c>
      <c r="E231">
        <v>6295</v>
      </c>
      <c r="F231">
        <v>22.1</v>
      </c>
      <c r="G231">
        <v>36</v>
      </c>
      <c r="H231" t="s">
        <v>19</v>
      </c>
      <c r="I231" t="s">
        <v>27</v>
      </c>
      <c r="J231" t="s">
        <v>32</v>
      </c>
      <c r="K231">
        <v>104842</v>
      </c>
      <c r="L231" t="s">
        <v>22</v>
      </c>
      <c r="M231">
        <v>0.31</v>
      </c>
      <c r="N231">
        <v>0.89</v>
      </c>
      <c r="O231">
        <v>7686.2</v>
      </c>
      <c r="P231">
        <v>0</v>
      </c>
      <c r="Q231">
        <f ca="1">DATEDIF(banking_loan_data[[#This Row],[Issue Date]],TODAY(),"M")</f>
        <v>55</v>
      </c>
      <c r="R231">
        <f t="shared" si="18"/>
        <v>4173.585</v>
      </c>
      <c r="S231">
        <f>+banking_loan_data[[#This Row],[Loan Amount]]+banking_loan_data[[#This Row],[Interest earned]]</f>
        <v>10468.584999999999</v>
      </c>
      <c r="T231" s="2">
        <f t="shared" si="19"/>
        <v>1391.1999999999998</v>
      </c>
      <c r="U231" s="2">
        <f t="shared" si="20"/>
        <v>0</v>
      </c>
      <c r="V231" s="2" t="str">
        <f>IF(banking_loan_data[[#This Row],[Loan Status]]="FULLY PAID","GOOD",IF(banking_loan_data[[#This Row],[Loan Status]]="CURRENT","ACTIVE","BAD"))</f>
        <v>GOOD</v>
      </c>
      <c r="W23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31" s="3">
        <f t="shared" si="21"/>
        <v>11593.291666666668</v>
      </c>
      <c r="Y231" s="4">
        <f t="shared" si="22"/>
        <v>0.2210007942811755</v>
      </c>
      <c r="Z231" s="2" t="str">
        <f t="shared" si="23"/>
        <v>High Risk</v>
      </c>
    </row>
    <row r="232" spans="1:26" x14ac:dyDescent="0.3">
      <c r="A232" t="s">
        <v>506</v>
      </c>
      <c r="B232" s="1">
        <v>44994</v>
      </c>
      <c r="C232" t="s">
        <v>507</v>
      </c>
      <c r="D232" t="s">
        <v>50</v>
      </c>
      <c r="E232">
        <v>30125</v>
      </c>
      <c r="F232">
        <v>5.9</v>
      </c>
      <c r="G232">
        <v>36</v>
      </c>
      <c r="H232" t="s">
        <v>19</v>
      </c>
      <c r="I232" t="s">
        <v>84</v>
      </c>
      <c r="J232" t="s">
        <v>28</v>
      </c>
      <c r="K232">
        <v>134927</v>
      </c>
      <c r="L232" t="s">
        <v>33</v>
      </c>
      <c r="M232">
        <v>0.2</v>
      </c>
      <c r="N232">
        <v>0.84</v>
      </c>
      <c r="O232">
        <v>31902.38</v>
      </c>
      <c r="P232">
        <v>0</v>
      </c>
      <c r="Q232">
        <f ca="1">DATEDIF(banking_loan_data[[#This Row],[Issue Date]],TODAY(),"M")</f>
        <v>36</v>
      </c>
      <c r="R232">
        <f t="shared" si="18"/>
        <v>5332.125</v>
      </c>
      <c r="S232">
        <f>+banking_loan_data[[#This Row],[Loan Amount]]+banking_loan_data[[#This Row],[Interest earned]]</f>
        <v>35457.125</v>
      </c>
      <c r="T232" s="2">
        <f t="shared" si="19"/>
        <v>1777.380000000001</v>
      </c>
      <c r="U232" s="2">
        <f t="shared" si="20"/>
        <v>0</v>
      </c>
      <c r="V232" s="2" t="str">
        <f>IF(banking_loan_data[[#This Row],[Loan Status]]="FULLY PAID","GOOD",IF(banking_loan_data[[#This Row],[Loan Status]]="CURRENT","ACTIVE","BAD"))</f>
        <v>GOOD</v>
      </c>
      <c r="W23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32" s="3">
        <f t="shared" si="21"/>
        <v>14811.46662064757</v>
      </c>
      <c r="Y232" s="4">
        <f t="shared" si="22"/>
        <v>5.9000165975103769E-2</v>
      </c>
      <c r="Z232" s="2" t="str">
        <f t="shared" si="23"/>
        <v>High Risk</v>
      </c>
    </row>
    <row r="233" spans="1:26" x14ac:dyDescent="0.3">
      <c r="A233" t="s">
        <v>508</v>
      </c>
      <c r="B233" s="1">
        <v>44480</v>
      </c>
      <c r="C233" t="s">
        <v>509</v>
      </c>
      <c r="D233" t="s">
        <v>40</v>
      </c>
      <c r="E233">
        <v>10903</v>
      </c>
      <c r="F233">
        <v>17.399999999999999</v>
      </c>
      <c r="G233">
        <v>36</v>
      </c>
      <c r="H233" t="s">
        <v>26</v>
      </c>
      <c r="I233" t="s">
        <v>20</v>
      </c>
      <c r="J233" t="s">
        <v>37</v>
      </c>
      <c r="K233">
        <v>44908</v>
      </c>
      <c r="L233" t="s">
        <v>33</v>
      </c>
      <c r="M233">
        <v>0.28999999999999998</v>
      </c>
      <c r="N233">
        <v>0.86</v>
      </c>
      <c r="O233">
        <v>2043.7</v>
      </c>
      <c r="P233">
        <v>0</v>
      </c>
      <c r="Q233">
        <f ca="1">DATEDIF(banking_loan_data[[#This Row],[Issue Date]],TODAY(),"M")</f>
        <v>53</v>
      </c>
      <c r="R233">
        <f t="shared" si="18"/>
        <v>5691.3659999999991</v>
      </c>
      <c r="S233">
        <f>+banking_loan_data[[#This Row],[Loan Amount]]+banking_loan_data[[#This Row],[Interest earned]]</f>
        <v>16594.365999999998</v>
      </c>
      <c r="T233" s="2">
        <f t="shared" si="19"/>
        <v>-8859.2999999999993</v>
      </c>
      <c r="U233" s="2">
        <f t="shared" si="20"/>
        <v>0</v>
      </c>
      <c r="V233" s="2" t="str">
        <f>IF(banking_loan_data[[#This Row],[Loan Status]]="FULLY PAID","GOOD",IF(banking_loan_data[[#This Row],[Loan Status]]="CURRENT","ACTIVE","BAD"))</f>
        <v>ACTIVE</v>
      </c>
      <c r="W23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33" s="3">
        <f t="shared" si="21"/>
        <v>15809.350000000155</v>
      </c>
      <c r="Y233" s="4">
        <f t="shared" si="22"/>
        <v>-0.81255617719893602</v>
      </c>
      <c r="Z233" s="2" t="str">
        <f t="shared" si="23"/>
        <v>High Risk</v>
      </c>
    </row>
    <row r="234" spans="1:26" x14ac:dyDescent="0.3">
      <c r="A234" t="s">
        <v>510</v>
      </c>
      <c r="B234" s="1">
        <v>45075</v>
      </c>
      <c r="C234" t="s">
        <v>511</v>
      </c>
      <c r="D234" t="s">
        <v>65</v>
      </c>
      <c r="E234">
        <v>4020</v>
      </c>
      <c r="F234">
        <v>16.2</v>
      </c>
      <c r="G234">
        <v>36</v>
      </c>
      <c r="H234" t="s">
        <v>19</v>
      </c>
      <c r="I234" t="s">
        <v>84</v>
      </c>
      <c r="J234" t="s">
        <v>47</v>
      </c>
      <c r="K234">
        <v>122617</v>
      </c>
      <c r="L234" t="s">
        <v>33</v>
      </c>
      <c r="M234">
        <v>0.3</v>
      </c>
      <c r="N234">
        <v>0.56000000000000005</v>
      </c>
      <c r="O234">
        <v>4671.24</v>
      </c>
      <c r="P234">
        <v>0</v>
      </c>
      <c r="Q234">
        <f ca="1">DATEDIF(banking_loan_data[[#This Row],[Issue Date]],TODAY(),"M")</f>
        <v>33</v>
      </c>
      <c r="R234">
        <f t="shared" si="18"/>
        <v>1953.72</v>
      </c>
      <c r="S234">
        <f>+banking_loan_data[[#This Row],[Loan Amount]]+banking_loan_data[[#This Row],[Interest earned]]</f>
        <v>5973.72</v>
      </c>
      <c r="T234" s="2">
        <f t="shared" si="19"/>
        <v>651.23999999999978</v>
      </c>
      <c r="U234" s="2">
        <f t="shared" si="20"/>
        <v>0</v>
      </c>
      <c r="V234" s="2" t="str">
        <f>IF(banking_loan_data[[#This Row],[Loan Status]]="FULLY PAID","GOOD",IF(banking_loan_data[[#This Row],[Loan Status]]="CURRENT","ACTIVE","BAD"))</f>
        <v>GOOD</v>
      </c>
      <c r="W23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34" s="3">
        <f t="shared" si="21"/>
        <v>5427.0000000002374</v>
      </c>
      <c r="Y234" s="4">
        <f t="shared" si="22"/>
        <v>0.16199999999999995</v>
      </c>
      <c r="Z234" s="2" t="str">
        <f t="shared" si="23"/>
        <v>Normal</v>
      </c>
    </row>
    <row r="235" spans="1:26" x14ac:dyDescent="0.3">
      <c r="A235" t="s">
        <v>512</v>
      </c>
      <c r="B235" s="1">
        <v>45156</v>
      </c>
      <c r="C235" t="s">
        <v>513</v>
      </c>
      <c r="D235" t="s">
        <v>65</v>
      </c>
      <c r="E235">
        <v>21420</v>
      </c>
      <c r="F235">
        <v>11.9</v>
      </c>
      <c r="G235">
        <v>60</v>
      </c>
      <c r="H235" t="s">
        <v>19</v>
      </c>
      <c r="I235" t="s">
        <v>20</v>
      </c>
      <c r="J235" t="s">
        <v>28</v>
      </c>
      <c r="K235">
        <v>80626</v>
      </c>
      <c r="L235" t="s">
        <v>29</v>
      </c>
      <c r="M235">
        <v>0.18</v>
      </c>
      <c r="N235">
        <v>0.53</v>
      </c>
      <c r="O235">
        <v>23968.98</v>
      </c>
      <c r="P235">
        <v>0</v>
      </c>
      <c r="Q235">
        <f ca="1">DATEDIF(banking_loan_data[[#This Row],[Issue Date]],TODAY(),"M")</f>
        <v>31</v>
      </c>
      <c r="R235">
        <f t="shared" si="18"/>
        <v>12744.9</v>
      </c>
      <c r="S235">
        <f>+banking_loan_data[[#This Row],[Loan Amount]]+banking_loan_data[[#This Row],[Interest earned]]</f>
        <v>34164.9</v>
      </c>
      <c r="T235" s="2">
        <f t="shared" si="19"/>
        <v>2548.9799999999996</v>
      </c>
      <c r="U235" s="2">
        <f t="shared" si="20"/>
        <v>0</v>
      </c>
      <c r="V235" s="2" t="str">
        <f>IF(banking_loan_data[[#This Row],[Loan Status]]="FULLY PAID","GOOD",IF(banking_loan_data[[#This Row],[Loan Status]]="CURRENT","ACTIVE","BAD"))</f>
        <v>GOOD</v>
      </c>
      <c r="W23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35" s="3">
        <f t="shared" si="21"/>
        <v>21241.5</v>
      </c>
      <c r="Y235" s="4">
        <f t="shared" si="22"/>
        <v>0.11899999999999998</v>
      </c>
      <c r="Z235" s="2" t="str">
        <f t="shared" si="23"/>
        <v>Normal</v>
      </c>
    </row>
    <row r="236" spans="1:26" x14ac:dyDescent="0.3">
      <c r="A236" t="s">
        <v>514</v>
      </c>
      <c r="B236" s="1">
        <v>44649</v>
      </c>
      <c r="C236" t="s">
        <v>515</v>
      </c>
      <c r="D236" t="s">
        <v>40</v>
      </c>
      <c r="E236">
        <v>22452</v>
      </c>
      <c r="F236">
        <v>11.3</v>
      </c>
      <c r="G236">
        <v>60</v>
      </c>
      <c r="H236" t="s">
        <v>19</v>
      </c>
      <c r="I236" t="s">
        <v>36</v>
      </c>
      <c r="J236" t="s">
        <v>21</v>
      </c>
      <c r="K236">
        <v>67228</v>
      </c>
      <c r="L236" t="s">
        <v>33</v>
      </c>
      <c r="M236">
        <v>0.36</v>
      </c>
      <c r="N236">
        <v>0.9</v>
      </c>
      <c r="O236">
        <v>24989.08</v>
      </c>
      <c r="P236">
        <v>0</v>
      </c>
      <c r="Q236">
        <f ca="1">DATEDIF(banking_loan_data[[#This Row],[Issue Date]],TODAY(),"M")</f>
        <v>47</v>
      </c>
      <c r="R236">
        <f t="shared" si="18"/>
        <v>12685.38</v>
      </c>
      <c r="S236">
        <f>+banking_loan_data[[#This Row],[Loan Amount]]+banking_loan_data[[#This Row],[Interest earned]]</f>
        <v>35137.379999999997</v>
      </c>
      <c r="T236" s="2">
        <f t="shared" si="19"/>
        <v>2537.0800000000017</v>
      </c>
      <c r="U236" s="2">
        <f t="shared" si="20"/>
        <v>0</v>
      </c>
      <c r="V236" s="2" t="str">
        <f>IF(banking_loan_data[[#This Row],[Loan Status]]="FULLY PAID","GOOD",IF(banking_loan_data[[#This Row],[Loan Status]]="CURRENT","ACTIVE","BAD"))</f>
        <v>GOOD</v>
      </c>
      <c r="W23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36" s="3">
        <f t="shared" si="21"/>
        <v>21142.300000000003</v>
      </c>
      <c r="Y236" s="4">
        <f t="shared" si="22"/>
        <v>0.11300017815784794</v>
      </c>
      <c r="Z236" s="2" t="str">
        <f t="shared" si="23"/>
        <v>High Risk</v>
      </c>
    </row>
    <row r="237" spans="1:26" x14ac:dyDescent="0.3">
      <c r="A237" t="s">
        <v>516</v>
      </c>
      <c r="B237" s="1">
        <v>45216</v>
      </c>
      <c r="C237" t="s">
        <v>517</v>
      </c>
      <c r="D237" t="s">
        <v>56</v>
      </c>
      <c r="E237">
        <v>39001</v>
      </c>
      <c r="F237">
        <v>20.399999999999999</v>
      </c>
      <c r="G237">
        <v>36</v>
      </c>
      <c r="H237" t="s">
        <v>81</v>
      </c>
      <c r="I237" t="s">
        <v>20</v>
      </c>
      <c r="J237" t="s">
        <v>21</v>
      </c>
      <c r="K237">
        <v>53386</v>
      </c>
      <c r="L237" t="s">
        <v>33</v>
      </c>
      <c r="M237">
        <v>0.41</v>
      </c>
      <c r="N237">
        <v>0.67</v>
      </c>
      <c r="O237">
        <v>7661.31</v>
      </c>
      <c r="P237">
        <v>15157.1</v>
      </c>
      <c r="Q237">
        <f ca="1">DATEDIF(banking_loan_data[[#This Row],[Issue Date]],TODAY(),"M")</f>
        <v>29</v>
      </c>
      <c r="R237">
        <f t="shared" si="18"/>
        <v>23868.611999999997</v>
      </c>
      <c r="S237">
        <f>+banking_loan_data[[#This Row],[Loan Amount]]+banking_loan_data[[#This Row],[Interest earned]]</f>
        <v>62869.611999999994</v>
      </c>
      <c r="T237" s="2">
        <f t="shared" si="19"/>
        <v>-16182.59</v>
      </c>
      <c r="U237" s="2">
        <f t="shared" si="20"/>
        <v>1</v>
      </c>
      <c r="V237" s="2" t="str">
        <f>IF(banking_loan_data[[#This Row],[Loan Status]]="FULLY PAID","GOOD",IF(banking_loan_data[[#This Row],[Loan Status]]="CURRENT","ACTIVE","BAD"))</f>
        <v>BAD</v>
      </c>
      <c r="W23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37" s="3">
        <f t="shared" si="21"/>
        <v>66301.700000000026</v>
      </c>
      <c r="Y237" s="4">
        <f t="shared" si="22"/>
        <v>-0.4149275659598472</v>
      </c>
      <c r="Z237" s="2" t="str">
        <f t="shared" si="23"/>
        <v>High Risk</v>
      </c>
    </row>
    <row r="238" spans="1:26" x14ac:dyDescent="0.3">
      <c r="A238" t="s">
        <v>518</v>
      </c>
      <c r="B238" s="1">
        <v>45012</v>
      </c>
      <c r="C238" t="s">
        <v>519</v>
      </c>
      <c r="D238" t="s">
        <v>40</v>
      </c>
      <c r="E238">
        <v>10516</v>
      </c>
      <c r="F238">
        <v>6.7</v>
      </c>
      <c r="G238">
        <v>36</v>
      </c>
      <c r="H238" t="s">
        <v>19</v>
      </c>
      <c r="I238" t="s">
        <v>27</v>
      </c>
      <c r="J238" t="s">
        <v>28</v>
      </c>
      <c r="K238">
        <v>76754</v>
      </c>
      <c r="L238" t="s">
        <v>22</v>
      </c>
      <c r="M238">
        <v>0.42</v>
      </c>
      <c r="N238">
        <v>0.63</v>
      </c>
      <c r="O238">
        <v>11220.57</v>
      </c>
      <c r="P238">
        <v>0</v>
      </c>
      <c r="Q238">
        <f ca="1">DATEDIF(banking_loan_data[[#This Row],[Issue Date]],TODAY(),"M")</f>
        <v>35</v>
      </c>
      <c r="R238">
        <f t="shared" si="18"/>
        <v>2113.7159999999999</v>
      </c>
      <c r="S238">
        <f>+banking_loan_data[[#This Row],[Loan Amount]]+banking_loan_data[[#This Row],[Interest earned]]</f>
        <v>12629.716</v>
      </c>
      <c r="T238" s="2">
        <f t="shared" si="19"/>
        <v>704.56999999999971</v>
      </c>
      <c r="U238" s="2">
        <f t="shared" si="20"/>
        <v>0</v>
      </c>
      <c r="V238" s="2" t="str">
        <f>IF(banking_loan_data[[#This Row],[Loan Status]]="FULLY PAID","GOOD",IF(banking_loan_data[[#This Row],[Loan Status]]="CURRENT","ACTIVE","BAD"))</f>
        <v>GOOD</v>
      </c>
      <c r="W23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38" s="3">
        <f t="shared" si="21"/>
        <v>5871.4340140575587</v>
      </c>
      <c r="Y238" s="4">
        <f t="shared" si="22"/>
        <v>6.699980981361732E-2</v>
      </c>
      <c r="Z238" s="2" t="str">
        <f t="shared" si="23"/>
        <v>High Risk</v>
      </c>
    </row>
    <row r="239" spans="1:26" x14ac:dyDescent="0.3">
      <c r="A239" t="s">
        <v>520</v>
      </c>
      <c r="B239" s="1">
        <v>44855</v>
      </c>
      <c r="C239" t="s">
        <v>521</v>
      </c>
      <c r="D239" t="s">
        <v>50</v>
      </c>
      <c r="E239">
        <v>3396</v>
      </c>
      <c r="F239">
        <v>9.6999999999999993</v>
      </c>
      <c r="G239">
        <v>36</v>
      </c>
      <c r="H239" t="s">
        <v>19</v>
      </c>
      <c r="I239" t="s">
        <v>57</v>
      </c>
      <c r="J239" t="s">
        <v>21</v>
      </c>
      <c r="K239">
        <v>140942</v>
      </c>
      <c r="L239" t="s">
        <v>33</v>
      </c>
      <c r="M239">
        <v>0.34</v>
      </c>
      <c r="N239">
        <v>0.83</v>
      </c>
      <c r="O239">
        <v>3725.41</v>
      </c>
      <c r="P239">
        <v>0</v>
      </c>
      <c r="Q239">
        <f ca="1">DATEDIF(banking_loan_data[[#This Row],[Issue Date]],TODAY(),"M")</f>
        <v>40</v>
      </c>
      <c r="R239">
        <f t="shared" si="18"/>
        <v>988.23599999999988</v>
      </c>
      <c r="S239">
        <f>+banking_loan_data[[#This Row],[Loan Amount]]+banking_loan_data[[#This Row],[Interest earned]]</f>
        <v>4384.2359999999999</v>
      </c>
      <c r="T239" s="2">
        <f t="shared" si="19"/>
        <v>329.40999999999985</v>
      </c>
      <c r="U239" s="2">
        <f t="shared" si="20"/>
        <v>0</v>
      </c>
      <c r="V239" s="2" t="str">
        <f>IF(banking_loan_data[[#This Row],[Loan Status]]="FULLY PAID","GOOD",IF(banking_loan_data[[#This Row],[Loan Status]]="CURRENT","ACTIVE","BAD"))</f>
        <v>GOOD</v>
      </c>
      <c r="W23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39" s="3">
        <f t="shared" si="21"/>
        <v>2745.1000015015247</v>
      </c>
      <c r="Y239" s="4">
        <f t="shared" si="22"/>
        <v>9.6999411071849187E-2</v>
      </c>
      <c r="Z239" s="2" t="str">
        <f t="shared" si="23"/>
        <v>High Risk</v>
      </c>
    </row>
    <row r="240" spans="1:26" x14ac:dyDescent="0.3">
      <c r="A240" t="s">
        <v>522</v>
      </c>
      <c r="B240" s="1">
        <v>44743</v>
      </c>
      <c r="C240" t="s">
        <v>523</v>
      </c>
      <c r="D240" t="s">
        <v>50</v>
      </c>
      <c r="E240">
        <v>19546</v>
      </c>
      <c r="F240">
        <v>19.600000000000001</v>
      </c>
      <c r="G240">
        <v>36</v>
      </c>
      <c r="H240" t="s">
        <v>26</v>
      </c>
      <c r="I240" t="s">
        <v>84</v>
      </c>
      <c r="J240" t="s">
        <v>28</v>
      </c>
      <c r="K240">
        <v>58302</v>
      </c>
      <c r="L240" t="s">
        <v>33</v>
      </c>
      <c r="M240">
        <v>0.3</v>
      </c>
      <c r="N240">
        <v>0.88</v>
      </c>
      <c r="O240">
        <v>2381.36</v>
      </c>
      <c r="P240">
        <v>0</v>
      </c>
      <c r="Q240">
        <f ca="1">DATEDIF(banking_loan_data[[#This Row],[Issue Date]],TODAY(),"M")</f>
        <v>44</v>
      </c>
      <c r="R240">
        <f t="shared" si="18"/>
        <v>11493.048000000003</v>
      </c>
      <c r="S240">
        <f>+banking_loan_data[[#This Row],[Loan Amount]]+banking_loan_data[[#This Row],[Interest earned]]</f>
        <v>31039.048000000003</v>
      </c>
      <c r="T240" s="2">
        <f t="shared" si="19"/>
        <v>-17164.64</v>
      </c>
      <c r="U240" s="2">
        <f t="shared" si="20"/>
        <v>0</v>
      </c>
      <c r="V240" s="2" t="str">
        <f>IF(banking_loan_data[[#This Row],[Loan Status]]="FULLY PAID","GOOD",IF(banking_loan_data[[#This Row],[Loan Status]]="CURRENT","ACTIVE","BAD"))</f>
        <v>ACTIVE</v>
      </c>
      <c r="W24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40" s="3">
        <f t="shared" si="21"/>
        <v>31925.13333333336</v>
      </c>
      <c r="Y240" s="4">
        <f t="shared" si="22"/>
        <v>-0.8781663767522766</v>
      </c>
      <c r="Z240" s="2" t="str">
        <f t="shared" si="23"/>
        <v>High Risk</v>
      </c>
    </row>
    <row r="241" spans="1:26" x14ac:dyDescent="0.3">
      <c r="A241" t="s">
        <v>524</v>
      </c>
      <c r="B241" s="1">
        <v>45269</v>
      </c>
      <c r="C241" t="s">
        <v>525</v>
      </c>
      <c r="D241" t="s">
        <v>40</v>
      </c>
      <c r="E241">
        <v>20129</v>
      </c>
      <c r="F241">
        <v>16</v>
      </c>
      <c r="G241">
        <v>60</v>
      </c>
      <c r="H241" t="s">
        <v>26</v>
      </c>
      <c r="I241" t="s">
        <v>73</v>
      </c>
      <c r="J241" t="s">
        <v>47</v>
      </c>
      <c r="K241">
        <v>90815</v>
      </c>
      <c r="L241" t="s">
        <v>33</v>
      </c>
      <c r="M241">
        <v>0.12</v>
      </c>
      <c r="N241">
        <v>0.89</v>
      </c>
      <c r="O241">
        <v>2865.01</v>
      </c>
      <c r="P241">
        <v>0</v>
      </c>
      <c r="Q241">
        <f ca="1">DATEDIF(banking_loan_data[[#This Row],[Issue Date]],TODAY(),"M")</f>
        <v>27</v>
      </c>
      <c r="R241">
        <f t="shared" si="18"/>
        <v>16103.199999999999</v>
      </c>
      <c r="S241">
        <f>+banking_loan_data[[#This Row],[Loan Amount]]+banking_loan_data[[#This Row],[Interest earned]]</f>
        <v>36232.199999999997</v>
      </c>
      <c r="T241" s="2">
        <f t="shared" si="19"/>
        <v>-17263.989999999998</v>
      </c>
      <c r="U241" s="2">
        <f t="shared" si="20"/>
        <v>0</v>
      </c>
      <c r="V241" s="2" t="str">
        <f>IF(banking_loan_data[[#This Row],[Loan Status]]="FULLY PAID","GOOD",IF(banking_loan_data[[#This Row],[Loan Status]]="CURRENT","ACTIVE","BAD"))</f>
        <v>ACTIVE</v>
      </c>
      <c r="W24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41" s="3">
        <f t="shared" si="21"/>
        <v>26838.666666666664</v>
      </c>
      <c r="Y241" s="4">
        <f t="shared" si="22"/>
        <v>-0.85766754433901327</v>
      </c>
      <c r="Z241" s="2" t="str">
        <f t="shared" si="23"/>
        <v>High Risk</v>
      </c>
    </row>
    <row r="242" spans="1:26" x14ac:dyDescent="0.3">
      <c r="A242" t="s">
        <v>526</v>
      </c>
      <c r="B242" s="1">
        <v>44213</v>
      </c>
      <c r="C242" t="s">
        <v>527</v>
      </c>
      <c r="D242" t="s">
        <v>40</v>
      </c>
      <c r="E242">
        <v>2591</v>
      </c>
      <c r="F242">
        <v>7.6</v>
      </c>
      <c r="G242">
        <v>36</v>
      </c>
      <c r="H242" t="s">
        <v>19</v>
      </c>
      <c r="I242" t="s">
        <v>20</v>
      </c>
      <c r="J242" t="s">
        <v>28</v>
      </c>
      <c r="K242">
        <v>114748</v>
      </c>
      <c r="L242" t="s">
        <v>33</v>
      </c>
      <c r="M242">
        <v>0.22</v>
      </c>
      <c r="N242">
        <v>0.64</v>
      </c>
      <c r="O242">
        <v>2787.92</v>
      </c>
      <c r="P242">
        <v>0</v>
      </c>
      <c r="Q242">
        <f ca="1">DATEDIF(banking_loan_data[[#This Row],[Issue Date]],TODAY(),"M")</f>
        <v>62</v>
      </c>
      <c r="R242">
        <f t="shared" si="18"/>
        <v>590.74799999999993</v>
      </c>
      <c r="S242">
        <f>+banking_loan_data[[#This Row],[Loan Amount]]+banking_loan_data[[#This Row],[Interest earned]]</f>
        <v>3181.748</v>
      </c>
      <c r="T242" s="2">
        <f t="shared" si="19"/>
        <v>196.92000000000007</v>
      </c>
      <c r="U242" s="2">
        <f t="shared" si="20"/>
        <v>0</v>
      </c>
      <c r="V242" s="2" t="str">
        <f>IF(banking_loan_data[[#This Row],[Loan Status]]="FULLY PAID","GOOD",IF(banking_loan_data[[#This Row],[Loan Status]]="CURRENT","ACTIVE","BAD"))</f>
        <v>GOOD</v>
      </c>
      <c r="W24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42" s="3">
        <f t="shared" si="21"/>
        <v>1640.9667016939177</v>
      </c>
      <c r="Y242" s="4">
        <f t="shared" si="22"/>
        <v>7.6001543805480534E-2</v>
      </c>
      <c r="Z242" s="2" t="str">
        <f t="shared" si="23"/>
        <v>Normal</v>
      </c>
    </row>
    <row r="243" spans="1:26" x14ac:dyDescent="0.3">
      <c r="A243" t="s">
        <v>528</v>
      </c>
      <c r="B243" s="1">
        <v>44354</v>
      </c>
      <c r="C243" t="s">
        <v>529</v>
      </c>
      <c r="D243" t="s">
        <v>56</v>
      </c>
      <c r="E243">
        <v>12303</v>
      </c>
      <c r="F243">
        <v>22.6</v>
      </c>
      <c r="G243">
        <v>60</v>
      </c>
      <c r="H243" t="s">
        <v>19</v>
      </c>
      <c r="I243" t="s">
        <v>73</v>
      </c>
      <c r="J243" t="s">
        <v>37</v>
      </c>
      <c r="K243">
        <v>93344</v>
      </c>
      <c r="L243" t="s">
        <v>22</v>
      </c>
      <c r="M243">
        <v>0.14000000000000001</v>
      </c>
      <c r="N243">
        <v>0.88</v>
      </c>
      <c r="O243">
        <v>15083.48</v>
      </c>
      <c r="P243">
        <v>0</v>
      </c>
      <c r="Q243">
        <f ca="1">DATEDIF(banking_loan_data[[#This Row],[Issue Date]],TODAY(),"M")</f>
        <v>57</v>
      </c>
      <c r="R243">
        <f t="shared" si="18"/>
        <v>13902.390000000001</v>
      </c>
      <c r="S243">
        <f>+banking_loan_data[[#This Row],[Loan Amount]]+banking_loan_data[[#This Row],[Interest earned]]</f>
        <v>26205.39</v>
      </c>
      <c r="T243" s="2">
        <f t="shared" si="19"/>
        <v>2780.4799999999996</v>
      </c>
      <c r="U243" s="2">
        <f t="shared" si="20"/>
        <v>0</v>
      </c>
      <c r="V243" s="2" t="str">
        <f>IF(banking_loan_data[[#This Row],[Loan Status]]="FULLY PAID","GOOD",IF(banking_loan_data[[#This Row],[Loan Status]]="CURRENT","ACTIVE","BAD"))</f>
        <v>GOOD</v>
      </c>
      <c r="W24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43" s="3">
        <f t="shared" si="21"/>
        <v>23170.65</v>
      </c>
      <c r="Y243" s="4">
        <f t="shared" si="22"/>
        <v>0.22600016256197672</v>
      </c>
      <c r="Z243" s="2" t="str">
        <f t="shared" si="23"/>
        <v>High Risk</v>
      </c>
    </row>
    <row r="244" spans="1:26" x14ac:dyDescent="0.3">
      <c r="A244" t="s">
        <v>530</v>
      </c>
      <c r="B244" s="1">
        <v>44673</v>
      </c>
      <c r="C244" t="s">
        <v>531</v>
      </c>
      <c r="D244" t="s">
        <v>76</v>
      </c>
      <c r="E244">
        <v>31561</v>
      </c>
      <c r="F244">
        <v>12.9</v>
      </c>
      <c r="G244">
        <v>36</v>
      </c>
      <c r="H244" t="s">
        <v>26</v>
      </c>
      <c r="I244" t="s">
        <v>57</v>
      </c>
      <c r="J244" t="s">
        <v>37</v>
      </c>
      <c r="K244">
        <v>65618</v>
      </c>
      <c r="L244" t="s">
        <v>33</v>
      </c>
      <c r="M244">
        <v>0.49</v>
      </c>
      <c r="N244">
        <v>0.52</v>
      </c>
      <c r="O244">
        <v>12777.42</v>
      </c>
      <c r="P244">
        <v>0</v>
      </c>
      <c r="Q244">
        <f ca="1">DATEDIF(banking_loan_data[[#This Row],[Issue Date]],TODAY(),"M")</f>
        <v>46</v>
      </c>
      <c r="R244">
        <f t="shared" si="18"/>
        <v>12214.107000000002</v>
      </c>
      <c r="S244">
        <f>+banking_loan_data[[#This Row],[Loan Amount]]+banking_loan_data[[#This Row],[Interest earned]]</f>
        <v>43775.107000000004</v>
      </c>
      <c r="T244" s="2">
        <f t="shared" si="19"/>
        <v>-18783.580000000002</v>
      </c>
      <c r="U244" s="2">
        <f t="shared" si="20"/>
        <v>0</v>
      </c>
      <c r="V244" s="2" t="str">
        <f>IF(banking_loan_data[[#This Row],[Loan Status]]="FULLY PAID","GOOD",IF(banking_loan_data[[#This Row],[Loan Status]]="CURRENT","ACTIVE","BAD"))</f>
        <v>ACTIVE</v>
      </c>
      <c r="W24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44" s="3">
        <f t="shared" si="21"/>
        <v>33928.07500013119</v>
      </c>
      <c r="Y244" s="4">
        <f t="shared" si="22"/>
        <v>-0.59515161116567916</v>
      </c>
      <c r="Z244" s="2" t="str">
        <f t="shared" si="23"/>
        <v>High Risk</v>
      </c>
    </row>
    <row r="245" spans="1:26" x14ac:dyDescent="0.3">
      <c r="A245" t="s">
        <v>532</v>
      </c>
      <c r="B245" s="1">
        <v>45266</v>
      </c>
      <c r="C245" t="s">
        <v>533</v>
      </c>
      <c r="D245" t="s">
        <v>25</v>
      </c>
      <c r="E245">
        <v>7183</v>
      </c>
      <c r="F245">
        <v>21.6</v>
      </c>
      <c r="G245">
        <v>36</v>
      </c>
      <c r="H245" t="s">
        <v>315</v>
      </c>
      <c r="I245" t="s">
        <v>27</v>
      </c>
      <c r="J245" t="s">
        <v>32</v>
      </c>
      <c r="K245">
        <v>141603</v>
      </c>
      <c r="L245" t="s">
        <v>22</v>
      </c>
      <c r="M245">
        <v>0.15</v>
      </c>
      <c r="N245">
        <v>0.52</v>
      </c>
      <c r="O245">
        <v>0</v>
      </c>
      <c r="P245">
        <v>0</v>
      </c>
      <c r="Q245">
        <f ca="1">DATEDIF(banking_loan_data[[#This Row],[Issue Date]],TODAY(),"M")</f>
        <v>27</v>
      </c>
      <c r="R245">
        <f t="shared" si="18"/>
        <v>4654.5840000000007</v>
      </c>
      <c r="S245">
        <f>+banking_loan_data[[#This Row],[Loan Amount]]+banking_loan_data[[#This Row],[Interest earned]]</f>
        <v>11837.584000000001</v>
      </c>
      <c r="T245" s="2">
        <f t="shared" si="19"/>
        <v>-7183</v>
      </c>
      <c r="U245" s="2">
        <f t="shared" si="20"/>
        <v>0</v>
      </c>
      <c r="V245" s="2" t="str">
        <f>IF(banking_loan_data[[#This Row],[Loan Status]]="FULLY PAID","GOOD",IF(banking_loan_data[[#This Row],[Loan Status]]="CURRENT","ACTIVE","BAD"))</f>
        <v>BAD</v>
      </c>
      <c r="W24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45" s="3">
        <f t="shared" si="21"/>
        <v>12929.400000000001</v>
      </c>
      <c r="Y245" s="4">
        <f t="shared" si="22"/>
        <v>-1</v>
      </c>
      <c r="Z245" s="2" t="str">
        <f t="shared" si="23"/>
        <v>Normal</v>
      </c>
    </row>
    <row r="246" spans="1:26" x14ac:dyDescent="0.3">
      <c r="A246" t="s">
        <v>534</v>
      </c>
      <c r="B246" s="1">
        <v>44714</v>
      </c>
      <c r="C246" t="s">
        <v>535</v>
      </c>
      <c r="D246" t="s">
        <v>18</v>
      </c>
      <c r="E246">
        <v>27572</v>
      </c>
      <c r="F246">
        <v>20.8</v>
      </c>
      <c r="G246">
        <v>36</v>
      </c>
      <c r="H246" t="s">
        <v>26</v>
      </c>
      <c r="I246" t="s">
        <v>36</v>
      </c>
      <c r="J246" t="s">
        <v>21</v>
      </c>
      <c r="K246">
        <v>106234</v>
      </c>
      <c r="L246" t="s">
        <v>29</v>
      </c>
      <c r="M246">
        <v>0.16</v>
      </c>
      <c r="N246">
        <v>0.78</v>
      </c>
      <c r="O246">
        <v>3453.07</v>
      </c>
      <c r="P246">
        <v>0</v>
      </c>
      <c r="Q246">
        <f ca="1">DATEDIF(banking_loan_data[[#This Row],[Issue Date]],TODAY(),"M")</f>
        <v>45</v>
      </c>
      <c r="R246">
        <f t="shared" si="18"/>
        <v>17204.928</v>
      </c>
      <c r="S246">
        <f>+banking_loan_data[[#This Row],[Loan Amount]]+banking_loan_data[[#This Row],[Interest earned]]</f>
        <v>44776.928</v>
      </c>
      <c r="T246" s="2">
        <f t="shared" si="19"/>
        <v>-24118.93</v>
      </c>
      <c r="U246" s="2">
        <f t="shared" si="20"/>
        <v>0</v>
      </c>
      <c r="V246" s="2" t="str">
        <f>IF(banking_loan_data[[#This Row],[Loan Status]]="FULLY PAID","GOOD",IF(banking_loan_data[[#This Row],[Loan Status]]="CURRENT","ACTIVE","BAD"))</f>
        <v>ACTIVE</v>
      </c>
      <c r="W24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46" s="3">
        <f t="shared" si="21"/>
        <v>47791.466666666682</v>
      </c>
      <c r="Y246" s="4">
        <f t="shared" si="22"/>
        <v>-0.87476171478311326</v>
      </c>
      <c r="Z246" s="2" t="str">
        <f t="shared" si="23"/>
        <v>Normal</v>
      </c>
    </row>
    <row r="247" spans="1:26" x14ac:dyDescent="0.3">
      <c r="A247" t="s">
        <v>536</v>
      </c>
      <c r="B247" s="1">
        <v>44295</v>
      </c>
      <c r="C247" t="s">
        <v>537</v>
      </c>
      <c r="D247" t="s">
        <v>50</v>
      </c>
      <c r="E247">
        <v>35080</v>
      </c>
      <c r="F247">
        <v>17.5</v>
      </c>
      <c r="G247">
        <v>36</v>
      </c>
      <c r="H247" t="s">
        <v>19</v>
      </c>
      <c r="I247" t="s">
        <v>57</v>
      </c>
      <c r="J247" t="s">
        <v>21</v>
      </c>
      <c r="K247">
        <v>91114</v>
      </c>
      <c r="L247" t="s">
        <v>33</v>
      </c>
      <c r="M247">
        <v>0.46</v>
      </c>
      <c r="N247">
        <v>0.53</v>
      </c>
      <c r="O247">
        <v>41219</v>
      </c>
      <c r="P247">
        <v>0</v>
      </c>
      <c r="Q247">
        <f ca="1">DATEDIF(banking_loan_data[[#This Row],[Issue Date]],TODAY(),"M")</f>
        <v>59</v>
      </c>
      <c r="R247">
        <f t="shared" si="18"/>
        <v>18417</v>
      </c>
      <c r="S247">
        <f>+banking_loan_data[[#This Row],[Loan Amount]]+banking_loan_data[[#This Row],[Interest earned]]</f>
        <v>53497</v>
      </c>
      <c r="T247" s="2">
        <f t="shared" si="19"/>
        <v>6139</v>
      </c>
      <c r="U247" s="2">
        <f t="shared" si="20"/>
        <v>0</v>
      </c>
      <c r="V247" s="2" t="str">
        <f>IF(banking_loan_data[[#This Row],[Loan Status]]="FULLY PAID","GOOD",IF(banking_loan_data[[#This Row],[Loan Status]]="CURRENT","ACTIVE","BAD"))</f>
        <v>GOOD</v>
      </c>
      <c r="W24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47" s="3">
        <f t="shared" si="21"/>
        <v>51158.33333333378</v>
      </c>
      <c r="Y247" s="4">
        <f t="shared" si="22"/>
        <v>0.17499999999999999</v>
      </c>
      <c r="Z247" s="2" t="str">
        <f t="shared" si="23"/>
        <v>High Risk</v>
      </c>
    </row>
    <row r="248" spans="1:26" x14ac:dyDescent="0.3">
      <c r="A248" t="s">
        <v>538</v>
      </c>
      <c r="B248" s="1">
        <v>45257</v>
      </c>
      <c r="C248" t="s">
        <v>539</v>
      </c>
      <c r="D248" t="s">
        <v>25</v>
      </c>
      <c r="E248">
        <v>21695</v>
      </c>
      <c r="F248">
        <v>14.9</v>
      </c>
      <c r="G248">
        <v>60</v>
      </c>
      <c r="H248" t="s">
        <v>19</v>
      </c>
      <c r="I248" t="s">
        <v>57</v>
      </c>
      <c r="J248" t="s">
        <v>28</v>
      </c>
      <c r="K248">
        <v>147652</v>
      </c>
      <c r="L248" t="s">
        <v>33</v>
      </c>
      <c r="M248">
        <v>0.48</v>
      </c>
      <c r="N248">
        <v>0.65</v>
      </c>
      <c r="O248">
        <v>24927.56</v>
      </c>
      <c r="P248">
        <v>0</v>
      </c>
      <c r="Q248">
        <f ca="1">DATEDIF(banking_loan_data[[#This Row],[Issue Date]],TODAY(),"M")</f>
        <v>27</v>
      </c>
      <c r="R248">
        <f t="shared" si="18"/>
        <v>16162.775</v>
      </c>
      <c r="S248">
        <f>+banking_loan_data[[#This Row],[Loan Amount]]+banking_loan_data[[#This Row],[Interest earned]]</f>
        <v>37857.775000000001</v>
      </c>
      <c r="T248" s="2">
        <f t="shared" si="19"/>
        <v>3232.5600000000013</v>
      </c>
      <c r="U248" s="2">
        <f t="shared" si="20"/>
        <v>0</v>
      </c>
      <c r="V248" s="2" t="str">
        <f>IF(banking_loan_data[[#This Row],[Loan Status]]="FULLY PAID","GOOD",IF(banking_loan_data[[#This Row],[Loan Status]]="CURRENT","ACTIVE","BAD"))</f>
        <v>GOOD</v>
      </c>
      <c r="W24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48" s="3">
        <f t="shared" si="21"/>
        <v>26937.958333333336</v>
      </c>
      <c r="Y248" s="4">
        <f t="shared" si="22"/>
        <v>0.1490002304678498</v>
      </c>
      <c r="Z248" s="2" t="str">
        <f t="shared" si="23"/>
        <v>High Risk</v>
      </c>
    </row>
    <row r="249" spans="1:26" x14ac:dyDescent="0.3">
      <c r="A249" t="s">
        <v>540</v>
      </c>
      <c r="B249" s="1">
        <v>44476</v>
      </c>
      <c r="C249" t="s">
        <v>541</v>
      </c>
      <c r="D249" t="s">
        <v>40</v>
      </c>
      <c r="E249">
        <v>8314</v>
      </c>
      <c r="F249">
        <v>24.6</v>
      </c>
      <c r="G249">
        <v>60</v>
      </c>
      <c r="H249" t="s">
        <v>81</v>
      </c>
      <c r="I249" t="s">
        <v>20</v>
      </c>
      <c r="J249" t="s">
        <v>21</v>
      </c>
      <c r="K249">
        <v>100130</v>
      </c>
      <c r="L249" t="s">
        <v>33</v>
      </c>
      <c r="M249">
        <v>0.41</v>
      </c>
      <c r="N249">
        <v>0.8</v>
      </c>
      <c r="O249">
        <v>902.38</v>
      </c>
      <c r="P249">
        <v>4096.3</v>
      </c>
      <c r="Q249">
        <f ca="1">DATEDIF(banking_loan_data[[#This Row],[Issue Date]],TODAY(),"M")</f>
        <v>53</v>
      </c>
      <c r="R249">
        <f t="shared" si="18"/>
        <v>10226.220000000001</v>
      </c>
      <c r="S249">
        <f>+banking_loan_data[[#This Row],[Loan Amount]]+banking_loan_data[[#This Row],[Interest earned]]</f>
        <v>18540.22</v>
      </c>
      <c r="T249" s="2">
        <f t="shared" si="19"/>
        <v>-3315.3199999999997</v>
      </c>
      <c r="U249" s="2">
        <f t="shared" si="20"/>
        <v>1</v>
      </c>
      <c r="V249" s="2" t="str">
        <f>IF(banking_loan_data[[#This Row],[Loan Status]]="FULLY PAID","GOOD",IF(banking_loan_data[[#This Row],[Loan Status]]="CURRENT","ACTIVE","BAD"))</f>
        <v>BAD</v>
      </c>
      <c r="W24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49" s="3">
        <f t="shared" si="21"/>
        <v>17043.7</v>
      </c>
      <c r="Y249" s="4">
        <f t="shared" si="22"/>
        <v>-0.39876353139283133</v>
      </c>
      <c r="Z249" s="2" t="str">
        <f t="shared" si="23"/>
        <v>High Risk</v>
      </c>
    </row>
    <row r="250" spans="1:26" x14ac:dyDescent="0.3">
      <c r="A250" t="s">
        <v>542</v>
      </c>
      <c r="B250" s="1">
        <v>44693</v>
      </c>
      <c r="C250" t="s">
        <v>543</v>
      </c>
      <c r="D250" t="s">
        <v>56</v>
      </c>
      <c r="E250">
        <v>20623</v>
      </c>
      <c r="F250">
        <v>7.9</v>
      </c>
      <c r="G250">
        <v>60</v>
      </c>
      <c r="H250" t="s">
        <v>26</v>
      </c>
      <c r="I250" t="s">
        <v>73</v>
      </c>
      <c r="J250" t="s">
        <v>37</v>
      </c>
      <c r="K250">
        <v>55525</v>
      </c>
      <c r="L250" t="s">
        <v>22</v>
      </c>
      <c r="M250">
        <v>0.1</v>
      </c>
      <c r="N250">
        <v>0.65</v>
      </c>
      <c r="O250">
        <v>6871.78</v>
      </c>
      <c r="P250">
        <v>0</v>
      </c>
      <c r="Q250">
        <f ca="1">DATEDIF(banking_loan_data[[#This Row],[Issue Date]],TODAY(),"M")</f>
        <v>46</v>
      </c>
      <c r="R250">
        <f t="shared" si="18"/>
        <v>8146.085</v>
      </c>
      <c r="S250">
        <f>+banking_loan_data[[#This Row],[Loan Amount]]+banking_loan_data[[#This Row],[Interest earned]]</f>
        <v>28769.084999999999</v>
      </c>
      <c r="T250" s="2">
        <f t="shared" si="19"/>
        <v>-13751.220000000001</v>
      </c>
      <c r="U250" s="2">
        <f t="shared" si="20"/>
        <v>0</v>
      </c>
      <c r="V250" s="2" t="str">
        <f>IF(banking_loan_data[[#This Row],[Loan Status]]="FULLY PAID","GOOD",IF(banking_loan_data[[#This Row],[Loan Status]]="CURRENT","ACTIVE","BAD"))</f>
        <v>ACTIVE</v>
      </c>
      <c r="W25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50" s="3">
        <f t="shared" si="21"/>
        <v>13576.808333334229</v>
      </c>
      <c r="Y250" s="4">
        <f t="shared" si="22"/>
        <v>-0.66679047665228153</v>
      </c>
      <c r="Z250" s="2" t="str">
        <f t="shared" si="23"/>
        <v>Normal</v>
      </c>
    </row>
    <row r="251" spans="1:26" x14ac:dyDescent="0.3">
      <c r="A251" t="s">
        <v>544</v>
      </c>
      <c r="B251" s="1">
        <v>44498</v>
      </c>
      <c r="C251" t="s">
        <v>545</v>
      </c>
      <c r="D251" t="s">
        <v>72</v>
      </c>
      <c r="E251">
        <v>3139</v>
      </c>
      <c r="F251">
        <v>19.5</v>
      </c>
      <c r="G251">
        <v>36</v>
      </c>
      <c r="H251" t="s">
        <v>19</v>
      </c>
      <c r="I251" t="s">
        <v>57</v>
      </c>
      <c r="J251" t="s">
        <v>47</v>
      </c>
      <c r="K251">
        <v>109818</v>
      </c>
      <c r="L251" t="s">
        <v>33</v>
      </c>
      <c r="M251">
        <v>0.1</v>
      </c>
      <c r="N251">
        <v>0.57999999999999996</v>
      </c>
      <c r="O251">
        <v>3751.1</v>
      </c>
      <c r="P251">
        <v>0</v>
      </c>
      <c r="Q251">
        <f ca="1">DATEDIF(banking_loan_data[[#This Row],[Issue Date]],TODAY(),"M")</f>
        <v>52</v>
      </c>
      <c r="R251">
        <f t="shared" si="18"/>
        <v>1836.3149999999998</v>
      </c>
      <c r="S251">
        <f>+banking_loan_data[[#This Row],[Loan Amount]]+banking_loan_data[[#This Row],[Interest earned]]</f>
        <v>4975.3149999999996</v>
      </c>
      <c r="T251" s="2">
        <f t="shared" si="19"/>
        <v>612.09999999999991</v>
      </c>
      <c r="U251" s="2">
        <f t="shared" si="20"/>
        <v>0</v>
      </c>
      <c r="V251" s="2" t="str">
        <f>IF(banking_loan_data[[#This Row],[Loan Status]]="FULLY PAID","GOOD",IF(banking_loan_data[[#This Row],[Loan Status]]="CURRENT","ACTIVE","BAD"))</f>
        <v>GOOD</v>
      </c>
      <c r="W25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51" s="3">
        <f t="shared" si="21"/>
        <v>5100.8750000000036</v>
      </c>
      <c r="Y251" s="4">
        <f t="shared" si="22"/>
        <v>0.19499840713603056</v>
      </c>
      <c r="Z251" s="2" t="str">
        <f t="shared" si="23"/>
        <v>Normal</v>
      </c>
    </row>
    <row r="252" spans="1:26" x14ac:dyDescent="0.3">
      <c r="A252" t="s">
        <v>546</v>
      </c>
      <c r="B252" s="1">
        <v>44377</v>
      </c>
      <c r="C252" t="s">
        <v>547</v>
      </c>
      <c r="D252" t="s">
        <v>56</v>
      </c>
      <c r="E252">
        <v>32290</v>
      </c>
      <c r="F252">
        <v>8.8000000000000007</v>
      </c>
      <c r="G252">
        <v>36</v>
      </c>
      <c r="H252" t="s">
        <v>19</v>
      </c>
      <c r="I252" t="s">
        <v>57</v>
      </c>
      <c r="J252" t="s">
        <v>28</v>
      </c>
      <c r="K252">
        <v>144589</v>
      </c>
      <c r="L252" t="s">
        <v>33</v>
      </c>
      <c r="M252">
        <v>0.25</v>
      </c>
      <c r="N252">
        <v>0.63</v>
      </c>
      <c r="O252">
        <v>35131.519999999997</v>
      </c>
      <c r="P252">
        <v>0</v>
      </c>
      <c r="Q252">
        <f ca="1">DATEDIF(banking_loan_data[[#This Row],[Issue Date]],TODAY(),"M")</f>
        <v>56</v>
      </c>
      <c r="R252">
        <f t="shared" si="18"/>
        <v>8524.56</v>
      </c>
      <c r="S252">
        <f>+banking_loan_data[[#This Row],[Loan Amount]]+banking_loan_data[[#This Row],[Interest earned]]</f>
        <v>40814.559999999998</v>
      </c>
      <c r="T252" s="2">
        <f t="shared" si="19"/>
        <v>2841.5199999999968</v>
      </c>
      <c r="U252" s="2">
        <f t="shared" si="20"/>
        <v>0</v>
      </c>
      <c r="V252" s="2" t="str">
        <f>IF(banking_loan_data[[#This Row],[Loan Status]]="FULLY PAID","GOOD",IF(banking_loan_data[[#This Row],[Loan Status]]="CURRENT","ACTIVE","BAD"))</f>
        <v>GOOD</v>
      </c>
      <c r="W25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52" s="3">
        <f t="shared" si="21"/>
        <v>23679.333392846667</v>
      </c>
      <c r="Y252" s="4">
        <f t="shared" si="22"/>
        <v>8.7999999999999898E-2</v>
      </c>
      <c r="Z252" s="2" t="str">
        <f t="shared" si="23"/>
        <v>Normal</v>
      </c>
    </row>
    <row r="253" spans="1:26" x14ac:dyDescent="0.3">
      <c r="A253" t="s">
        <v>548</v>
      </c>
      <c r="B253" s="1">
        <v>44803</v>
      </c>
      <c r="C253" t="s">
        <v>549</v>
      </c>
      <c r="D253" t="s">
        <v>53</v>
      </c>
      <c r="E253">
        <v>19088</v>
      </c>
      <c r="F253">
        <v>11.8</v>
      </c>
      <c r="G253">
        <v>60</v>
      </c>
      <c r="H253" t="s">
        <v>26</v>
      </c>
      <c r="I253" t="s">
        <v>20</v>
      </c>
      <c r="J253" t="s">
        <v>21</v>
      </c>
      <c r="K253">
        <v>44334</v>
      </c>
      <c r="L253" t="s">
        <v>29</v>
      </c>
      <c r="M253">
        <v>0.16</v>
      </c>
      <c r="N253">
        <v>0.71</v>
      </c>
      <c r="O253">
        <v>9337.7000000000007</v>
      </c>
      <c r="P253">
        <v>0</v>
      </c>
      <c r="Q253">
        <f ca="1">DATEDIF(banking_loan_data[[#This Row],[Issue Date]],TODAY(),"M")</f>
        <v>42</v>
      </c>
      <c r="R253">
        <f t="shared" si="18"/>
        <v>11261.92</v>
      </c>
      <c r="S253">
        <f>+banking_loan_data[[#This Row],[Loan Amount]]+banking_loan_data[[#This Row],[Interest earned]]</f>
        <v>30349.919999999998</v>
      </c>
      <c r="T253" s="2">
        <f t="shared" si="19"/>
        <v>-9750.2999999999993</v>
      </c>
      <c r="U253" s="2">
        <f t="shared" si="20"/>
        <v>0</v>
      </c>
      <c r="V253" s="2" t="str">
        <f>IF(banking_loan_data[[#This Row],[Loan Status]]="FULLY PAID","GOOD",IF(banking_loan_data[[#This Row],[Loan Status]]="CURRENT","ACTIVE","BAD"))</f>
        <v>ACTIVE</v>
      </c>
      <c r="W25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53" s="3">
        <f t="shared" si="21"/>
        <v>18769.866666666669</v>
      </c>
      <c r="Y253" s="4">
        <f t="shared" si="22"/>
        <v>-0.51080783738474433</v>
      </c>
      <c r="Z253" s="2" t="str">
        <f t="shared" si="23"/>
        <v>Normal</v>
      </c>
    </row>
    <row r="254" spans="1:26" x14ac:dyDescent="0.3">
      <c r="A254" t="s">
        <v>550</v>
      </c>
      <c r="B254" s="1">
        <v>44896</v>
      </c>
      <c r="C254" t="s">
        <v>551</v>
      </c>
      <c r="D254" t="s">
        <v>53</v>
      </c>
      <c r="E254">
        <v>34130</v>
      </c>
      <c r="F254">
        <v>11.2</v>
      </c>
      <c r="G254">
        <v>60</v>
      </c>
      <c r="H254" t="s">
        <v>19</v>
      </c>
      <c r="I254" t="s">
        <v>57</v>
      </c>
      <c r="J254" t="s">
        <v>37</v>
      </c>
      <c r="K254">
        <v>124715</v>
      </c>
      <c r="L254" t="s">
        <v>22</v>
      </c>
      <c r="M254">
        <v>0.11</v>
      </c>
      <c r="N254">
        <v>0.71</v>
      </c>
      <c r="O254">
        <v>37952.559999999998</v>
      </c>
      <c r="P254">
        <v>0</v>
      </c>
      <c r="Q254">
        <f ca="1">DATEDIF(banking_loan_data[[#This Row],[Issue Date]],TODAY(),"M")</f>
        <v>39</v>
      </c>
      <c r="R254">
        <f t="shared" si="18"/>
        <v>19112.8</v>
      </c>
      <c r="S254">
        <f>+banking_loan_data[[#This Row],[Loan Amount]]+banking_loan_data[[#This Row],[Interest earned]]</f>
        <v>53242.8</v>
      </c>
      <c r="T254" s="2">
        <f t="shared" si="19"/>
        <v>3822.5599999999977</v>
      </c>
      <c r="U254" s="2">
        <f t="shared" si="20"/>
        <v>0</v>
      </c>
      <c r="V254" s="2" t="str">
        <f>IF(banking_loan_data[[#This Row],[Loan Status]]="FULLY PAID","GOOD",IF(banking_loan_data[[#This Row],[Loan Status]]="CURRENT","ACTIVE","BAD"))</f>
        <v>GOOD</v>
      </c>
      <c r="W25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54" s="3">
        <f t="shared" si="21"/>
        <v>31854.666666666664</v>
      </c>
      <c r="Y254" s="4">
        <f t="shared" si="22"/>
        <v>0.11199999999999993</v>
      </c>
      <c r="Z254" s="2" t="str">
        <f t="shared" si="23"/>
        <v>Normal</v>
      </c>
    </row>
    <row r="255" spans="1:26" x14ac:dyDescent="0.3">
      <c r="A255" t="s">
        <v>552</v>
      </c>
      <c r="B255" s="1">
        <v>45189</v>
      </c>
      <c r="C255" t="s">
        <v>553</v>
      </c>
      <c r="D255" t="s">
        <v>25</v>
      </c>
      <c r="E255">
        <v>33088</v>
      </c>
      <c r="F255">
        <v>23.9</v>
      </c>
      <c r="G255">
        <v>36</v>
      </c>
      <c r="H255" t="s">
        <v>19</v>
      </c>
      <c r="I255" t="s">
        <v>41</v>
      </c>
      <c r="J255" t="s">
        <v>32</v>
      </c>
      <c r="K255">
        <v>92767</v>
      </c>
      <c r="L255" t="s">
        <v>22</v>
      </c>
      <c r="M255">
        <v>0.28999999999999998</v>
      </c>
      <c r="N255">
        <v>0.85</v>
      </c>
      <c r="O255">
        <v>40996.03</v>
      </c>
      <c r="P255">
        <v>0</v>
      </c>
      <c r="Q255">
        <f ca="1">DATEDIF(banking_loan_data[[#This Row],[Issue Date]],TODAY(),"M")</f>
        <v>29</v>
      </c>
      <c r="R255">
        <f t="shared" si="18"/>
        <v>23724.096000000001</v>
      </c>
      <c r="S255">
        <f>+banking_loan_data[[#This Row],[Loan Amount]]+banking_loan_data[[#This Row],[Interest earned]]</f>
        <v>56812.096000000005</v>
      </c>
      <c r="T255" s="2">
        <f t="shared" si="19"/>
        <v>7908.0299999999988</v>
      </c>
      <c r="U255" s="2">
        <f t="shared" si="20"/>
        <v>0</v>
      </c>
      <c r="V255" s="2" t="str">
        <f>IF(banking_loan_data[[#This Row],[Loan Status]]="FULLY PAID","GOOD",IF(banking_loan_data[[#This Row],[Loan Status]]="CURRENT","ACTIVE","BAD"))</f>
        <v>GOOD</v>
      </c>
      <c r="W25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55" s="3">
        <f t="shared" si="21"/>
        <v>65900.266666666663</v>
      </c>
      <c r="Y255" s="4">
        <f t="shared" si="22"/>
        <v>0.23899993955512569</v>
      </c>
      <c r="Z255" s="2" t="str">
        <f t="shared" si="23"/>
        <v>High Risk</v>
      </c>
    </row>
    <row r="256" spans="1:26" x14ac:dyDescent="0.3">
      <c r="A256" t="s">
        <v>554</v>
      </c>
      <c r="B256" s="1">
        <v>44387</v>
      </c>
      <c r="C256" t="s">
        <v>555</v>
      </c>
      <c r="D256" t="s">
        <v>65</v>
      </c>
      <c r="E256">
        <v>27292</v>
      </c>
      <c r="F256">
        <v>24.3</v>
      </c>
      <c r="G256">
        <v>36</v>
      </c>
      <c r="H256" t="s">
        <v>19</v>
      </c>
      <c r="I256" t="s">
        <v>57</v>
      </c>
      <c r="J256" t="s">
        <v>21</v>
      </c>
      <c r="K256">
        <v>36644</v>
      </c>
      <c r="L256" t="s">
        <v>29</v>
      </c>
      <c r="M256">
        <v>0.48</v>
      </c>
      <c r="N256">
        <v>0.84</v>
      </c>
      <c r="O256">
        <v>33923.96</v>
      </c>
      <c r="P256">
        <v>0</v>
      </c>
      <c r="Q256">
        <f ca="1">DATEDIF(banking_loan_data[[#This Row],[Issue Date]],TODAY(),"M")</f>
        <v>56</v>
      </c>
      <c r="R256">
        <f t="shared" si="18"/>
        <v>19895.867999999999</v>
      </c>
      <c r="S256">
        <f>+banking_loan_data[[#This Row],[Loan Amount]]+banking_loan_data[[#This Row],[Interest earned]]</f>
        <v>47187.868000000002</v>
      </c>
      <c r="T256" s="2">
        <f t="shared" si="19"/>
        <v>6631.9599999999991</v>
      </c>
      <c r="U256" s="2">
        <f t="shared" si="20"/>
        <v>0</v>
      </c>
      <c r="V256" s="2" t="str">
        <f>IF(banking_loan_data[[#This Row],[Loan Status]]="FULLY PAID","GOOD",IF(banking_loan_data[[#This Row],[Loan Status]]="CURRENT","ACTIVE","BAD"))</f>
        <v>GOOD</v>
      </c>
      <c r="W25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56" s="3">
        <f t="shared" si="21"/>
        <v>55266.299999999996</v>
      </c>
      <c r="Y256" s="4">
        <f t="shared" si="22"/>
        <v>0.24300014656309538</v>
      </c>
      <c r="Z256" s="2" t="str">
        <f t="shared" si="23"/>
        <v>High Risk</v>
      </c>
    </row>
    <row r="257" spans="1:26" x14ac:dyDescent="0.3">
      <c r="A257" t="s">
        <v>556</v>
      </c>
      <c r="B257" s="1">
        <v>44449</v>
      </c>
      <c r="C257" t="s">
        <v>557</v>
      </c>
      <c r="D257" t="s">
        <v>53</v>
      </c>
      <c r="E257">
        <v>21670</v>
      </c>
      <c r="F257">
        <v>8.6999999999999993</v>
      </c>
      <c r="G257">
        <v>60</v>
      </c>
      <c r="H257" t="s">
        <v>19</v>
      </c>
      <c r="I257" t="s">
        <v>73</v>
      </c>
      <c r="J257" t="s">
        <v>47</v>
      </c>
      <c r="K257">
        <v>131154</v>
      </c>
      <c r="L257" t="s">
        <v>22</v>
      </c>
      <c r="M257">
        <v>0.23</v>
      </c>
      <c r="N257">
        <v>0.71</v>
      </c>
      <c r="O257">
        <v>23555.29</v>
      </c>
      <c r="P257">
        <v>0</v>
      </c>
      <c r="Q257">
        <f ca="1">DATEDIF(banking_loan_data[[#This Row],[Issue Date]],TODAY(),"M")</f>
        <v>54</v>
      </c>
      <c r="R257">
        <f t="shared" si="18"/>
        <v>9426.4499999999989</v>
      </c>
      <c r="S257">
        <f>+banking_loan_data[[#This Row],[Loan Amount]]+banking_loan_data[[#This Row],[Interest earned]]</f>
        <v>31096.449999999997</v>
      </c>
      <c r="T257" s="2">
        <f t="shared" si="19"/>
        <v>1885.2900000000009</v>
      </c>
      <c r="U257" s="2">
        <f t="shared" si="20"/>
        <v>0</v>
      </c>
      <c r="V257" s="2" t="str">
        <f>IF(banking_loan_data[[#This Row],[Loan Status]]="FULLY PAID","GOOD",IF(banking_loan_data[[#This Row],[Loan Status]]="CURRENT","ACTIVE","BAD"))</f>
        <v>GOOD</v>
      </c>
      <c r="W25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57" s="3">
        <f t="shared" si="21"/>
        <v>15710.750000000096</v>
      </c>
      <c r="Y257" s="4">
        <f t="shared" si="22"/>
        <v>8.7000000000000036E-2</v>
      </c>
      <c r="Z257" s="2" t="str">
        <f t="shared" si="23"/>
        <v>Normal</v>
      </c>
    </row>
    <row r="258" spans="1:26" x14ac:dyDescent="0.3">
      <c r="A258" t="s">
        <v>558</v>
      </c>
      <c r="B258" s="1">
        <v>45177</v>
      </c>
      <c r="C258" t="s">
        <v>559</v>
      </c>
      <c r="D258" t="s">
        <v>53</v>
      </c>
      <c r="E258">
        <v>4738</v>
      </c>
      <c r="F258">
        <v>5.4</v>
      </c>
      <c r="G258">
        <v>36</v>
      </c>
      <c r="H258" t="s">
        <v>19</v>
      </c>
      <c r="I258" t="s">
        <v>27</v>
      </c>
      <c r="J258" t="s">
        <v>47</v>
      </c>
      <c r="K258">
        <v>143237</v>
      </c>
      <c r="L258" t="s">
        <v>33</v>
      </c>
      <c r="M258">
        <v>0.36</v>
      </c>
      <c r="N258">
        <v>0.88</v>
      </c>
      <c r="O258">
        <v>4993.8500000000004</v>
      </c>
      <c r="P258">
        <v>0</v>
      </c>
      <c r="Q258">
        <f ca="1">DATEDIF(banking_loan_data[[#This Row],[Issue Date]],TODAY(),"M")</f>
        <v>30</v>
      </c>
      <c r="R258">
        <f t="shared" ref="R258:R321" si="24">(((E258*F258)/100)*G258)/12</f>
        <v>767.55600000000004</v>
      </c>
      <c r="S258">
        <f>+banking_loan_data[[#This Row],[Loan Amount]]+banking_loan_data[[#This Row],[Interest earned]]</f>
        <v>5505.5560000000005</v>
      </c>
      <c r="T258" s="2">
        <f t="shared" ref="T258:T321" si="25">O258 + P258 - E258</f>
        <v>255.85000000000036</v>
      </c>
      <c r="U258" s="2">
        <f t="shared" ref="U258:U321" si="26">IF(H258="CHARGED OFF",1,0)</f>
        <v>0</v>
      </c>
      <c r="V258" s="2" t="str">
        <f>IF(banking_loan_data[[#This Row],[Loan Status]]="FULLY PAID","GOOD",IF(banking_loan_data[[#This Row],[Loan Status]]="CURRENT","ACTIVE","BAD"))</f>
        <v>GOOD</v>
      </c>
      <c r="W25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58" s="3">
        <f t="shared" ref="X258:X321" si="27">PMT(F258/12,G258,-E258)</f>
        <v>2132.1033079593458</v>
      </c>
      <c r="Y258" s="4">
        <f t="shared" ref="Y258:Y321" si="28">IF(E258=0,0,T258/E258)</f>
        <v>5.3999577880962511E-2</v>
      </c>
      <c r="Z258" s="2" t="str">
        <f t="shared" ref="Z258:Z321" si="29">IF(OR(M258&gt;0.4,N258&gt;0.8),"High Risk","Normal")</f>
        <v>High Risk</v>
      </c>
    </row>
    <row r="259" spans="1:26" x14ac:dyDescent="0.3">
      <c r="A259" t="s">
        <v>560</v>
      </c>
      <c r="B259" s="1">
        <v>45124</v>
      </c>
      <c r="C259" t="s">
        <v>561</v>
      </c>
      <c r="D259" t="s">
        <v>76</v>
      </c>
      <c r="E259">
        <v>3469</v>
      </c>
      <c r="F259">
        <v>19.399999999999999</v>
      </c>
      <c r="G259">
        <v>36</v>
      </c>
      <c r="H259" t="s">
        <v>26</v>
      </c>
      <c r="I259" t="s">
        <v>27</v>
      </c>
      <c r="J259" t="s">
        <v>21</v>
      </c>
      <c r="K259">
        <v>62933</v>
      </c>
      <c r="L259" t="s">
        <v>33</v>
      </c>
      <c r="M259">
        <v>0.36</v>
      </c>
      <c r="N259">
        <v>0.55000000000000004</v>
      </c>
      <c r="O259">
        <v>690.49</v>
      </c>
      <c r="P259">
        <v>0</v>
      </c>
      <c r="Q259">
        <f ca="1">DATEDIF(banking_loan_data[[#This Row],[Issue Date]],TODAY(),"M")</f>
        <v>32</v>
      </c>
      <c r="R259">
        <f t="shared" si="24"/>
        <v>2018.9579999999996</v>
      </c>
      <c r="S259">
        <f>+banking_loan_data[[#This Row],[Loan Amount]]+banking_loan_data[[#This Row],[Interest earned]]</f>
        <v>5487.9579999999996</v>
      </c>
      <c r="T259" s="2">
        <f t="shared" si="25"/>
        <v>-2778.51</v>
      </c>
      <c r="U259" s="2">
        <f t="shared" si="26"/>
        <v>0</v>
      </c>
      <c r="V259" s="2" t="str">
        <f>IF(banking_loan_data[[#This Row],[Loan Status]]="FULLY PAID","GOOD",IF(banking_loan_data[[#This Row],[Loan Status]]="CURRENT","ACTIVE","BAD"))</f>
        <v>ACTIVE</v>
      </c>
      <c r="W25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59" s="3">
        <f t="shared" si="27"/>
        <v>5608.2166666666708</v>
      </c>
      <c r="Y259" s="4">
        <f t="shared" si="28"/>
        <v>-0.80095416546555209</v>
      </c>
      <c r="Z259" s="2" t="str">
        <f t="shared" si="29"/>
        <v>Normal</v>
      </c>
    </row>
    <row r="260" spans="1:26" x14ac:dyDescent="0.3">
      <c r="A260" t="s">
        <v>562</v>
      </c>
      <c r="B260" s="1">
        <v>44324</v>
      </c>
      <c r="C260" t="s">
        <v>563</v>
      </c>
      <c r="D260" t="s">
        <v>72</v>
      </c>
      <c r="E260">
        <v>23534</v>
      </c>
      <c r="F260">
        <v>13.4</v>
      </c>
      <c r="G260">
        <v>60</v>
      </c>
      <c r="H260" t="s">
        <v>19</v>
      </c>
      <c r="I260" t="s">
        <v>57</v>
      </c>
      <c r="J260" t="s">
        <v>21</v>
      </c>
      <c r="K260">
        <v>73469</v>
      </c>
      <c r="L260" t="s">
        <v>29</v>
      </c>
      <c r="M260">
        <v>0.2</v>
      </c>
      <c r="N260">
        <v>0.61</v>
      </c>
      <c r="O260">
        <v>26687.56</v>
      </c>
      <c r="P260">
        <v>0</v>
      </c>
      <c r="Q260">
        <f ca="1">DATEDIF(banking_loan_data[[#This Row],[Issue Date]],TODAY(),"M")</f>
        <v>58</v>
      </c>
      <c r="R260">
        <f t="shared" si="24"/>
        <v>15767.780000000004</v>
      </c>
      <c r="S260">
        <f>+banking_loan_data[[#This Row],[Loan Amount]]+banking_loan_data[[#This Row],[Interest earned]]</f>
        <v>39301.780000000006</v>
      </c>
      <c r="T260" s="2">
        <f t="shared" si="25"/>
        <v>3153.5600000000013</v>
      </c>
      <c r="U260" s="2">
        <f t="shared" si="26"/>
        <v>0</v>
      </c>
      <c r="V260" s="2" t="str">
        <f>IF(banking_loan_data[[#This Row],[Loan Status]]="FULLY PAID","GOOD",IF(banking_loan_data[[#This Row],[Loan Status]]="CURRENT","ACTIVE","BAD"))</f>
        <v>GOOD</v>
      </c>
      <c r="W26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60" s="3">
        <f t="shared" si="27"/>
        <v>26279.633333333335</v>
      </c>
      <c r="Y260" s="4">
        <f t="shared" si="28"/>
        <v>0.13400016996685651</v>
      </c>
      <c r="Z260" s="2" t="str">
        <f t="shared" si="29"/>
        <v>Normal</v>
      </c>
    </row>
    <row r="261" spans="1:26" x14ac:dyDescent="0.3">
      <c r="A261" t="s">
        <v>564</v>
      </c>
      <c r="B261" s="1">
        <v>44214</v>
      </c>
      <c r="C261" t="s">
        <v>565</v>
      </c>
      <c r="D261" t="s">
        <v>76</v>
      </c>
      <c r="E261">
        <v>10017</v>
      </c>
      <c r="F261">
        <v>6.8</v>
      </c>
      <c r="G261">
        <v>36</v>
      </c>
      <c r="H261" t="s">
        <v>19</v>
      </c>
      <c r="I261" t="s">
        <v>73</v>
      </c>
      <c r="J261" t="s">
        <v>37</v>
      </c>
      <c r="K261">
        <v>63687</v>
      </c>
      <c r="L261" t="s">
        <v>22</v>
      </c>
      <c r="M261">
        <v>0.36</v>
      </c>
      <c r="N261">
        <v>0.87</v>
      </c>
      <c r="O261">
        <v>10698.16</v>
      </c>
      <c r="P261">
        <v>0</v>
      </c>
      <c r="Q261">
        <f ca="1">DATEDIF(banking_loan_data[[#This Row],[Issue Date]],TODAY(),"M")</f>
        <v>62</v>
      </c>
      <c r="R261">
        <f t="shared" si="24"/>
        <v>2043.4679999999998</v>
      </c>
      <c r="S261">
        <f>+banking_loan_data[[#This Row],[Loan Amount]]+banking_loan_data[[#This Row],[Interest earned]]</f>
        <v>12060.468000000001</v>
      </c>
      <c r="T261" s="2">
        <f t="shared" si="25"/>
        <v>681.15999999999985</v>
      </c>
      <c r="U261" s="2">
        <f t="shared" si="26"/>
        <v>0</v>
      </c>
      <c r="V261" s="2" t="str">
        <f>IF(banking_loan_data[[#This Row],[Loan Status]]="FULLY PAID","GOOD",IF(banking_loan_data[[#This Row],[Loan Status]]="CURRENT","ACTIVE","BAD"))</f>
        <v>GOOD</v>
      </c>
      <c r="W26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61" s="3">
        <f t="shared" si="27"/>
        <v>5676.3005431348447</v>
      </c>
      <c r="Y261" s="4">
        <f t="shared" si="28"/>
        <v>6.8000399321154023E-2</v>
      </c>
      <c r="Z261" s="2" t="str">
        <f t="shared" si="29"/>
        <v>High Risk</v>
      </c>
    </row>
    <row r="262" spans="1:26" x14ac:dyDescent="0.3">
      <c r="A262" t="s">
        <v>566</v>
      </c>
      <c r="B262" s="1">
        <v>44762</v>
      </c>
      <c r="C262" t="s">
        <v>567</v>
      </c>
      <c r="D262" t="s">
        <v>72</v>
      </c>
      <c r="E262">
        <v>3808</v>
      </c>
      <c r="F262">
        <v>18.7</v>
      </c>
      <c r="G262">
        <v>60</v>
      </c>
      <c r="H262" t="s">
        <v>19</v>
      </c>
      <c r="I262" t="s">
        <v>84</v>
      </c>
      <c r="J262" t="s">
        <v>21</v>
      </c>
      <c r="K262">
        <v>136609</v>
      </c>
      <c r="L262" t="s">
        <v>22</v>
      </c>
      <c r="M262">
        <v>0.18</v>
      </c>
      <c r="N262">
        <v>0.67</v>
      </c>
      <c r="O262">
        <v>4520.1000000000004</v>
      </c>
      <c r="P262">
        <v>0</v>
      </c>
      <c r="Q262">
        <f ca="1">DATEDIF(banking_loan_data[[#This Row],[Issue Date]],TODAY(),"M")</f>
        <v>43</v>
      </c>
      <c r="R262">
        <f t="shared" si="24"/>
        <v>3560.4799999999996</v>
      </c>
      <c r="S262">
        <f>+banking_loan_data[[#This Row],[Loan Amount]]+banking_loan_data[[#This Row],[Interest earned]]</f>
        <v>7368.48</v>
      </c>
      <c r="T262" s="2">
        <f t="shared" si="25"/>
        <v>712.10000000000036</v>
      </c>
      <c r="U262" s="2">
        <f t="shared" si="26"/>
        <v>0</v>
      </c>
      <c r="V262" s="2" t="str">
        <f>IF(banking_loan_data[[#This Row],[Loan Status]]="FULLY PAID","GOOD",IF(banking_loan_data[[#This Row],[Loan Status]]="CURRENT","ACTIVE","BAD"))</f>
        <v>GOOD</v>
      </c>
      <c r="W26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62" s="3">
        <f t="shared" si="27"/>
        <v>5934.1333333333332</v>
      </c>
      <c r="Y262" s="4">
        <f t="shared" si="28"/>
        <v>0.18700105042016815</v>
      </c>
      <c r="Z262" s="2" t="str">
        <f t="shared" si="29"/>
        <v>Normal</v>
      </c>
    </row>
    <row r="263" spans="1:26" x14ac:dyDescent="0.3">
      <c r="A263" t="s">
        <v>568</v>
      </c>
      <c r="B263" s="1">
        <v>44766</v>
      </c>
      <c r="C263" t="s">
        <v>569</v>
      </c>
      <c r="D263" t="s">
        <v>46</v>
      </c>
      <c r="E263">
        <v>13713</v>
      </c>
      <c r="F263">
        <v>15.9</v>
      </c>
      <c r="G263">
        <v>36</v>
      </c>
      <c r="H263" t="s">
        <v>19</v>
      </c>
      <c r="I263" t="s">
        <v>20</v>
      </c>
      <c r="J263" t="s">
        <v>32</v>
      </c>
      <c r="K263">
        <v>82656</v>
      </c>
      <c r="L263" t="s">
        <v>22</v>
      </c>
      <c r="M263">
        <v>0.15</v>
      </c>
      <c r="N263">
        <v>0.94</v>
      </c>
      <c r="O263">
        <v>15893.37</v>
      </c>
      <c r="P263">
        <v>0</v>
      </c>
      <c r="Q263">
        <f ca="1">DATEDIF(banking_loan_data[[#This Row],[Issue Date]],TODAY(),"M")</f>
        <v>43</v>
      </c>
      <c r="R263">
        <f t="shared" si="24"/>
        <v>6541.1009999999997</v>
      </c>
      <c r="S263">
        <f>+banking_loan_data[[#This Row],[Loan Amount]]+banking_loan_data[[#This Row],[Interest earned]]</f>
        <v>20254.100999999999</v>
      </c>
      <c r="T263" s="2">
        <f t="shared" si="25"/>
        <v>2180.3700000000008</v>
      </c>
      <c r="U263" s="2">
        <f t="shared" si="26"/>
        <v>0</v>
      </c>
      <c r="V263" s="2" t="str">
        <f>IF(banking_loan_data[[#This Row],[Loan Status]]="FULLY PAID","GOOD",IF(banking_loan_data[[#This Row],[Loan Status]]="CURRENT","ACTIVE","BAD"))</f>
        <v>GOOD</v>
      </c>
      <c r="W26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63" s="3">
        <f t="shared" si="27"/>
        <v>18169.72500000117</v>
      </c>
      <c r="Y263" s="4">
        <f t="shared" si="28"/>
        <v>0.15900021877050979</v>
      </c>
      <c r="Z263" s="2" t="str">
        <f t="shared" si="29"/>
        <v>High Risk</v>
      </c>
    </row>
    <row r="264" spans="1:26" x14ac:dyDescent="0.3">
      <c r="A264" t="s">
        <v>570</v>
      </c>
      <c r="B264" s="1">
        <v>44882</v>
      </c>
      <c r="C264" t="s">
        <v>571</v>
      </c>
      <c r="D264" t="s">
        <v>18</v>
      </c>
      <c r="E264">
        <v>3719</v>
      </c>
      <c r="F264">
        <v>24.6</v>
      </c>
      <c r="G264">
        <v>60</v>
      </c>
      <c r="H264" t="s">
        <v>19</v>
      </c>
      <c r="I264" t="s">
        <v>57</v>
      </c>
      <c r="J264" t="s">
        <v>37</v>
      </c>
      <c r="K264">
        <v>47375</v>
      </c>
      <c r="L264" t="s">
        <v>29</v>
      </c>
      <c r="M264">
        <v>0.38</v>
      </c>
      <c r="N264">
        <v>0.71</v>
      </c>
      <c r="O264">
        <v>4633.87</v>
      </c>
      <c r="P264">
        <v>0</v>
      </c>
      <c r="Q264">
        <f ca="1">DATEDIF(banking_loan_data[[#This Row],[Issue Date]],TODAY(),"M")</f>
        <v>40</v>
      </c>
      <c r="R264">
        <f t="shared" si="24"/>
        <v>4574.3700000000008</v>
      </c>
      <c r="S264">
        <f>+banking_loan_data[[#This Row],[Loan Amount]]+banking_loan_data[[#This Row],[Interest earned]]</f>
        <v>8293.3700000000008</v>
      </c>
      <c r="T264" s="2">
        <f t="shared" si="25"/>
        <v>914.86999999999989</v>
      </c>
      <c r="U264" s="2">
        <f t="shared" si="26"/>
        <v>0</v>
      </c>
      <c r="V264" s="2" t="str">
        <f>IF(banking_loan_data[[#This Row],[Loan Status]]="FULLY PAID","GOOD",IF(banking_loan_data[[#This Row],[Loan Status]]="CURRENT","ACTIVE","BAD"))</f>
        <v>GOOD</v>
      </c>
      <c r="W26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64" s="3">
        <f t="shared" si="27"/>
        <v>7623.9500000000007</v>
      </c>
      <c r="Y264" s="4">
        <f t="shared" si="28"/>
        <v>0.24599892444205429</v>
      </c>
      <c r="Z264" s="2" t="str">
        <f t="shared" si="29"/>
        <v>Normal</v>
      </c>
    </row>
    <row r="265" spans="1:26" x14ac:dyDescent="0.3">
      <c r="A265" t="s">
        <v>572</v>
      </c>
      <c r="B265" s="1">
        <v>44822</v>
      </c>
      <c r="C265" t="s">
        <v>573</v>
      </c>
      <c r="D265" t="s">
        <v>50</v>
      </c>
      <c r="E265">
        <v>23890</v>
      </c>
      <c r="F265">
        <v>9.5</v>
      </c>
      <c r="G265">
        <v>36</v>
      </c>
      <c r="H265" t="s">
        <v>19</v>
      </c>
      <c r="I265" t="s">
        <v>20</v>
      </c>
      <c r="J265" t="s">
        <v>28</v>
      </c>
      <c r="K265">
        <v>144019</v>
      </c>
      <c r="L265" t="s">
        <v>33</v>
      </c>
      <c r="M265">
        <v>0.15</v>
      </c>
      <c r="N265">
        <v>0.86</v>
      </c>
      <c r="O265">
        <v>26159.55</v>
      </c>
      <c r="P265">
        <v>0</v>
      </c>
      <c r="Q265">
        <f ca="1">DATEDIF(banking_loan_data[[#This Row],[Issue Date]],TODAY(),"M")</f>
        <v>42</v>
      </c>
      <c r="R265">
        <f t="shared" si="24"/>
        <v>6808.6500000000005</v>
      </c>
      <c r="S265">
        <f>+banking_loan_data[[#This Row],[Loan Amount]]+banking_loan_data[[#This Row],[Interest earned]]</f>
        <v>30698.65</v>
      </c>
      <c r="T265" s="2">
        <f t="shared" si="25"/>
        <v>2269.5499999999993</v>
      </c>
      <c r="U265" s="2">
        <f t="shared" si="26"/>
        <v>0</v>
      </c>
      <c r="V265" s="2" t="str">
        <f>IF(banking_loan_data[[#This Row],[Loan Status]]="FULLY PAID","GOOD",IF(banking_loan_data[[#This Row],[Loan Status]]="CURRENT","ACTIVE","BAD"))</f>
        <v>GOOD</v>
      </c>
      <c r="W26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65" s="3">
        <f t="shared" si="27"/>
        <v>18912.916681104391</v>
      </c>
      <c r="Y265" s="4">
        <f t="shared" si="28"/>
        <v>9.4999999999999973E-2</v>
      </c>
      <c r="Z265" s="2" t="str">
        <f t="shared" si="29"/>
        <v>High Risk</v>
      </c>
    </row>
    <row r="266" spans="1:26" x14ac:dyDescent="0.3">
      <c r="A266" t="s">
        <v>574</v>
      </c>
      <c r="B266" s="1">
        <v>45050</v>
      </c>
      <c r="C266" t="s">
        <v>575</v>
      </c>
      <c r="D266" t="s">
        <v>53</v>
      </c>
      <c r="E266">
        <v>12700</v>
      </c>
      <c r="F266">
        <v>13.1</v>
      </c>
      <c r="G266">
        <v>60</v>
      </c>
      <c r="H266" t="s">
        <v>26</v>
      </c>
      <c r="I266" t="s">
        <v>57</v>
      </c>
      <c r="J266" t="s">
        <v>32</v>
      </c>
      <c r="K266">
        <v>95206</v>
      </c>
      <c r="L266" t="s">
        <v>29</v>
      </c>
      <c r="M266">
        <v>0.5</v>
      </c>
      <c r="N266">
        <v>0.68</v>
      </c>
      <c r="O266">
        <v>1313.12</v>
      </c>
      <c r="P266">
        <v>0</v>
      </c>
      <c r="Q266">
        <f ca="1">DATEDIF(banking_loan_data[[#This Row],[Issue Date]],TODAY(),"M")</f>
        <v>34</v>
      </c>
      <c r="R266">
        <f t="shared" si="24"/>
        <v>8318.5</v>
      </c>
      <c r="S266">
        <f>+banking_loan_data[[#This Row],[Loan Amount]]+banking_loan_data[[#This Row],[Interest earned]]</f>
        <v>21018.5</v>
      </c>
      <c r="T266" s="2">
        <f t="shared" si="25"/>
        <v>-11386.880000000001</v>
      </c>
      <c r="U266" s="2">
        <f t="shared" si="26"/>
        <v>0</v>
      </c>
      <c r="V266" s="2" t="str">
        <f>IF(banking_loan_data[[#This Row],[Loan Status]]="FULLY PAID","GOOD",IF(banking_loan_data[[#This Row],[Loan Status]]="CURRENT","ACTIVE","BAD"))</f>
        <v>ACTIVE</v>
      </c>
      <c r="W26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66" s="3">
        <f t="shared" si="27"/>
        <v>13864.166666666666</v>
      </c>
      <c r="Y266" s="4">
        <f t="shared" si="28"/>
        <v>-0.89660472440944894</v>
      </c>
      <c r="Z266" s="2" t="str">
        <f t="shared" si="29"/>
        <v>High Risk</v>
      </c>
    </row>
    <row r="267" spans="1:26" x14ac:dyDescent="0.3">
      <c r="A267" t="s">
        <v>576</v>
      </c>
      <c r="B267" s="1">
        <v>45158</v>
      </c>
      <c r="C267" t="s">
        <v>577</v>
      </c>
      <c r="D267" t="s">
        <v>50</v>
      </c>
      <c r="E267">
        <v>37509</v>
      </c>
      <c r="F267">
        <v>15.9</v>
      </c>
      <c r="G267">
        <v>60</v>
      </c>
      <c r="H267" t="s">
        <v>19</v>
      </c>
      <c r="I267" t="s">
        <v>57</v>
      </c>
      <c r="J267" t="s">
        <v>37</v>
      </c>
      <c r="K267">
        <v>126462</v>
      </c>
      <c r="L267" t="s">
        <v>33</v>
      </c>
      <c r="M267">
        <v>0.17</v>
      </c>
      <c r="N267">
        <v>0.69</v>
      </c>
      <c r="O267">
        <v>43472.93</v>
      </c>
      <c r="P267">
        <v>0</v>
      </c>
      <c r="Q267">
        <f ca="1">DATEDIF(banking_loan_data[[#This Row],[Issue Date]],TODAY(),"M")</f>
        <v>30</v>
      </c>
      <c r="R267">
        <f t="shared" si="24"/>
        <v>29819.654999999999</v>
      </c>
      <c r="S267">
        <f>+banking_loan_data[[#This Row],[Loan Amount]]+banking_loan_data[[#This Row],[Interest earned]]</f>
        <v>67328.654999999999</v>
      </c>
      <c r="T267" s="2">
        <f t="shared" si="25"/>
        <v>5963.93</v>
      </c>
      <c r="U267" s="2">
        <f t="shared" si="26"/>
        <v>0</v>
      </c>
      <c r="V267" s="2" t="str">
        <f>IF(banking_loan_data[[#This Row],[Loan Status]]="FULLY PAID","GOOD",IF(banking_loan_data[[#This Row],[Loan Status]]="CURRENT","ACTIVE","BAD"))</f>
        <v>GOOD</v>
      </c>
      <c r="W26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67" s="3">
        <f t="shared" si="27"/>
        <v>49699.424999999996</v>
      </c>
      <c r="Y267" s="4">
        <f t="shared" si="28"/>
        <v>0.15899997333973181</v>
      </c>
      <c r="Z267" s="2" t="str">
        <f t="shared" si="29"/>
        <v>Normal</v>
      </c>
    </row>
    <row r="268" spans="1:26" x14ac:dyDescent="0.3">
      <c r="A268" t="s">
        <v>578</v>
      </c>
      <c r="B268" s="1">
        <v>44351</v>
      </c>
      <c r="C268" t="s">
        <v>579</v>
      </c>
      <c r="D268" t="s">
        <v>53</v>
      </c>
      <c r="E268">
        <v>37766</v>
      </c>
      <c r="F268">
        <v>20.8</v>
      </c>
      <c r="G268">
        <v>60</v>
      </c>
      <c r="H268" t="s">
        <v>19</v>
      </c>
      <c r="I268" t="s">
        <v>27</v>
      </c>
      <c r="J268" t="s">
        <v>37</v>
      </c>
      <c r="K268">
        <v>66607</v>
      </c>
      <c r="L268" t="s">
        <v>29</v>
      </c>
      <c r="M268">
        <v>0.34</v>
      </c>
      <c r="N268">
        <v>0.67</v>
      </c>
      <c r="O268">
        <v>45621.33</v>
      </c>
      <c r="P268">
        <v>0</v>
      </c>
      <c r="Q268">
        <f ca="1">DATEDIF(banking_loan_data[[#This Row],[Issue Date]],TODAY(),"M")</f>
        <v>57</v>
      </c>
      <c r="R268">
        <f t="shared" si="24"/>
        <v>39276.640000000007</v>
      </c>
      <c r="S268">
        <f>+banking_loan_data[[#This Row],[Loan Amount]]+banking_loan_data[[#This Row],[Interest earned]]</f>
        <v>77042.640000000014</v>
      </c>
      <c r="T268" s="2">
        <f t="shared" si="25"/>
        <v>7855.3300000000017</v>
      </c>
      <c r="U268" s="2">
        <f t="shared" si="26"/>
        <v>0</v>
      </c>
      <c r="V268" s="2" t="str">
        <f>IF(banking_loan_data[[#This Row],[Loan Status]]="FULLY PAID","GOOD",IF(banking_loan_data[[#This Row],[Loan Status]]="CURRENT","ACTIVE","BAD"))</f>
        <v>GOOD</v>
      </c>
      <c r="W26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68" s="3">
        <f t="shared" si="27"/>
        <v>65461.066666666666</v>
      </c>
      <c r="Y268" s="4">
        <f t="shared" si="28"/>
        <v>0.20800005295768687</v>
      </c>
      <c r="Z268" s="2" t="str">
        <f t="shared" si="29"/>
        <v>Normal</v>
      </c>
    </row>
    <row r="269" spans="1:26" x14ac:dyDescent="0.3">
      <c r="A269" t="s">
        <v>580</v>
      </c>
      <c r="B269" s="1">
        <v>44686</v>
      </c>
      <c r="C269" t="s">
        <v>581</v>
      </c>
      <c r="D269" t="s">
        <v>76</v>
      </c>
      <c r="E269">
        <v>27705</v>
      </c>
      <c r="F269">
        <v>16</v>
      </c>
      <c r="G269">
        <v>60</v>
      </c>
      <c r="H269" t="s">
        <v>19</v>
      </c>
      <c r="I269" t="s">
        <v>20</v>
      </c>
      <c r="J269" t="s">
        <v>47</v>
      </c>
      <c r="K269">
        <v>113178</v>
      </c>
      <c r="L269" t="s">
        <v>33</v>
      </c>
      <c r="M269">
        <v>0.26</v>
      </c>
      <c r="N269">
        <v>0.82</v>
      </c>
      <c r="O269">
        <v>32137.8</v>
      </c>
      <c r="P269">
        <v>0</v>
      </c>
      <c r="Q269">
        <f ca="1">DATEDIF(banking_loan_data[[#This Row],[Issue Date]],TODAY(),"M")</f>
        <v>46</v>
      </c>
      <c r="R269">
        <f t="shared" si="24"/>
        <v>22164</v>
      </c>
      <c r="S269">
        <f>+banking_loan_data[[#This Row],[Loan Amount]]+banking_loan_data[[#This Row],[Interest earned]]</f>
        <v>49869</v>
      </c>
      <c r="T269" s="2">
        <f t="shared" si="25"/>
        <v>4432.7999999999993</v>
      </c>
      <c r="U269" s="2">
        <f t="shared" si="26"/>
        <v>0</v>
      </c>
      <c r="V269" s="2" t="str">
        <f>IF(banking_loan_data[[#This Row],[Loan Status]]="FULLY PAID","GOOD",IF(banking_loan_data[[#This Row],[Loan Status]]="CURRENT","ACTIVE","BAD"))</f>
        <v>GOOD</v>
      </c>
      <c r="W26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69" s="3">
        <f t="shared" si="27"/>
        <v>36940</v>
      </c>
      <c r="Y269" s="4">
        <f t="shared" si="28"/>
        <v>0.15999999999999998</v>
      </c>
      <c r="Z269" s="2" t="str">
        <f t="shared" si="29"/>
        <v>High Risk</v>
      </c>
    </row>
    <row r="270" spans="1:26" x14ac:dyDescent="0.3">
      <c r="A270" t="s">
        <v>582</v>
      </c>
      <c r="B270" s="1">
        <v>44981</v>
      </c>
      <c r="C270" t="s">
        <v>583</v>
      </c>
      <c r="D270" t="s">
        <v>18</v>
      </c>
      <c r="E270">
        <v>19787</v>
      </c>
      <c r="F270">
        <v>17.3</v>
      </c>
      <c r="G270">
        <v>36</v>
      </c>
      <c r="H270" t="s">
        <v>19</v>
      </c>
      <c r="I270" t="s">
        <v>73</v>
      </c>
      <c r="J270" t="s">
        <v>37</v>
      </c>
      <c r="K270">
        <v>53993</v>
      </c>
      <c r="L270" t="s">
        <v>22</v>
      </c>
      <c r="M270">
        <v>0.15</v>
      </c>
      <c r="N270">
        <v>0.75</v>
      </c>
      <c r="O270">
        <v>23210.15</v>
      </c>
      <c r="P270">
        <v>0</v>
      </c>
      <c r="Q270">
        <f ca="1">DATEDIF(banking_loan_data[[#This Row],[Issue Date]],TODAY(),"M")</f>
        <v>36</v>
      </c>
      <c r="R270">
        <f t="shared" si="24"/>
        <v>10269.453000000001</v>
      </c>
      <c r="S270">
        <f>+banking_loan_data[[#This Row],[Loan Amount]]+banking_loan_data[[#This Row],[Interest earned]]</f>
        <v>30056.453000000001</v>
      </c>
      <c r="T270" s="2">
        <f t="shared" si="25"/>
        <v>3423.1500000000015</v>
      </c>
      <c r="U270" s="2">
        <f t="shared" si="26"/>
        <v>0</v>
      </c>
      <c r="V270" s="2" t="str">
        <f>IF(banking_loan_data[[#This Row],[Loan Status]]="FULLY PAID","GOOD",IF(banking_loan_data[[#This Row],[Loan Status]]="CURRENT","ACTIVE","BAD"))</f>
        <v>GOOD</v>
      </c>
      <c r="W27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70" s="3">
        <f t="shared" si="27"/>
        <v>28526.258333333648</v>
      </c>
      <c r="Y270" s="4">
        <f t="shared" si="28"/>
        <v>0.17299994946176789</v>
      </c>
      <c r="Z270" s="2" t="str">
        <f t="shared" si="29"/>
        <v>Normal</v>
      </c>
    </row>
    <row r="271" spans="1:26" x14ac:dyDescent="0.3">
      <c r="A271" t="s">
        <v>584</v>
      </c>
      <c r="B271" s="1">
        <v>44442</v>
      </c>
      <c r="C271" t="s">
        <v>585</v>
      </c>
      <c r="D271" t="s">
        <v>76</v>
      </c>
      <c r="E271">
        <v>27588</v>
      </c>
      <c r="F271">
        <v>9.5</v>
      </c>
      <c r="G271">
        <v>36</v>
      </c>
      <c r="H271" t="s">
        <v>81</v>
      </c>
      <c r="I271" t="s">
        <v>73</v>
      </c>
      <c r="J271" t="s">
        <v>32</v>
      </c>
      <c r="K271">
        <v>74386</v>
      </c>
      <c r="L271" t="s">
        <v>22</v>
      </c>
      <c r="M271">
        <v>0.11</v>
      </c>
      <c r="N271">
        <v>0.92</v>
      </c>
      <c r="O271">
        <v>7479.55</v>
      </c>
      <c r="P271">
        <v>6127.76</v>
      </c>
      <c r="Q271">
        <f ca="1">DATEDIF(banking_loan_data[[#This Row],[Issue Date]],TODAY(),"M")</f>
        <v>54</v>
      </c>
      <c r="R271">
        <f t="shared" si="24"/>
        <v>7862.5800000000008</v>
      </c>
      <c r="S271">
        <f>+banking_loan_data[[#This Row],[Loan Amount]]+banking_loan_data[[#This Row],[Interest earned]]</f>
        <v>35450.58</v>
      </c>
      <c r="T271" s="2">
        <f t="shared" si="25"/>
        <v>-13980.689999999999</v>
      </c>
      <c r="U271" s="2">
        <f t="shared" si="26"/>
        <v>1</v>
      </c>
      <c r="V271" s="2" t="str">
        <f>IF(banking_loan_data[[#This Row],[Loan Status]]="FULLY PAID","GOOD",IF(banking_loan_data[[#This Row],[Loan Status]]="CURRENT","ACTIVE","BAD"))</f>
        <v>BAD</v>
      </c>
      <c r="W27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71" s="3">
        <f t="shared" si="27"/>
        <v>21840.50001667258</v>
      </c>
      <c r="Y271" s="4">
        <f t="shared" si="28"/>
        <v>-0.50676707264027832</v>
      </c>
      <c r="Z271" s="2" t="str">
        <f t="shared" si="29"/>
        <v>High Risk</v>
      </c>
    </row>
    <row r="272" spans="1:26" x14ac:dyDescent="0.3">
      <c r="A272" t="s">
        <v>586</v>
      </c>
      <c r="B272" s="1">
        <v>45259</v>
      </c>
      <c r="C272" t="s">
        <v>587</v>
      </c>
      <c r="D272" t="s">
        <v>76</v>
      </c>
      <c r="E272">
        <v>27123</v>
      </c>
      <c r="F272">
        <v>21.9</v>
      </c>
      <c r="G272">
        <v>60</v>
      </c>
      <c r="H272" t="s">
        <v>19</v>
      </c>
      <c r="I272" t="s">
        <v>73</v>
      </c>
      <c r="J272" t="s">
        <v>21</v>
      </c>
      <c r="K272">
        <v>76287</v>
      </c>
      <c r="L272" t="s">
        <v>22</v>
      </c>
      <c r="M272">
        <v>0.35</v>
      </c>
      <c r="N272">
        <v>0.61</v>
      </c>
      <c r="O272">
        <v>33062.94</v>
      </c>
      <c r="P272">
        <v>0</v>
      </c>
      <c r="Q272">
        <f ca="1">DATEDIF(banking_loan_data[[#This Row],[Issue Date]],TODAY(),"M")</f>
        <v>27</v>
      </c>
      <c r="R272">
        <f t="shared" si="24"/>
        <v>29699.684999999998</v>
      </c>
      <c r="S272">
        <f>+banking_loan_data[[#This Row],[Loan Amount]]+banking_loan_data[[#This Row],[Interest earned]]</f>
        <v>56822.684999999998</v>
      </c>
      <c r="T272" s="2">
        <f t="shared" si="25"/>
        <v>5939.9400000000023</v>
      </c>
      <c r="U272" s="2">
        <f t="shared" si="26"/>
        <v>0</v>
      </c>
      <c r="V272" s="2" t="str">
        <f>IF(banking_loan_data[[#This Row],[Loan Status]]="FULLY PAID","GOOD",IF(banking_loan_data[[#This Row],[Loan Status]]="CURRENT","ACTIVE","BAD"))</f>
        <v>GOOD</v>
      </c>
      <c r="W27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72" s="3">
        <f t="shared" si="27"/>
        <v>49499.474999999999</v>
      </c>
      <c r="Y272" s="4">
        <f t="shared" si="28"/>
        <v>0.21900011060723379</v>
      </c>
      <c r="Z272" s="2" t="str">
        <f t="shared" si="29"/>
        <v>Normal</v>
      </c>
    </row>
    <row r="273" spans="1:26" x14ac:dyDescent="0.3">
      <c r="A273" t="s">
        <v>588</v>
      </c>
      <c r="B273" s="1">
        <v>44955</v>
      </c>
      <c r="C273" t="s">
        <v>589</v>
      </c>
      <c r="D273" t="s">
        <v>72</v>
      </c>
      <c r="E273">
        <v>34062</v>
      </c>
      <c r="F273">
        <v>13.6</v>
      </c>
      <c r="G273">
        <v>36</v>
      </c>
      <c r="H273" t="s">
        <v>81</v>
      </c>
      <c r="I273" t="s">
        <v>27</v>
      </c>
      <c r="J273" t="s">
        <v>32</v>
      </c>
      <c r="K273">
        <v>116724</v>
      </c>
      <c r="L273" t="s">
        <v>29</v>
      </c>
      <c r="M273">
        <v>0.42</v>
      </c>
      <c r="N273">
        <v>0.55000000000000004</v>
      </c>
      <c r="O273">
        <v>12667.87</v>
      </c>
      <c r="P273">
        <v>12334.49</v>
      </c>
      <c r="Q273">
        <f ca="1">DATEDIF(banking_loan_data[[#This Row],[Issue Date]],TODAY(),"M")</f>
        <v>37</v>
      </c>
      <c r="R273">
        <f t="shared" si="24"/>
        <v>13897.296</v>
      </c>
      <c r="S273">
        <f>+banking_loan_data[[#This Row],[Loan Amount]]+banking_loan_data[[#This Row],[Interest earned]]</f>
        <v>47959.296000000002</v>
      </c>
      <c r="T273" s="2">
        <f t="shared" si="25"/>
        <v>-9059.64</v>
      </c>
      <c r="U273" s="2">
        <f t="shared" si="26"/>
        <v>1</v>
      </c>
      <c r="V273" s="2" t="str">
        <f>IF(banking_loan_data[[#This Row],[Loan Status]]="FULLY PAID","GOOD",IF(banking_loan_data[[#This Row],[Loan Status]]="CURRENT","ACTIVE","BAD"))</f>
        <v>BAD</v>
      </c>
      <c r="W27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73" s="3">
        <f t="shared" si="27"/>
        <v>38603.600000055019</v>
      </c>
      <c r="Y273" s="4">
        <f t="shared" si="28"/>
        <v>-0.26597498678879689</v>
      </c>
      <c r="Z273" s="2" t="str">
        <f t="shared" si="29"/>
        <v>High Risk</v>
      </c>
    </row>
    <row r="274" spans="1:26" x14ac:dyDescent="0.3">
      <c r="A274" t="s">
        <v>590</v>
      </c>
      <c r="B274" s="1">
        <v>44734</v>
      </c>
      <c r="C274" t="s">
        <v>591</v>
      </c>
      <c r="D274" t="s">
        <v>65</v>
      </c>
      <c r="E274">
        <v>11177</v>
      </c>
      <c r="F274">
        <v>7.8</v>
      </c>
      <c r="G274">
        <v>36</v>
      </c>
      <c r="H274" t="s">
        <v>19</v>
      </c>
      <c r="I274" t="s">
        <v>57</v>
      </c>
      <c r="J274" t="s">
        <v>28</v>
      </c>
      <c r="K274">
        <v>128132</v>
      </c>
      <c r="L274" t="s">
        <v>29</v>
      </c>
      <c r="M274">
        <v>0.44</v>
      </c>
      <c r="N274">
        <v>0.68</v>
      </c>
      <c r="O274">
        <v>12048.81</v>
      </c>
      <c r="P274">
        <v>0</v>
      </c>
      <c r="Q274">
        <f ca="1">DATEDIF(banking_loan_data[[#This Row],[Issue Date]],TODAY(),"M")</f>
        <v>44</v>
      </c>
      <c r="R274">
        <f t="shared" si="24"/>
        <v>2615.4179999999997</v>
      </c>
      <c r="S274">
        <f>+banking_loan_data[[#This Row],[Loan Amount]]+banking_loan_data[[#This Row],[Interest earned]]</f>
        <v>13792.418</v>
      </c>
      <c r="T274" s="2">
        <f t="shared" si="25"/>
        <v>871.80999999999949</v>
      </c>
      <c r="U274" s="2">
        <f t="shared" si="26"/>
        <v>0</v>
      </c>
      <c r="V274" s="2" t="str">
        <f>IF(banking_loan_data[[#This Row],[Loan Status]]="FULLY PAID","GOOD",IF(banking_loan_data[[#This Row],[Loan Status]]="CURRENT","ACTIVE","BAD"))</f>
        <v>GOOD</v>
      </c>
      <c r="W27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74" s="3">
        <f t="shared" si="27"/>
        <v>7265.0501076010778</v>
      </c>
      <c r="Y274" s="4">
        <f t="shared" si="28"/>
        <v>7.8000357877784685E-2</v>
      </c>
      <c r="Z274" s="2" t="str">
        <f t="shared" si="29"/>
        <v>High Risk</v>
      </c>
    </row>
    <row r="275" spans="1:26" x14ac:dyDescent="0.3">
      <c r="A275" t="s">
        <v>592</v>
      </c>
      <c r="B275" s="1">
        <v>45117</v>
      </c>
      <c r="C275" t="s">
        <v>593</v>
      </c>
      <c r="D275" t="s">
        <v>56</v>
      </c>
      <c r="E275">
        <v>22727</v>
      </c>
      <c r="F275">
        <v>18.3</v>
      </c>
      <c r="G275">
        <v>36</v>
      </c>
      <c r="H275" t="s">
        <v>26</v>
      </c>
      <c r="I275" t="s">
        <v>36</v>
      </c>
      <c r="J275" t="s">
        <v>37</v>
      </c>
      <c r="K275">
        <v>123308</v>
      </c>
      <c r="L275" t="s">
        <v>29</v>
      </c>
      <c r="M275">
        <v>0.28999999999999998</v>
      </c>
      <c r="N275">
        <v>0.78</v>
      </c>
      <c r="O275">
        <v>9155.07</v>
      </c>
      <c r="P275">
        <v>0</v>
      </c>
      <c r="Q275">
        <f ca="1">DATEDIF(banking_loan_data[[#This Row],[Issue Date]],TODAY(),"M")</f>
        <v>32</v>
      </c>
      <c r="R275">
        <f t="shared" si="24"/>
        <v>12477.123</v>
      </c>
      <c r="S275">
        <f>+banking_loan_data[[#This Row],[Loan Amount]]+banking_loan_data[[#This Row],[Interest earned]]</f>
        <v>35204.123</v>
      </c>
      <c r="T275" s="2">
        <f t="shared" si="25"/>
        <v>-13571.93</v>
      </c>
      <c r="U275" s="2">
        <f t="shared" si="26"/>
        <v>0</v>
      </c>
      <c r="V275" s="2" t="str">
        <f>IF(banking_loan_data[[#This Row],[Loan Status]]="FULLY PAID","GOOD",IF(banking_loan_data[[#This Row],[Loan Status]]="CURRENT","ACTIVE","BAD"))</f>
        <v>ACTIVE</v>
      </c>
      <c r="W27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75" s="3">
        <f t="shared" si="27"/>
        <v>34658.675000000119</v>
      </c>
      <c r="Y275" s="4">
        <f t="shared" si="28"/>
        <v>-0.5971720860650328</v>
      </c>
      <c r="Z275" s="2" t="str">
        <f t="shared" si="29"/>
        <v>Normal</v>
      </c>
    </row>
    <row r="276" spans="1:26" x14ac:dyDescent="0.3">
      <c r="A276" t="s">
        <v>594</v>
      </c>
      <c r="B276" s="1">
        <v>44604</v>
      </c>
      <c r="C276" t="s">
        <v>595</v>
      </c>
      <c r="D276" t="s">
        <v>25</v>
      </c>
      <c r="E276">
        <v>31220</v>
      </c>
      <c r="F276">
        <v>9.3000000000000007</v>
      </c>
      <c r="G276">
        <v>36</v>
      </c>
      <c r="H276" t="s">
        <v>19</v>
      </c>
      <c r="I276" t="s">
        <v>73</v>
      </c>
      <c r="J276" t="s">
        <v>37</v>
      </c>
      <c r="K276">
        <v>126393</v>
      </c>
      <c r="L276" t="s">
        <v>22</v>
      </c>
      <c r="M276">
        <v>0.41</v>
      </c>
      <c r="N276">
        <v>0.89</v>
      </c>
      <c r="O276">
        <v>34123.46</v>
      </c>
      <c r="P276">
        <v>0</v>
      </c>
      <c r="Q276">
        <f ca="1">DATEDIF(banking_loan_data[[#This Row],[Issue Date]],TODAY(),"M")</f>
        <v>49</v>
      </c>
      <c r="R276">
        <f t="shared" si="24"/>
        <v>8710.3799999999992</v>
      </c>
      <c r="S276">
        <f>+banking_loan_data[[#This Row],[Loan Amount]]+banking_loan_data[[#This Row],[Interest earned]]</f>
        <v>39930.379999999997</v>
      </c>
      <c r="T276" s="2">
        <f t="shared" si="25"/>
        <v>2903.4599999999991</v>
      </c>
      <c r="U276" s="2">
        <f t="shared" si="26"/>
        <v>0</v>
      </c>
      <c r="V276" s="2" t="str">
        <f>IF(banking_loan_data[[#This Row],[Loan Status]]="FULLY PAID","GOOD",IF(banking_loan_data[[#This Row],[Loan Status]]="CURRENT","ACTIVE","BAD"))</f>
        <v>GOOD</v>
      </c>
      <c r="W27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76" s="3">
        <f t="shared" si="27"/>
        <v>24195.500025857931</v>
      </c>
      <c r="Y276" s="4">
        <f t="shared" si="28"/>
        <v>9.2999999999999972E-2</v>
      </c>
      <c r="Z276" s="2" t="str">
        <f t="shared" si="29"/>
        <v>High Risk</v>
      </c>
    </row>
    <row r="277" spans="1:26" x14ac:dyDescent="0.3">
      <c r="A277" t="s">
        <v>596</v>
      </c>
      <c r="B277" s="1">
        <v>44721</v>
      </c>
      <c r="C277" t="s">
        <v>597</v>
      </c>
      <c r="D277" t="s">
        <v>50</v>
      </c>
      <c r="E277">
        <v>10882</v>
      </c>
      <c r="F277">
        <v>7</v>
      </c>
      <c r="G277">
        <v>36</v>
      </c>
      <c r="H277" t="s">
        <v>26</v>
      </c>
      <c r="I277" t="s">
        <v>73</v>
      </c>
      <c r="J277" t="s">
        <v>37</v>
      </c>
      <c r="K277">
        <v>106312</v>
      </c>
      <c r="L277" t="s">
        <v>33</v>
      </c>
      <c r="M277">
        <v>0.37</v>
      </c>
      <c r="N277">
        <v>0.66</v>
      </c>
      <c r="O277">
        <v>3592.5</v>
      </c>
      <c r="P277">
        <v>0</v>
      </c>
      <c r="Q277">
        <f ca="1">DATEDIF(banking_loan_data[[#This Row],[Issue Date]],TODAY(),"M")</f>
        <v>45</v>
      </c>
      <c r="R277">
        <f t="shared" si="24"/>
        <v>2285.2199999999998</v>
      </c>
      <c r="S277">
        <f>+banking_loan_data[[#This Row],[Loan Amount]]+banking_loan_data[[#This Row],[Interest earned]]</f>
        <v>13167.22</v>
      </c>
      <c r="T277" s="2">
        <f t="shared" si="25"/>
        <v>-7289.5</v>
      </c>
      <c r="U277" s="2">
        <f t="shared" si="26"/>
        <v>0</v>
      </c>
      <c r="V277" s="2" t="str">
        <f>IF(banking_loan_data[[#This Row],[Loan Status]]="FULLY PAID","GOOD",IF(banking_loan_data[[#This Row],[Loan Status]]="CURRENT","ACTIVE","BAD"))</f>
        <v>ACTIVE</v>
      </c>
      <c r="W27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77" s="3">
        <f t="shared" si="27"/>
        <v>6347.8337483072191</v>
      </c>
      <c r="Y277" s="4">
        <f t="shared" si="28"/>
        <v>-0.66986767138393677</v>
      </c>
      <c r="Z277" s="2" t="str">
        <f t="shared" si="29"/>
        <v>Normal</v>
      </c>
    </row>
    <row r="278" spans="1:26" x14ac:dyDescent="0.3">
      <c r="A278" t="s">
        <v>598</v>
      </c>
      <c r="B278" s="1">
        <v>45024</v>
      </c>
      <c r="C278" t="s">
        <v>599</v>
      </c>
      <c r="D278" t="s">
        <v>46</v>
      </c>
      <c r="E278">
        <v>2136</v>
      </c>
      <c r="F278">
        <v>22.2</v>
      </c>
      <c r="G278">
        <v>60</v>
      </c>
      <c r="H278" t="s">
        <v>19</v>
      </c>
      <c r="I278" t="s">
        <v>84</v>
      </c>
      <c r="J278" t="s">
        <v>37</v>
      </c>
      <c r="K278">
        <v>128371</v>
      </c>
      <c r="L278" t="s">
        <v>22</v>
      </c>
      <c r="M278">
        <v>0.39</v>
      </c>
      <c r="N278">
        <v>0.79</v>
      </c>
      <c r="O278">
        <v>2610.19</v>
      </c>
      <c r="P278">
        <v>0</v>
      </c>
      <c r="Q278">
        <f ca="1">DATEDIF(banking_loan_data[[#This Row],[Issue Date]],TODAY(),"M")</f>
        <v>35</v>
      </c>
      <c r="R278">
        <f t="shared" si="24"/>
        <v>2370.9599999999996</v>
      </c>
      <c r="S278">
        <f>+banking_loan_data[[#This Row],[Loan Amount]]+banking_loan_data[[#This Row],[Interest earned]]</f>
        <v>4506.9599999999991</v>
      </c>
      <c r="T278" s="2">
        <f t="shared" si="25"/>
        <v>474.19000000000005</v>
      </c>
      <c r="U278" s="2">
        <f t="shared" si="26"/>
        <v>0</v>
      </c>
      <c r="V278" s="2" t="str">
        <f>IF(banking_loan_data[[#This Row],[Loan Status]]="FULLY PAID","GOOD",IF(banking_loan_data[[#This Row],[Loan Status]]="CURRENT","ACTIVE","BAD"))</f>
        <v>GOOD</v>
      </c>
      <c r="W27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78" s="3">
        <f t="shared" si="27"/>
        <v>3951.6</v>
      </c>
      <c r="Y278" s="4">
        <f t="shared" si="28"/>
        <v>0.221999063670412</v>
      </c>
      <c r="Z278" s="2" t="str">
        <f t="shared" si="29"/>
        <v>Normal</v>
      </c>
    </row>
    <row r="279" spans="1:26" x14ac:dyDescent="0.3">
      <c r="A279" t="s">
        <v>600</v>
      </c>
      <c r="B279" s="1">
        <v>45099</v>
      </c>
      <c r="C279" t="s">
        <v>601</v>
      </c>
      <c r="D279" t="s">
        <v>53</v>
      </c>
      <c r="E279">
        <v>35832</v>
      </c>
      <c r="F279">
        <v>14.2</v>
      </c>
      <c r="G279">
        <v>60</v>
      </c>
      <c r="H279" t="s">
        <v>19</v>
      </c>
      <c r="I279" t="s">
        <v>57</v>
      </c>
      <c r="J279" t="s">
        <v>47</v>
      </c>
      <c r="K279">
        <v>105324</v>
      </c>
      <c r="L279" t="s">
        <v>22</v>
      </c>
      <c r="M279">
        <v>0.3</v>
      </c>
      <c r="N279">
        <v>0.66</v>
      </c>
      <c r="O279">
        <v>40920.14</v>
      </c>
      <c r="P279">
        <v>0</v>
      </c>
      <c r="Q279">
        <f ca="1">DATEDIF(banking_loan_data[[#This Row],[Issue Date]],TODAY(),"M")</f>
        <v>32</v>
      </c>
      <c r="R279">
        <f t="shared" si="24"/>
        <v>25440.719999999998</v>
      </c>
      <c r="S279">
        <f>+banking_loan_data[[#This Row],[Loan Amount]]+banking_loan_data[[#This Row],[Interest earned]]</f>
        <v>61272.72</v>
      </c>
      <c r="T279" s="2">
        <f t="shared" si="25"/>
        <v>5088.1399999999994</v>
      </c>
      <c r="U279" s="2">
        <f t="shared" si="26"/>
        <v>0</v>
      </c>
      <c r="V279" s="2" t="str">
        <f>IF(banking_loan_data[[#This Row],[Loan Status]]="FULLY PAID","GOOD",IF(banking_loan_data[[#This Row],[Loan Status]]="CURRENT","ACTIVE","BAD"))</f>
        <v>GOOD</v>
      </c>
      <c r="W27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79" s="3">
        <f t="shared" si="27"/>
        <v>42401.2</v>
      </c>
      <c r="Y279" s="4">
        <f t="shared" si="28"/>
        <v>0.14199988836793925</v>
      </c>
      <c r="Z279" s="2" t="str">
        <f t="shared" si="29"/>
        <v>Normal</v>
      </c>
    </row>
    <row r="280" spans="1:26" x14ac:dyDescent="0.3">
      <c r="A280" t="s">
        <v>602</v>
      </c>
      <c r="B280" s="1">
        <v>44232</v>
      </c>
      <c r="C280" t="s">
        <v>603</v>
      </c>
      <c r="D280" t="s">
        <v>76</v>
      </c>
      <c r="E280">
        <v>32966</v>
      </c>
      <c r="F280">
        <v>20</v>
      </c>
      <c r="G280">
        <v>60</v>
      </c>
      <c r="H280" t="s">
        <v>26</v>
      </c>
      <c r="I280" t="s">
        <v>20</v>
      </c>
      <c r="J280" t="s">
        <v>47</v>
      </c>
      <c r="K280">
        <v>101196</v>
      </c>
      <c r="L280" t="s">
        <v>33</v>
      </c>
      <c r="M280">
        <v>0.35</v>
      </c>
      <c r="N280">
        <v>0.78</v>
      </c>
      <c r="O280">
        <v>6322.07</v>
      </c>
      <c r="P280">
        <v>0</v>
      </c>
      <c r="Q280">
        <f ca="1">DATEDIF(banking_loan_data[[#This Row],[Issue Date]],TODAY(),"M")</f>
        <v>61</v>
      </c>
      <c r="R280">
        <f t="shared" si="24"/>
        <v>32966</v>
      </c>
      <c r="S280">
        <f>+banking_loan_data[[#This Row],[Loan Amount]]+banking_loan_data[[#This Row],[Interest earned]]</f>
        <v>65932</v>
      </c>
      <c r="T280" s="2">
        <f t="shared" si="25"/>
        <v>-26643.93</v>
      </c>
      <c r="U280" s="2">
        <f t="shared" si="26"/>
        <v>0</v>
      </c>
      <c r="V280" s="2" t="str">
        <f>IF(banking_loan_data[[#This Row],[Loan Status]]="FULLY PAID","GOOD",IF(banking_loan_data[[#This Row],[Loan Status]]="CURRENT","ACTIVE","BAD"))</f>
        <v>ACTIVE</v>
      </c>
      <c r="W28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80" s="3">
        <f t="shared" si="27"/>
        <v>54943.333333333336</v>
      </c>
      <c r="Y280" s="4">
        <f t="shared" si="28"/>
        <v>-0.80822453436874353</v>
      </c>
      <c r="Z280" s="2" t="str">
        <f t="shared" si="29"/>
        <v>Normal</v>
      </c>
    </row>
    <row r="281" spans="1:26" x14ac:dyDescent="0.3">
      <c r="A281" t="s">
        <v>604</v>
      </c>
      <c r="B281" s="1">
        <v>44881</v>
      </c>
      <c r="C281" t="s">
        <v>605</v>
      </c>
      <c r="D281" t="s">
        <v>65</v>
      </c>
      <c r="E281">
        <v>8009</v>
      </c>
      <c r="F281">
        <v>10.8</v>
      </c>
      <c r="G281">
        <v>60</v>
      </c>
      <c r="H281" t="s">
        <v>26</v>
      </c>
      <c r="I281" t="s">
        <v>27</v>
      </c>
      <c r="J281" t="s">
        <v>21</v>
      </c>
      <c r="K281">
        <v>100014</v>
      </c>
      <c r="L281" t="s">
        <v>33</v>
      </c>
      <c r="M281">
        <v>0.42</v>
      </c>
      <c r="N281">
        <v>0.9</v>
      </c>
      <c r="O281">
        <v>2353.41</v>
      </c>
      <c r="P281">
        <v>0</v>
      </c>
      <c r="Q281">
        <f ca="1">DATEDIF(banking_loan_data[[#This Row],[Issue Date]],TODAY(),"M")</f>
        <v>40</v>
      </c>
      <c r="R281">
        <f t="shared" si="24"/>
        <v>4324.8600000000006</v>
      </c>
      <c r="S281">
        <f>+banking_loan_data[[#This Row],[Loan Amount]]+banking_loan_data[[#This Row],[Interest earned]]</f>
        <v>12333.86</v>
      </c>
      <c r="T281" s="2">
        <f t="shared" si="25"/>
        <v>-5655.59</v>
      </c>
      <c r="U281" s="2">
        <f t="shared" si="26"/>
        <v>0</v>
      </c>
      <c r="V281" s="2" t="str">
        <f>IF(banking_loan_data[[#This Row],[Loan Status]]="FULLY PAID","GOOD",IF(banking_loan_data[[#This Row],[Loan Status]]="CURRENT","ACTIVE","BAD"))</f>
        <v>ACTIVE</v>
      </c>
      <c r="W28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81" s="3">
        <f t="shared" si="27"/>
        <v>7208.1</v>
      </c>
      <c r="Y281" s="4">
        <f t="shared" si="28"/>
        <v>-0.70615432638281939</v>
      </c>
      <c r="Z281" s="2" t="str">
        <f t="shared" si="29"/>
        <v>High Risk</v>
      </c>
    </row>
    <row r="282" spans="1:26" x14ac:dyDescent="0.3">
      <c r="A282" t="s">
        <v>606</v>
      </c>
      <c r="B282" s="1">
        <v>44216</v>
      </c>
      <c r="C282" t="s">
        <v>607</v>
      </c>
      <c r="D282" t="s">
        <v>76</v>
      </c>
      <c r="E282">
        <v>13987</v>
      </c>
      <c r="F282">
        <v>20.7</v>
      </c>
      <c r="G282">
        <v>36</v>
      </c>
      <c r="H282" t="s">
        <v>19</v>
      </c>
      <c r="I282" t="s">
        <v>73</v>
      </c>
      <c r="J282" t="s">
        <v>37</v>
      </c>
      <c r="K282">
        <v>38210</v>
      </c>
      <c r="L282" t="s">
        <v>33</v>
      </c>
      <c r="M282">
        <v>0.26</v>
      </c>
      <c r="N282">
        <v>0.6</v>
      </c>
      <c r="O282">
        <v>16882.310000000001</v>
      </c>
      <c r="P282">
        <v>0</v>
      </c>
      <c r="Q282">
        <f ca="1">DATEDIF(banking_loan_data[[#This Row],[Issue Date]],TODAY(),"M")</f>
        <v>61</v>
      </c>
      <c r="R282">
        <f t="shared" si="24"/>
        <v>8685.9269999999997</v>
      </c>
      <c r="S282">
        <f>+banking_loan_data[[#This Row],[Loan Amount]]+banking_loan_data[[#This Row],[Interest earned]]</f>
        <v>22672.927</v>
      </c>
      <c r="T282" s="2">
        <f t="shared" si="25"/>
        <v>2895.3100000000013</v>
      </c>
      <c r="U282" s="2">
        <f t="shared" si="26"/>
        <v>0</v>
      </c>
      <c r="V282" s="2" t="str">
        <f>IF(banking_loan_data[[#This Row],[Loan Status]]="FULLY PAID","GOOD",IF(banking_loan_data[[#This Row],[Loan Status]]="CURRENT","ACTIVE","BAD"))</f>
        <v>GOOD</v>
      </c>
      <c r="W28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82" s="3">
        <f t="shared" si="27"/>
        <v>24127.575000000004</v>
      </c>
      <c r="Y282" s="4">
        <f t="shared" si="28"/>
        <v>0.20700007149495969</v>
      </c>
      <c r="Z282" s="2" t="str">
        <f t="shared" si="29"/>
        <v>Normal</v>
      </c>
    </row>
    <row r="283" spans="1:26" x14ac:dyDescent="0.3">
      <c r="A283" t="s">
        <v>608</v>
      </c>
      <c r="B283" s="1">
        <v>44517</v>
      </c>
      <c r="C283" t="s">
        <v>609</v>
      </c>
      <c r="D283" t="s">
        <v>18</v>
      </c>
      <c r="E283">
        <v>38311</v>
      </c>
      <c r="F283">
        <v>7.2</v>
      </c>
      <c r="G283">
        <v>36</v>
      </c>
      <c r="H283" t="s">
        <v>19</v>
      </c>
      <c r="I283" t="s">
        <v>36</v>
      </c>
      <c r="J283" t="s">
        <v>28</v>
      </c>
      <c r="K283">
        <v>40922</v>
      </c>
      <c r="L283" t="s">
        <v>33</v>
      </c>
      <c r="M283">
        <v>0.42</v>
      </c>
      <c r="N283">
        <v>0.68</v>
      </c>
      <c r="O283">
        <v>41069.39</v>
      </c>
      <c r="P283">
        <v>0</v>
      </c>
      <c r="Q283">
        <f ca="1">DATEDIF(banking_loan_data[[#This Row],[Issue Date]],TODAY(),"M")</f>
        <v>52</v>
      </c>
      <c r="R283">
        <f t="shared" si="24"/>
        <v>8275.1760000000013</v>
      </c>
      <c r="S283">
        <f>+banking_loan_data[[#This Row],[Loan Amount]]+banking_loan_data[[#This Row],[Interest earned]]</f>
        <v>46586.175999999999</v>
      </c>
      <c r="T283" s="2">
        <f t="shared" si="25"/>
        <v>2758.3899999999994</v>
      </c>
      <c r="U283" s="2">
        <f t="shared" si="26"/>
        <v>0</v>
      </c>
      <c r="V283" s="2" t="str">
        <f>IF(banking_loan_data[[#This Row],[Loan Status]]="FULLY PAID","GOOD",IF(banking_loan_data[[#This Row],[Loan Status]]="CURRENT","ACTIVE","BAD"))</f>
        <v>GOOD</v>
      </c>
      <c r="W28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83" s="3">
        <f t="shared" si="27"/>
        <v>22986.601030754839</v>
      </c>
      <c r="Y283" s="4">
        <f t="shared" si="28"/>
        <v>7.1999947795672245E-2</v>
      </c>
      <c r="Z283" s="2" t="str">
        <f t="shared" si="29"/>
        <v>High Risk</v>
      </c>
    </row>
    <row r="284" spans="1:26" x14ac:dyDescent="0.3">
      <c r="A284" t="s">
        <v>610</v>
      </c>
      <c r="B284" s="1">
        <v>44708</v>
      </c>
      <c r="C284" t="s">
        <v>611</v>
      </c>
      <c r="D284" t="s">
        <v>72</v>
      </c>
      <c r="E284">
        <v>32575</v>
      </c>
      <c r="F284">
        <v>12.1</v>
      </c>
      <c r="G284">
        <v>60</v>
      </c>
      <c r="H284" t="s">
        <v>19</v>
      </c>
      <c r="I284" t="s">
        <v>41</v>
      </c>
      <c r="J284" t="s">
        <v>21</v>
      </c>
      <c r="K284">
        <v>66289</v>
      </c>
      <c r="L284" t="s">
        <v>22</v>
      </c>
      <c r="M284">
        <v>0.34</v>
      </c>
      <c r="N284">
        <v>0.95</v>
      </c>
      <c r="O284">
        <v>36516.57</v>
      </c>
      <c r="P284">
        <v>0</v>
      </c>
      <c r="Q284">
        <f ca="1">DATEDIF(banking_loan_data[[#This Row],[Issue Date]],TODAY(),"M")</f>
        <v>45</v>
      </c>
      <c r="R284">
        <f t="shared" si="24"/>
        <v>19707.875</v>
      </c>
      <c r="S284">
        <f>+banking_loan_data[[#This Row],[Loan Amount]]+banking_loan_data[[#This Row],[Interest earned]]</f>
        <v>52282.875</v>
      </c>
      <c r="T284" s="2">
        <f t="shared" si="25"/>
        <v>3941.5699999999997</v>
      </c>
      <c r="U284" s="2">
        <f t="shared" si="26"/>
        <v>0</v>
      </c>
      <c r="V284" s="2" t="str">
        <f>IF(banking_loan_data[[#This Row],[Loan Status]]="FULLY PAID","GOOD",IF(banking_loan_data[[#This Row],[Loan Status]]="CURRENT","ACTIVE","BAD"))</f>
        <v>GOOD</v>
      </c>
      <c r="W28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84" s="3">
        <f t="shared" si="27"/>
        <v>32846.458333333336</v>
      </c>
      <c r="Y284" s="4">
        <f t="shared" si="28"/>
        <v>0.12099984650805831</v>
      </c>
      <c r="Z284" s="2" t="str">
        <f t="shared" si="29"/>
        <v>High Risk</v>
      </c>
    </row>
    <row r="285" spans="1:26" x14ac:dyDescent="0.3">
      <c r="A285" t="s">
        <v>612</v>
      </c>
      <c r="B285" s="1">
        <v>44596</v>
      </c>
      <c r="C285" t="s">
        <v>613</v>
      </c>
      <c r="D285" t="s">
        <v>46</v>
      </c>
      <c r="E285">
        <v>2007</v>
      </c>
      <c r="F285">
        <v>24.6</v>
      </c>
      <c r="G285">
        <v>36</v>
      </c>
      <c r="H285" t="s">
        <v>26</v>
      </c>
      <c r="I285" t="s">
        <v>57</v>
      </c>
      <c r="J285" t="s">
        <v>37</v>
      </c>
      <c r="K285">
        <v>63340</v>
      </c>
      <c r="L285" t="s">
        <v>29</v>
      </c>
      <c r="M285">
        <v>0.17</v>
      </c>
      <c r="N285">
        <v>0.89</v>
      </c>
      <c r="O285">
        <v>182.76</v>
      </c>
      <c r="P285">
        <v>0</v>
      </c>
      <c r="Q285">
        <f ca="1">DATEDIF(banking_loan_data[[#This Row],[Issue Date]],TODAY(),"M")</f>
        <v>49</v>
      </c>
      <c r="R285">
        <f t="shared" si="24"/>
        <v>1481.1660000000002</v>
      </c>
      <c r="S285">
        <f>+banking_loan_data[[#This Row],[Loan Amount]]+banking_loan_data[[#This Row],[Interest earned]]</f>
        <v>3488.1660000000002</v>
      </c>
      <c r="T285" s="2">
        <f t="shared" si="25"/>
        <v>-1824.24</v>
      </c>
      <c r="U285" s="2">
        <f t="shared" si="26"/>
        <v>0</v>
      </c>
      <c r="V285" s="2" t="str">
        <f>IF(banking_loan_data[[#This Row],[Loan Status]]="FULLY PAID","GOOD",IF(banking_loan_data[[#This Row],[Loan Status]]="CURRENT","ACTIVE","BAD"))</f>
        <v>ACTIVE</v>
      </c>
      <c r="W28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85" s="3">
        <f t="shared" si="27"/>
        <v>4114.3500000000004</v>
      </c>
      <c r="Y285" s="4">
        <f t="shared" si="28"/>
        <v>-0.90893871449925268</v>
      </c>
      <c r="Z285" s="2" t="str">
        <f t="shared" si="29"/>
        <v>High Risk</v>
      </c>
    </row>
    <row r="286" spans="1:26" x14ac:dyDescent="0.3">
      <c r="A286" t="s">
        <v>614</v>
      </c>
      <c r="B286" s="1">
        <v>44850</v>
      </c>
      <c r="C286" t="s">
        <v>615</v>
      </c>
      <c r="D286" t="s">
        <v>56</v>
      </c>
      <c r="E286">
        <v>6445</v>
      </c>
      <c r="F286">
        <v>20.9</v>
      </c>
      <c r="G286">
        <v>36</v>
      </c>
      <c r="H286" t="s">
        <v>19</v>
      </c>
      <c r="I286" t="s">
        <v>57</v>
      </c>
      <c r="J286" t="s">
        <v>47</v>
      </c>
      <c r="K286">
        <v>69850</v>
      </c>
      <c r="L286" t="s">
        <v>22</v>
      </c>
      <c r="M286">
        <v>0.11</v>
      </c>
      <c r="N286">
        <v>0.75</v>
      </c>
      <c r="O286">
        <v>7792</v>
      </c>
      <c r="P286">
        <v>0</v>
      </c>
      <c r="Q286">
        <f ca="1">DATEDIF(banking_loan_data[[#This Row],[Issue Date]],TODAY(),"M")</f>
        <v>41</v>
      </c>
      <c r="R286">
        <f t="shared" si="24"/>
        <v>4041.0150000000008</v>
      </c>
      <c r="S286">
        <f>+banking_loan_data[[#This Row],[Loan Amount]]+banking_loan_data[[#This Row],[Interest earned]]</f>
        <v>10486.015000000001</v>
      </c>
      <c r="T286" s="2">
        <f t="shared" si="25"/>
        <v>1347</v>
      </c>
      <c r="U286" s="2">
        <f t="shared" si="26"/>
        <v>0</v>
      </c>
      <c r="V286" s="2" t="str">
        <f>IF(banking_loan_data[[#This Row],[Loan Status]]="FULLY PAID","GOOD",IF(banking_loan_data[[#This Row],[Loan Status]]="CURRENT","ACTIVE","BAD"))</f>
        <v>GOOD</v>
      </c>
      <c r="W28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86" s="3">
        <f t="shared" si="27"/>
        <v>11225.041666666668</v>
      </c>
      <c r="Y286" s="4">
        <f t="shared" si="28"/>
        <v>0.20899922420480993</v>
      </c>
      <c r="Z286" s="2" t="str">
        <f t="shared" si="29"/>
        <v>Normal</v>
      </c>
    </row>
    <row r="287" spans="1:26" x14ac:dyDescent="0.3">
      <c r="A287" t="s">
        <v>616</v>
      </c>
      <c r="B287" s="1">
        <v>45168</v>
      </c>
      <c r="C287" t="s">
        <v>617</v>
      </c>
      <c r="D287" t="s">
        <v>18</v>
      </c>
      <c r="E287">
        <v>11706</v>
      </c>
      <c r="F287">
        <v>14.9</v>
      </c>
      <c r="G287">
        <v>60</v>
      </c>
      <c r="H287" t="s">
        <v>19</v>
      </c>
      <c r="I287" t="s">
        <v>57</v>
      </c>
      <c r="J287" t="s">
        <v>28</v>
      </c>
      <c r="K287">
        <v>86984</v>
      </c>
      <c r="L287" t="s">
        <v>33</v>
      </c>
      <c r="M287">
        <v>0.25</v>
      </c>
      <c r="N287">
        <v>0.73</v>
      </c>
      <c r="O287">
        <v>13450.19</v>
      </c>
      <c r="P287">
        <v>0</v>
      </c>
      <c r="Q287">
        <f ca="1">DATEDIF(banking_loan_data[[#This Row],[Issue Date]],TODAY(),"M")</f>
        <v>30</v>
      </c>
      <c r="R287">
        <f t="shared" si="24"/>
        <v>8720.9699999999993</v>
      </c>
      <c r="S287">
        <f>+banking_loan_data[[#This Row],[Loan Amount]]+banking_loan_data[[#This Row],[Interest earned]]</f>
        <v>20426.97</v>
      </c>
      <c r="T287" s="2">
        <f t="shared" si="25"/>
        <v>1744.1900000000005</v>
      </c>
      <c r="U287" s="2">
        <f t="shared" si="26"/>
        <v>0</v>
      </c>
      <c r="V287" s="2" t="str">
        <f>IF(banking_loan_data[[#This Row],[Loan Status]]="FULLY PAID","GOOD",IF(banking_loan_data[[#This Row],[Loan Status]]="CURRENT","ACTIVE","BAD"))</f>
        <v>GOOD</v>
      </c>
      <c r="W28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87" s="3">
        <f t="shared" si="27"/>
        <v>14534.95</v>
      </c>
      <c r="Y287" s="4">
        <f t="shared" si="28"/>
        <v>0.14899965829489156</v>
      </c>
      <c r="Z287" s="2" t="str">
        <f t="shared" si="29"/>
        <v>Normal</v>
      </c>
    </row>
    <row r="288" spans="1:26" x14ac:dyDescent="0.3">
      <c r="A288" t="s">
        <v>618</v>
      </c>
      <c r="B288" s="1">
        <v>44667</v>
      </c>
      <c r="C288" t="s">
        <v>619</v>
      </c>
      <c r="D288" t="s">
        <v>40</v>
      </c>
      <c r="E288">
        <v>30257</v>
      </c>
      <c r="F288">
        <v>11.8</v>
      </c>
      <c r="G288">
        <v>36</v>
      </c>
      <c r="H288" t="s">
        <v>26</v>
      </c>
      <c r="I288" t="s">
        <v>57</v>
      </c>
      <c r="J288" t="s">
        <v>21</v>
      </c>
      <c r="K288">
        <v>133699</v>
      </c>
      <c r="L288" t="s">
        <v>29</v>
      </c>
      <c r="M288">
        <v>0.32</v>
      </c>
      <c r="N288">
        <v>0.63</v>
      </c>
      <c r="O288">
        <v>10757.13</v>
      </c>
      <c r="P288">
        <v>0</v>
      </c>
      <c r="Q288">
        <f ca="1">DATEDIF(banking_loan_data[[#This Row],[Issue Date]],TODAY(),"M")</f>
        <v>47</v>
      </c>
      <c r="R288">
        <f t="shared" si="24"/>
        <v>10710.978000000001</v>
      </c>
      <c r="S288">
        <f>+banking_loan_data[[#This Row],[Loan Amount]]+banking_loan_data[[#This Row],[Interest earned]]</f>
        <v>40967.978000000003</v>
      </c>
      <c r="T288" s="2">
        <f t="shared" si="25"/>
        <v>-19499.870000000003</v>
      </c>
      <c r="U288" s="2">
        <f t="shared" si="26"/>
        <v>0</v>
      </c>
      <c r="V288" s="2" t="str">
        <f>IF(banking_loan_data[[#This Row],[Loan Status]]="FULLY PAID","GOOD",IF(banking_loan_data[[#This Row],[Loan Status]]="CURRENT","ACTIVE","BAD"))</f>
        <v>ACTIVE</v>
      </c>
      <c r="W28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88" s="3">
        <f t="shared" si="27"/>
        <v>29752.716667251836</v>
      </c>
      <c r="Y288" s="4">
        <f t="shared" si="28"/>
        <v>-0.64447466701920231</v>
      </c>
      <c r="Z288" s="2" t="str">
        <f t="shared" si="29"/>
        <v>Normal</v>
      </c>
    </row>
    <row r="289" spans="1:26" x14ac:dyDescent="0.3">
      <c r="A289" t="s">
        <v>620</v>
      </c>
      <c r="B289" s="1">
        <v>45030</v>
      </c>
      <c r="C289" t="s">
        <v>621</v>
      </c>
      <c r="D289" t="s">
        <v>46</v>
      </c>
      <c r="E289">
        <v>22736</v>
      </c>
      <c r="F289">
        <v>22.4</v>
      </c>
      <c r="G289">
        <v>60</v>
      </c>
      <c r="H289" t="s">
        <v>81</v>
      </c>
      <c r="I289" t="s">
        <v>84</v>
      </c>
      <c r="J289" t="s">
        <v>28</v>
      </c>
      <c r="K289">
        <v>143711</v>
      </c>
      <c r="L289" t="s">
        <v>29</v>
      </c>
      <c r="M289">
        <v>0.44</v>
      </c>
      <c r="N289">
        <v>0.73</v>
      </c>
      <c r="O289">
        <v>7219.33</v>
      </c>
      <c r="P289">
        <v>8265.9599999999991</v>
      </c>
      <c r="Q289">
        <f ca="1">DATEDIF(banking_loan_data[[#This Row],[Issue Date]],TODAY(),"M")</f>
        <v>35</v>
      </c>
      <c r="R289">
        <f t="shared" si="24"/>
        <v>25464.319999999996</v>
      </c>
      <c r="S289">
        <f>+banking_loan_data[[#This Row],[Loan Amount]]+banking_loan_data[[#This Row],[Interest earned]]</f>
        <v>48200.319999999992</v>
      </c>
      <c r="T289" s="2">
        <f t="shared" si="25"/>
        <v>-7250.7100000000009</v>
      </c>
      <c r="U289" s="2">
        <f t="shared" si="26"/>
        <v>1</v>
      </c>
      <c r="V289" s="2" t="str">
        <f>IF(banking_loan_data[[#This Row],[Loan Status]]="FULLY PAID","GOOD",IF(banking_loan_data[[#This Row],[Loan Status]]="CURRENT","ACTIVE","BAD"))</f>
        <v>BAD</v>
      </c>
      <c r="W28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89" s="3">
        <f t="shared" si="27"/>
        <v>42440.533333333326</v>
      </c>
      <c r="Y289" s="4">
        <f t="shared" si="28"/>
        <v>-0.31890877902885295</v>
      </c>
      <c r="Z289" s="2" t="str">
        <f t="shared" si="29"/>
        <v>High Risk</v>
      </c>
    </row>
    <row r="290" spans="1:26" x14ac:dyDescent="0.3">
      <c r="A290" t="s">
        <v>622</v>
      </c>
      <c r="B290" s="1">
        <v>44923</v>
      </c>
      <c r="C290" t="s">
        <v>623</v>
      </c>
      <c r="D290" t="s">
        <v>76</v>
      </c>
      <c r="E290">
        <v>14281</v>
      </c>
      <c r="F290">
        <v>15.9</v>
      </c>
      <c r="G290">
        <v>60</v>
      </c>
      <c r="H290" t="s">
        <v>26</v>
      </c>
      <c r="I290" t="s">
        <v>27</v>
      </c>
      <c r="J290" t="s">
        <v>37</v>
      </c>
      <c r="K290">
        <v>114178</v>
      </c>
      <c r="L290" t="s">
        <v>22</v>
      </c>
      <c r="M290">
        <v>0.15</v>
      </c>
      <c r="N290">
        <v>0.88</v>
      </c>
      <c r="O290">
        <v>6915.78</v>
      </c>
      <c r="P290">
        <v>0</v>
      </c>
      <c r="Q290">
        <f ca="1">DATEDIF(banking_loan_data[[#This Row],[Issue Date]],TODAY(),"M")</f>
        <v>38</v>
      </c>
      <c r="R290">
        <f t="shared" si="24"/>
        <v>11353.394999999999</v>
      </c>
      <c r="S290">
        <f>+banking_loan_data[[#This Row],[Loan Amount]]+banking_loan_data[[#This Row],[Interest earned]]</f>
        <v>25634.394999999997</v>
      </c>
      <c r="T290" s="2">
        <f t="shared" si="25"/>
        <v>-7365.22</v>
      </c>
      <c r="U290" s="2">
        <f t="shared" si="26"/>
        <v>0</v>
      </c>
      <c r="V290" s="2" t="str">
        <f>IF(banking_loan_data[[#This Row],[Loan Status]]="FULLY PAID","GOOD",IF(banking_loan_data[[#This Row],[Loan Status]]="CURRENT","ACTIVE","BAD"))</f>
        <v>ACTIVE</v>
      </c>
      <c r="W29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90" s="3">
        <f t="shared" si="27"/>
        <v>18922.325000000001</v>
      </c>
      <c r="Y290" s="4">
        <f t="shared" si="28"/>
        <v>-0.5157355927456061</v>
      </c>
      <c r="Z290" s="2" t="str">
        <f t="shared" si="29"/>
        <v>High Risk</v>
      </c>
    </row>
    <row r="291" spans="1:26" x14ac:dyDescent="0.3">
      <c r="A291" t="s">
        <v>624</v>
      </c>
      <c r="B291" s="1">
        <v>45050</v>
      </c>
      <c r="C291" t="s">
        <v>625</v>
      </c>
      <c r="D291" t="s">
        <v>18</v>
      </c>
      <c r="E291">
        <v>2435</v>
      </c>
      <c r="F291">
        <v>20.2</v>
      </c>
      <c r="G291">
        <v>36</v>
      </c>
      <c r="H291" t="s">
        <v>26</v>
      </c>
      <c r="I291" t="s">
        <v>73</v>
      </c>
      <c r="J291" t="s">
        <v>32</v>
      </c>
      <c r="K291">
        <v>41094</v>
      </c>
      <c r="L291" t="s">
        <v>22</v>
      </c>
      <c r="M291">
        <v>0.42</v>
      </c>
      <c r="N291">
        <v>0.81</v>
      </c>
      <c r="O291">
        <v>407.08</v>
      </c>
      <c r="P291">
        <v>0</v>
      </c>
      <c r="Q291">
        <f ca="1">DATEDIF(banking_loan_data[[#This Row],[Issue Date]],TODAY(),"M")</f>
        <v>34</v>
      </c>
      <c r="R291">
        <f t="shared" si="24"/>
        <v>1475.61</v>
      </c>
      <c r="S291">
        <f>+banking_loan_data[[#This Row],[Loan Amount]]+banking_loan_data[[#This Row],[Interest earned]]</f>
        <v>3910.6099999999997</v>
      </c>
      <c r="T291" s="2">
        <f t="shared" si="25"/>
        <v>-2027.92</v>
      </c>
      <c r="U291" s="2">
        <f t="shared" si="26"/>
        <v>0</v>
      </c>
      <c r="V291" s="2" t="str">
        <f>IF(banking_loan_data[[#This Row],[Loan Status]]="FULLY PAID","GOOD",IF(banking_loan_data[[#This Row],[Loan Status]]="CURRENT","ACTIVE","BAD"))</f>
        <v>ACTIVE</v>
      </c>
      <c r="W29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291" s="3">
        <f t="shared" si="27"/>
        <v>4098.9166666666679</v>
      </c>
      <c r="Y291" s="4">
        <f t="shared" si="28"/>
        <v>-0.83282135523613965</v>
      </c>
      <c r="Z291" s="2" t="str">
        <f t="shared" si="29"/>
        <v>High Risk</v>
      </c>
    </row>
    <row r="292" spans="1:26" x14ac:dyDescent="0.3">
      <c r="A292" t="s">
        <v>626</v>
      </c>
      <c r="B292" s="1">
        <v>44247</v>
      </c>
      <c r="C292" t="s">
        <v>627</v>
      </c>
      <c r="D292" t="s">
        <v>56</v>
      </c>
      <c r="E292">
        <v>34339</v>
      </c>
      <c r="F292">
        <v>20.100000000000001</v>
      </c>
      <c r="G292">
        <v>36</v>
      </c>
      <c r="H292" t="s">
        <v>26</v>
      </c>
      <c r="I292" t="s">
        <v>20</v>
      </c>
      <c r="J292" t="s">
        <v>28</v>
      </c>
      <c r="K292">
        <v>117959</v>
      </c>
      <c r="L292" t="s">
        <v>22</v>
      </c>
      <c r="M292">
        <v>0.45</v>
      </c>
      <c r="N292">
        <v>0.63</v>
      </c>
      <c r="O292">
        <v>2002.15</v>
      </c>
      <c r="P292">
        <v>0</v>
      </c>
      <c r="Q292">
        <f ca="1">DATEDIF(banking_loan_data[[#This Row],[Issue Date]],TODAY(),"M")</f>
        <v>60</v>
      </c>
      <c r="R292">
        <f t="shared" si="24"/>
        <v>20706.417000000001</v>
      </c>
      <c r="S292">
        <f>+banking_loan_data[[#This Row],[Loan Amount]]+banking_loan_data[[#This Row],[Interest earned]]</f>
        <v>55045.417000000001</v>
      </c>
      <c r="T292" s="2">
        <f t="shared" si="25"/>
        <v>-32336.85</v>
      </c>
      <c r="U292" s="2">
        <f t="shared" si="26"/>
        <v>0</v>
      </c>
      <c r="V292" s="2" t="str">
        <f>IF(banking_loan_data[[#This Row],[Loan Status]]="FULLY PAID","GOOD",IF(banking_loan_data[[#This Row],[Loan Status]]="CURRENT","ACTIVE","BAD"))</f>
        <v>ACTIVE</v>
      </c>
      <c r="W29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92" s="3">
        <f t="shared" si="27"/>
        <v>57517.825000000026</v>
      </c>
      <c r="Y292" s="4">
        <f t="shared" si="28"/>
        <v>-0.94169457468184858</v>
      </c>
      <c r="Z292" s="2" t="str">
        <f t="shared" si="29"/>
        <v>High Risk</v>
      </c>
    </row>
    <row r="293" spans="1:26" x14ac:dyDescent="0.3">
      <c r="A293" t="s">
        <v>628</v>
      </c>
      <c r="B293" s="1">
        <v>44771</v>
      </c>
      <c r="C293" t="s">
        <v>629</v>
      </c>
      <c r="D293" t="s">
        <v>65</v>
      </c>
      <c r="E293">
        <v>36150</v>
      </c>
      <c r="F293">
        <v>5.4</v>
      </c>
      <c r="G293">
        <v>60</v>
      </c>
      <c r="H293" t="s">
        <v>19</v>
      </c>
      <c r="I293" t="s">
        <v>57</v>
      </c>
      <c r="J293" t="s">
        <v>28</v>
      </c>
      <c r="K293">
        <v>63418</v>
      </c>
      <c r="L293" t="s">
        <v>29</v>
      </c>
      <c r="M293">
        <v>0.16</v>
      </c>
      <c r="N293">
        <v>0.59</v>
      </c>
      <c r="O293">
        <v>38102.1</v>
      </c>
      <c r="P293">
        <v>0</v>
      </c>
      <c r="Q293">
        <f ca="1">DATEDIF(banking_loan_data[[#This Row],[Issue Date]],TODAY(),"M")</f>
        <v>43</v>
      </c>
      <c r="R293">
        <f t="shared" si="24"/>
        <v>9760.5</v>
      </c>
      <c r="S293">
        <f>+banking_loan_data[[#This Row],[Loan Amount]]+banking_loan_data[[#This Row],[Interest earned]]</f>
        <v>45910.5</v>
      </c>
      <c r="T293" s="2">
        <f t="shared" si="25"/>
        <v>1952.0999999999985</v>
      </c>
      <c r="U293" s="2">
        <f t="shared" si="26"/>
        <v>0</v>
      </c>
      <c r="V293" s="2" t="str">
        <f>IF(banking_loan_data[[#This Row],[Loan Status]]="FULLY PAID","GOOD",IF(banking_loan_data[[#This Row],[Loan Status]]="CURRENT","ACTIVE","BAD"))</f>
        <v>GOOD</v>
      </c>
      <c r="W29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93" s="3">
        <f t="shared" si="27"/>
        <v>16267.500003382524</v>
      </c>
      <c r="Y293" s="4">
        <f t="shared" si="28"/>
        <v>5.3999999999999958E-2</v>
      </c>
      <c r="Z293" s="2" t="str">
        <f t="shared" si="29"/>
        <v>Normal</v>
      </c>
    </row>
    <row r="294" spans="1:26" x14ac:dyDescent="0.3">
      <c r="A294" t="s">
        <v>630</v>
      </c>
      <c r="B294" s="1">
        <v>44346</v>
      </c>
      <c r="C294" t="s">
        <v>631</v>
      </c>
      <c r="D294" t="s">
        <v>65</v>
      </c>
      <c r="E294">
        <v>26821</v>
      </c>
      <c r="F294">
        <v>7.5</v>
      </c>
      <c r="G294">
        <v>60</v>
      </c>
      <c r="H294" t="s">
        <v>19</v>
      </c>
      <c r="I294" t="s">
        <v>57</v>
      </c>
      <c r="J294" t="s">
        <v>47</v>
      </c>
      <c r="K294">
        <v>35741</v>
      </c>
      <c r="L294" t="s">
        <v>29</v>
      </c>
      <c r="M294">
        <v>0.44</v>
      </c>
      <c r="N294">
        <v>0.62</v>
      </c>
      <c r="O294">
        <v>28832.57</v>
      </c>
      <c r="P294">
        <v>0</v>
      </c>
      <c r="Q294">
        <f ca="1">DATEDIF(banking_loan_data[[#This Row],[Issue Date]],TODAY(),"M")</f>
        <v>57</v>
      </c>
      <c r="R294">
        <f t="shared" si="24"/>
        <v>10057.875</v>
      </c>
      <c r="S294">
        <f>+banking_loan_data[[#This Row],[Loan Amount]]+banking_loan_data[[#This Row],[Interest earned]]</f>
        <v>36878.875</v>
      </c>
      <c r="T294" s="2">
        <f t="shared" si="25"/>
        <v>2011.5699999999997</v>
      </c>
      <c r="U294" s="2">
        <f t="shared" si="26"/>
        <v>0</v>
      </c>
      <c r="V294" s="2" t="str">
        <f>IF(banking_loan_data[[#This Row],[Loan Status]]="FULLY PAID","GOOD",IF(banking_loan_data[[#This Row],[Loan Status]]="CURRENT","ACTIVE","BAD"))</f>
        <v>GOOD</v>
      </c>
      <c r="W29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94" s="3">
        <f t="shared" si="27"/>
        <v>16763.125000003743</v>
      </c>
      <c r="Y294" s="4">
        <f t="shared" si="28"/>
        <v>7.4999813578912042E-2</v>
      </c>
      <c r="Z294" s="2" t="str">
        <f t="shared" si="29"/>
        <v>High Risk</v>
      </c>
    </row>
    <row r="295" spans="1:26" x14ac:dyDescent="0.3">
      <c r="A295" t="s">
        <v>632</v>
      </c>
      <c r="B295" s="1">
        <v>44510</v>
      </c>
      <c r="C295" t="s">
        <v>633</v>
      </c>
      <c r="D295" t="s">
        <v>50</v>
      </c>
      <c r="E295">
        <v>27660</v>
      </c>
      <c r="F295">
        <v>18.2</v>
      </c>
      <c r="G295">
        <v>36</v>
      </c>
      <c r="H295" t="s">
        <v>26</v>
      </c>
      <c r="I295" t="s">
        <v>84</v>
      </c>
      <c r="J295" t="s">
        <v>37</v>
      </c>
      <c r="K295">
        <v>141585</v>
      </c>
      <c r="L295" t="s">
        <v>29</v>
      </c>
      <c r="M295">
        <v>0.5</v>
      </c>
      <c r="N295">
        <v>0.57999999999999996</v>
      </c>
      <c r="O295">
        <v>8174.19</v>
      </c>
      <c r="P295">
        <v>0</v>
      </c>
      <c r="Q295">
        <f ca="1">DATEDIF(banking_loan_data[[#This Row],[Issue Date]],TODAY(),"M")</f>
        <v>52</v>
      </c>
      <c r="R295">
        <f t="shared" si="24"/>
        <v>15102.36</v>
      </c>
      <c r="S295">
        <f>+banking_loan_data[[#This Row],[Loan Amount]]+banking_loan_data[[#This Row],[Interest earned]]</f>
        <v>42762.36</v>
      </c>
      <c r="T295" s="2">
        <f t="shared" si="25"/>
        <v>-19485.810000000001</v>
      </c>
      <c r="U295" s="2">
        <f t="shared" si="26"/>
        <v>0</v>
      </c>
      <c r="V295" s="2" t="str">
        <f>IF(banking_loan_data[[#This Row],[Loan Status]]="FULLY PAID","GOOD",IF(banking_loan_data[[#This Row],[Loan Status]]="CURRENT","ACTIVE","BAD"))</f>
        <v>ACTIVE</v>
      </c>
      <c r="W29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95" s="3">
        <f t="shared" si="27"/>
        <v>41951.000000000153</v>
      </c>
      <c r="Y295" s="4">
        <f t="shared" si="28"/>
        <v>-0.70447613882863347</v>
      </c>
      <c r="Z295" s="2" t="str">
        <f t="shared" si="29"/>
        <v>High Risk</v>
      </c>
    </row>
    <row r="296" spans="1:26" x14ac:dyDescent="0.3">
      <c r="A296" t="s">
        <v>634</v>
      </c>
      <c r="B296" s="1">
        <v>44766</v>
      </c>
      <c r="C296" t="s">
        <v>635</v>
      </c>
      <c r="D296" t="s">
        <v>56</v>
      </c>
      <c r="E296">
        <v>6084</v>
      </c>
      <c r="F296">
        <v>8.1999999999999993</v>
      </c>
      <c r="G296">
        <v>60</v>
      </c>
      <c r="H296" t="s">
        <v>19</v>
      </c>
      <c r="I296" t="s">
        <v>20</v>
      </c>
      <c r="J296" t="s">
        <v>28</v>
      </c>
      <c r="K296">
        <v>102374</v>
      </c>
      <c r="L296" t="s">
        <v>33</v>
      </c>
      <c r="M296">
        <v>0.39</v>
      </c>
      <c r="N296">
        <v>0.54</v>
      </c>
      <c r="O296">
        <v>6582.89</v>
      </c>
      <c r="P296">
        <v>0</v>
      </c>
      <c r="Q296">
        <f ca="1">DATEDIF(banking_loan_data[[#This Row],[Issue Date]],TODAY(),"M")</f>
        <v>43</v>
      </c>
      <c r="R296">
        <f t="shared" si="24"/>
        <v>2494.44</v>
      </c>
      <c r="S296">
        <f>+banking_loan_data[[#This Row],[Loan Amount]]+banking_loan_data[[#This Row],[Interest earned]]</f>
        <v>8578.44</v>
      </c>
      <c r="T296" s="2">
        <f t="shared" si="25"/>
        <v>498.89000000000033</v>
      </c>
      <c r="U296" s="2">
        <f t="shared" si="26"/>
        <v>0</v>
      </c>
      <c r="V296" s="2" t="str">
        <f>IF(banking_loan_data[[#This Row],[Loan Status]]="FULLY PAID","GOOD",IF(banking_loan_data[[#This Row],[Loan Status]]="CURRENT","ACTIVE","BAD"))</f>
        <v>GOOD</v>
      </c>
      <c r="W29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296" s="3">
        <f t="shared" si="27"/>
        <v>4157.4000000001115</v>
      </c>
      <c r="Y296" s="4">
        <f t="shared" si="28"/>
        <v>8.2000328731098013E-2</v>
      </c>
      <c r="Z296" s="2" t="str">
        <f t="shared" si="29"/>
        <v>Normal</v>
      </c>
    </row>
    <row r="297" spans="1:26" x14ac:dyDescent="0.3">
      <c r="A297" t="s">
        <v>636</v>
      </c>
      <c r="B297" s="1">
        <v>44501</v>
      </c>
      <c r="C297" t="s">
        <v>637</v>
      </c>
      <c r="D297" t="s">
        <v>65</v>
      </c>
      <c r="E297">
        <v>17661</v>
      </c>
      <c r="F297">
        <v>10.1</v>
      </c>
      <c r="G297">
        <v>60</v>
      </c>
      <c r="H297" t="s">
        <v>81</v>
      </c>
      <c r="I297" t="s">
        <v>84</v>
      </c>
      <c r="J297" t="s">
        <v>37</v>
      </c>
      <c r="K297">
        <v>147275</v>
      </c>
      <c r="L297" t="s">
        <v>33</v>
      </c>
      <c r="M297">
        <v>0.41</v>
      </c>
      <c r="N297">
        <v>0.69</v>
      </c>
      <c r="O297">
        <v>5510.89</v>
      </c>
      <c r="P297">
        <v>3016.27</v>
      </c>
      <c r="Q297">
        <f ca="1">DATEDIF(banking_loan_data[[#This Row],[Issue Date]],TODAY(),"M")</f>
        <v>52</v>
      </c>
      <c r="R297">
        <f t="shared" si="24"/>
        <v>8918.8050000000003</v>
      </c>
      <c r="S297">
        <f>+banking_loan_data[[#This Row],[Loan Amount]]+banking_loan_data[[#This Row],[Interest earned]]</f>
        <v>26579.805</v>
      </c>
      <c r="T297" s="2">
        <f t="shared" si="25"/>
        <v>-9133.84</v>
      </c>
      <c r="U297" s="2">
        <f t="shared" si="26"/>
        <v>1</v>
      </c>
      <c r="V297" s="2" t="str">
        <f>IF(banking_loan_data[[#This Row],[Loan Status]]="FULLY PAID","GOOD",IF(banking_loan_data[[#This Row],[Loan Status]]="CURRENT","ACTIVE","BAD"))</f>
        <v>BAD</v>
      </c>
      <c r="W29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297" s="3">
        <f t="shared" si="27"/>
        <v>14864.675000000003</v>
      </c>
      <c r="Y297" s="4">
        <f t="shared" si="28"/>
        <v>-0.517175697865353</v>
      </c>
      <c r="Z297" s="2" t="str">
        <f t="shared" si="29"/>
        <v>High Risk</v>
      </c>
    </row>
    <row r="298" spans="1:26" x14ac:dyDescent="0.3">
      <c r="A298" t="s">
        <v>638</v>
      </c>
      <c r="B298" s="1">
        <v>44878</v>
      </c>
      <c r="C298" t="s">
        <v>639</v>
      </c>
      <c r="D298" t="s">
        <v>18</v>
      </c>
      <c r="E298">
        <v>14507</v>
      </c>
      <c r="F298">
        <v>23.9</v>
      </c>
      <c r="G298">
        <v>60</v>
      </c>
      <c r="H298" t="s">
        <v>19</v>
      </c>
      <c r="I298" t="s">
        <v>27</v>
      </c>
      <c r="J298" t="s">
        <v>47</v>
      </c>
      <c r="K298">
        <v>98798</v>
      </c>
      <c r="L298" t="s">
        <v>22</v>
      </c>
      <c r="M298">
        <v>0.5</v>
      </c>
      <c r="N298">
        <v>0.55000000000000004</v>
      </c>
      <c r="O298">
        <v>17974.169999999998</v>
      </c>
      <c r="P298">
        <v>0</v>
      </c>
      <c r="Q298">
        <f ca="1">DATEDIF(banking_loan_data[[#This Row],[Issue Date]],TODAY(),"M")</f>
        <v>40</v>
      </c>
      <c r="R298">
        <f t="shared" si="24"/>
        <v>17335.864999999998</v>
      </c>
      <c r="S298">
        <f>+banking_loan_data[[#This Row],[Loan Amount]]+banking_loan_data[[#This Row],[Interest earned]]</f>
        <v>31842.864999999998</v>
      </c>
      <c r="T298" s="2">
        <f t="shared" si="25"/>
        <v>3467.1699999999983</v>
      </c>
      <c r="U298" s="2">
        <f t="shared" si="26"/>
        <v>0</v>
      </c>
      <c r="V298" s="2" t="str">
        <f>IF(banking_loan_data[[#This Row],[Loan Status]]="FULLY PAID","GOOD",IF(banking_loan_data[[#This Row],[Loan Status]]="CURRENT","ACTIVE","BAD"))</f>
        <v>GOOD</v>
      </c>
      <c r="W29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98" s="3">
        <f t="shared" si="27"/>
        <v>28893.10833333333</v>
      </c>
      <c r="Y298" s="4">
        <f t="shared" si="28"/>
        <v>0.23899979320328105</v>
      </c>
      <c r="Z298" s="2" t="str">
        <f t="shared" si="29"/>
        <v>High Risk</v>
      </c>
    </row>
    <row r="299" spans="1:26" x14ac:dyDescent="0.3">
      <c r="A299" t="s">
        <v>640</v>
      </c>
      <c r="B299" s="1">
        <v>45034</v>
      </c>
      <c r="C299" t="s">
        <v>641</v>
      </c>
      <c r="D299" t="s">
        <v>50</v>
      </c>
      <c r="E299">
        <v>8059</v>
      </c>
      <c r="F299">
        <v>16.2</v>
      </c>
      <c r="G299">
        <v>36</v>
      </c>
      <c r="H299" t="s">
        <v>19</v>
      </c>
      <c r="I299" t="s">
        <v>27</v>
      </c>
      <c r="J299" t="s">
        <v>37</v>
      </c>
      <c r="K299">
        <v>146026</v>
      </c>
      <c r="L299" t="s">
        <v>29</v>
      </c>
      <c r="M299">
        <v>0.34</v>
      </c>
      <c r="N299">
        <v>0.57999999999999996</v>
      </c>
      <c r="O299">
        <v>9364.56</v>
      </c>
      <c r="P299">
        <v>0</v>
      </c>
      <c r="Q299">
        <f ca="1">DATEDIF(banking_loan_data[[#This Row],[Issue Date]],TODAY(),"M")</f>
        <v>35</v>
      </c>
      <c r="R299">
        <f t="shared" si="24"/>
        <v>3916.6740000000004</v>
      </c>
      <c r="S299">
        <f>+banking_loan_data[[#This Row],[Loan Amount]]+banking_loan_data[[#This Row],[Interest earned]]</f>
        <v>11975.674000000001</v>
      </c>
      <c r="T299" s="2">
        <f t="shared" si="25"/>
        <v>1305.5599999999995</v>
      </c>
      <c r="U299" s="2">
        <f t="shared" si="26"/>
        <v>0</v>
      </c>
      <c r="V299" s="2" t="str">
        <f>IF(banking_loan_data[[#This Row],[Loan Status]]="FULLY PAID","GOOD",IF(banking_loan_data[[#This Row],[Loan Status]]="CURRENT","ACTIVE","BAD"))</f>
        <v>GOOD</v>
      </c>
      <c r="W29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299" s="3">
        <f t="shared" si="27"/>
        <v>10879.650000000476</v>
      </c>
      <c r="Y299" s="4">
        <f t="shared" si="28"/>
        <v>0.16200024816974803</v>
      </c>
      <c r="Z299" s="2" t="str">
        <f t="shared" si="29"/>
        <v>Normal</v>
      </c>
    </row>
    <row r="300" spans="1:26" x14ac:dyDescent="0.3">
      <c r="A300" t="s">
        <v>642</v>
      </c>
      <c r="B300" s="1">
        <v>45274</v>
      </c>
      <c r="C300" t="s">
        <v>643</v>
      </c>
      <c r="D300" t="s">
        <v>65</v>
      </c>
      <c r="E300">
        <v>19271</v>
      </c>
      <c r="F300">
        <v>20</v>
      </c>
      <c r="G300">
        <v>60</v>
      </c>
      <c r="H300" t="s">
        <v>81</v>
      </c>
      <c r="I300" t="s">
        <v>57</v>
      </c>
      <c r="J300" t="s">
        <v>47</v>
      </c>
      <c r="K300">
        <v>100532</v>
      </c>
      <c r="L300" t="s">
        <v>22</v>
      </c>
      <c r="M300">
        <v>0.22</v>
      </c>
      <c r="N300">
        <v>0.75</v>
      </c>
      <c r="O300">
        <v>6496.68</v>
      </c>
      <c r="P300">
        <v>2294.8000000000002</v>
      </c>
      <c r="Q300">
        <f ca="1">DATEDIF(banking_loan_data[[#This Row],[Issue Date]],TODAY(),"M")</f>
        <v>27</v>
      </c>
      <c r="R300">
        <f t="shared" si="24"/>
        <v>19271</v>
      </c>
      <c r="S300">
        <f>+banking_loan_data[[#This Row],[Loan Amount]]+banking_loan_data[[#This Row],[Interest earned]]</f>
        <v>38542</v>
      </c>
      <c r="T300" s="2">
        <f t="shared" si="25"/>
        <v>-10479.52</v>
      </c>
      <c r="U300" s="2">
        <f t="shared" si="26"/>
        <v>1</v>
      </c>
      <c r="V300" s="2" t="str">
        <f>IF(banking_loan_data[[#This Row],[Loan Status]]="FULLY PAID","GOOD",IF(banking_loan_data[[#This Row],[Loan Status]]="CURRENT","ACTIVE","BAD"))</f>
        <v>BAD</v>
      </c>
      <c r="W30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00" s="3">
        <f t="shared" si="27"/>
        <v>32118.333333333336</v>
      </c>
      <c r="Y300" s="4">
        <f t="shared" si="28"/>
        <v>-0.54379741580613361</v>
      </c>
      <c r="Z300" s="2" t="str">
        <f t="shared" si="29"/>
        <v>Normal</v>
      </c>
    </row>
    <row r="301" spans="1:26" x14ac:dyDescent="0.3">
      <c r="A301" t="s">
        <v>644</v>
      </c>
      <c r="B301" s="1">
        <v>45199</v>
      </c>
      <c r="C301" t="s">
        <v>645</v>
      </c>
      <c r="D301" t="s">
        <v>46</v>
      </c>
      <c r="E301">
        <v>8491</v>
      </c>
      <c r="F301">
        <v>16.2</v>
      </c>
      <c r="G301">
        <v>36</v>
      </c>
      <c r="H301" t="s">
        <v>26</v>
      </c>
      <c r="I301" t="s">
        <v>27</v>
      </c>
      <c r="J301" t="s">
        <v>47</v>
      </c>
      <c r="K301">
        <v>140130</v>
      </c>
      <c r="L301" t="s">
        <v>29</v>
      </c>
      <c r="M301">
        <v>0.44</v>
      </c>
      <c r="N301">
        <v>0.56999999999999995</v>
      </c>
      <c r="O301">
        <v>1164.82</v>
      </c>
      <c r="P301">
        <v>0</v>
      </c>
      <c r="Q301">
        <f ca="1">DATEDIF(banking_loan_data[[#This Row],[Issue Date]],TODAY(),"M")</f>
        <v>29</v>
      </c>
      <c r="R301">
        <f t="shared" si="24"/>
        <v>4126.6259999999993</v>
      </c>
      <c r="S301">
        <f>+banking_loan_data[[#This Row],[Loan Amount]]+banking_loan_data[[#This Row],[Interest earned]]</f>
        <v>12617.626</v>
      </c>
      <c r="T301" s="2">
        <f t="shared" si="25"/>
        <v>-7326.18</v>
      </c>
      <c r="U301" s="2">
        <f t="shared" si="26"/>
        <v>0</v>
      </c>
      <c r="V301" s="2" t="str">
        <f>IF(banking_loan_data[[#This Row],[Loan Status]]="FULLY PAID","GOOD",IF(banking_loan_data[[#This Row],[Loan Status]]="CURRENT","ACTIVE","BAD"))</f>
        <v>ACTIVE</v>
      </c>
      <c r="W30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01" s="3">
        <f t="shared" si="27"/>
        <v>11462.850000000502</v>
      </c>
      <c r="Y301" s="4">
        <f t="shared" si="28"/>
        <v>-0.86281710045930993</v>
      </c>
      <c r="Z301" s="2" t="str">
        <f t="shared" si="29"/>
        <v>High Risk</v>
      </c>
    </row>
    <row r="302" spans="1:26" x14ac:dyDescent="0.3">
      <c r="A302" t="s">
        <v>646</v>
      </c>
      <c r="B302" s="1">
        <v>44640</v>
      </c>
      <c r="C302" t="s">
        <v>647</v>
      </c>
      <c r="D302" t="s">
        <v>72</v>
      </c>
      <c r="E302">
        <v>15859</v>
      </c>
      <c r="F302">
        <v>16.100000000000001</v>
      </c>
      <c r="G302">
        <v>60</v>
      </c>
      <c r="H302" t="s">
        <v>19</v>
      </c>
      <c r="I302" t="s">
        <v>73</v>
      </c>
      <c r="J302" t="s">
        <v>21</v>
      </c>
      <c r="K302">
        <v>52164</v>
      </c>
      <c r="L302" t="s">
        <v>22</v>
      </c>
      <c r="M302">
        <v>0.35</v>
      </c>
      <c r="N302">
        <v>0.53</v>
      </c>
      <c r="O302">
        <v>18412.3</v>
      </c>
      <c r="P302">
        <v>0</v>
      </c>
      <c r="Q302">
        <f ca="1">DATEDIF(banking_loan_data[[#This Row],[Issue Date]],TODAY(),"M")</f>
        <v>47</v>
      </c>
      <c r="R302">
        <f t="shared" si="24"/>
        <v>12766.495000000003</v>
      </c>
      <c r="S302">
        <f>+banking_loan_data[[#This Row],[Loan Amount]]+banking_loan_data[[#This Row],[Interest earned]]</f>
        <v>28625.495000000003</v>
      </c>
      <c r="T302" s="2">
        <f t="shared" si="25"/>
        <v>2553.2999999999993</v>
      </c>
      <c r="U302" s="2">
        <f t="shared" si="26"/>
        <v>0</v>
      </c>
      <c r="V302" s="2" t="str">
        <f>IF(banking_loan_data[[#This Row],[Loan Status]]="FULLY PAID","GOOD",IF(banking_loan_data[[#This Row],[Loan Status]]="CURRENT","ACTIVE","BAD"))</f>
        <v>GOOD</v>
      </c>
      <c r="W30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302" s="3">
        <f t="shared" si="27"/>
        <v>21277.491666666669</v>
      </c>
      <c r="Y302" s="4">
        <f t="shared" si="28"/>
        <v>0.16100006305567813</v>
      </c>
      <c r="Z302" s="2" t="str">
        <f t="shared" si="29"/>
        <v>Normal</v>
      </c>
    </row>
    <row r="303" spans="1:26" x14ac:dyDescent="0.3">
      <c r="A303" t="s">
        <v>648</v>
      </c>
      <c r="B303" s="1">
        <v>44809</v>
      </c>
      <c r="C303" t="s">
        <v>649</v>
      </c>
      <c r="D303" t="s">
        <v>40</v>
      </c>
      <c r="E303">
        <v>9073</v>
      </c>
      <c r="F303">
        <v>6.9</v>
      </c>
      <c r="G303">
        <v>36</v>
      </c>
      <c r="H303" t="s">
        <v>26</v>
      </c>
      <c r="I303" t="s">
        <v>27</v>
      </c>
      <c r="J303" t="s">
        <v>37</v>
      </c>
      <c r="K303">
        <v>65595</v>
      </c>
      <c r="L303" t="s">
        <v>33</v>
      </c>
      <c r="M303">
        <v>0.33</v>
      </c>
      <c r="N303">
        <v>0.64</v>
      </c>
      <c r="O303">
        <v>1522.35</v>
      </c>
      <c r="P303">
        <v>0</v>
      </c>
      <c r="Q303">
        <f ca="1">DATEDIF(banking_loan_data[[#This Row],[Issue Date]],TODAY(),"M")</f>
        <v>42</v>
      </c>
      <c r="R303">
        <f t="shared" si="24"/>
        <v>1878.1110000000001</v>
      </c>
      <c r="S303">
        <f>+banking_loan_data[[#This Row],[Loan Amount]]+banking_loan_data[[#This Row],[Interest earned]]</f>
        <v>10951.111000000001</v>
      </c>
      <c r="T303" s="2">
        <f t="shared" si="25"/>
        <v>-7550.65</v>
      </c>
      <c r="U303" s="2">
        <f t="shared" si="26"/>
        <v>0</v>
      </c>
      <c r="V303" s="2" t="str">
        <f>IF(banking_loan_data[[#This Row],[Loan Status]]="FULLY PAID","GOOD",IF(banking_loan_data[[#This Row],[Loan Status]]="CURRENT","ACTIVE","BAD"))</f>
        <v>ACTIVE</v>
      </c>
      <c r="W30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03" s="3">
        <f t="shared" si="27"/>
        <v>5216.9754124000392</v>
      </c>
      <c r="Y303" s="4">
        <f t="shared" si="28"/>
        <v>-0.83221095558249747</v>
      </c>
      <c r="Z303" s="2" t="str">
        <f t="shared" si="29"/>
        <v>Normal</v>
      </c>
    </row>
    <row r="304" spans="1:26" x14ac:dyDescent="0.3">
      <c r="A304" t="s">
        <v>650</v>
      </c>
      <c r="B304" s="1">
        <v>45189</v>
      </c>
      <c r="C304" t="s">
        <v>651</v>
      </c>
      <c r="D304" t="s">
        <v>56</v>
      </c>
      <c r="E304">
        <v>10077</v>
      </c>
      <c r="F304">
        <v>11.9</v>
      </c>
      <c r="G304">
        <v>60</v>
      </c>
      <c r="H304" t="s">
        <v>26</v>
      </c>
      <c r="I304" t="s">
        <v>57</v>
      </c>
      <c r="J304" t="s">
        <v>32</v>
      </c>
      <c r="K304">
        <v>60257</v>
      </c>
      <c r="L304" t="s">
        <v>29</v>
      </c>
      <c r="M304">
        <v>0.2</v>
      </c>
      <c r="N304">
        <v>0.6</v>
      </c>
      <c r="O304">
        <v>2828.27</v>
      </c>
      <c r="P304">
        <v>0</v>
      </c>
      <c r="Q304">
        <f ca="1">DATEDIF(banking_loan_data[[#This Row],[Issue Date]],TODAY(),"M")</f>
        <v>29</v>
      </c>
      <c r="R304">
        <f t="shared" si="24"/>
        <v>5995.8149999999996</v>
      </c>
      <c r="S304">
        <f>+banking_loan_data[[#This Row],[Loan Amount]]+banking_loan_data[[#This Row],[Interest earned]]</f>
        <v>16072.814999999999</v>
      </c>
      <c r="T304" s="2">
        <f t="shared" si="25"/>
        <v>-7248.73</v>
      </c>
      <c r="U304" s="2">
        <f t="shared" si="26"/>
        <v>0</v>
      </c>
      <c r="V304" s="2" t="str">
        <f>IF(banking_loan_data[[#This Row],[Loan Status]]="FULLY PAID","GOOD",IF(banking_loan_data[[#This Row],[Loan Status]]="CURRENT","ACTIVE","BAD"))</f>
        <v>ACTIVE</v>
      </c>
      <c r="W30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04" s="3">
        <f t="shared" si="27"/>
        <v>9993.0249999999996</v>
      </c>
      <c r="Y304" s="4">
        <f t="shared" si="28"/>
        <v>-0.71933412722040291</v>
      </c>
      <c r="Z304" s="2" t="str">
        <f t="shared" si="29"/>
        <v>Normal</v>
      </c>
    </row>
    <row r="305" spans="1:26" x14ac:dyDescent="0.3">
      <c r="A305" t="s">
        <v>652</v>
      </c>
      <c r="B305" s="1">
        <v>44460</v>
      </c>
      <c r="C305" t="s">
        <v>653</v>
      </c>
      <c r="D305" t="s">
        <v>18</v>
      </c>
      <c r="E305">
        <v>21953</v>
      </c>
      <c r="F305">
        <v>10.6</v>
      </c>
      <c r="G305">
        <v>36</v>
      </c>
      <c r="H305" t="s">
        <v>19</v>
      </c>
      <c r="I305" t="s">
        <v>73</v>
      </c>
      <c r="J305" t="s">
        <v>21</v>
      </c>
      <c r="K305">
        <v>44211</v>
      </c>
      <c r="L305" t="s">
        <v>33</v>
      </c>
      <c r="M305">
        <v>0.4</v>
      </c>
      <c r="N305">
        <v>0.73</v>
      </c>
      <c r="O305">
        <v>24280.02</v>
      </c>
      <c r="P305">
        <v>0</v>
      </c>
      <c r="Q305">
        <f ca="1">DATEDIF(banking_loan_data[[#This Row],[Issue Date]],TODAY(),"M")</f>
        <v>53</v>
      </c>
      <c r="R305">
        <f t="shared" si="24"/>
        <v>6981.0540000000001</v>
      </c>
      <c r="S305">
        <f>+banking_loan_data[[#This Row],[Loan Amount]]+banking_loan_data[[#This Row],[Interest earned]]</f>
        <v>28934.054</v>
      </c>
      <c r="T305" s="2">
        <f t="shared" si="25"/>
        <v>2327.0200000000004</v>
      </c>
      <c r="U305" s="2">
        <f t="shared" si="26"/>
        <v>0</v>
      </c>
      <c r="V305" s="2" t="str">
        <f>IF(banking_loan_data[[#This Row],[Loan Status]]="FULLY PAID","GOOD",IF(banking_loan_data[[#This Row],[Loan Status]]="CURRENT","ACTIVE","BAD"))</f>
        <v>GOOD</v>
      </c>
      <c r="W30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305" s="3">
        <f t="shared" si="27"/>
        <v>19391.816669122731</v>
      </c>
      <c r="Y305" s="4">
        <f t="shared" si="28"/>
        <v>0.10600009110372161</v>
      </c>
      <c r="Z305" s="2" t="str">
        <f t="shared" si="29"/>
        <v>Normal</v>
      </c>
    </row>
    <row r="306" spans="1:26" x14ac:dyDescent="0.3">
      <c r="A306" t="s">
        <v>654</v>
      </c>
      <c r="B306" s="1">
        <v>45273</v>
      </c>
      <c r="C306" t="s">
        <v>655</v>
      </c>
      <c r="D306" t="s">
        <v>53</v>
      </c>
      <c r="E306">
        <v>12383</v>
      </c>
      <c r="F306">
        <v>12.8</v>
      </c>
      <c r="G306">
        <v>36</v>
      </c>
      <c r="H306" t="s">
        <v>19</v>
      </c>
      <c r="I306" t="s">
        <v>27</v>
      </c>
      <c r="J306" t="s">
        <v>47</v>
      </c>
      <c r="K306">
        <v>125989</v>
      </c>
      <c r="L306" t="s">
        <v>29</v>
      </c>
      <c r="M306">
        <v>0.13</v>
      </c>
      <c r="N306">
        <v>0.55000000000000004</v>
      </c>
      <c r="O306">
        <v>13968.02</v>
      </c>
      <c r="P306">
        <v>0</v>
      </c>
      <c r="Q306">
        <f ca="1">DATEDIF(banking_loan_data[[#This Row],[Issue Date]],TODAY(),"M")</f>
        <v>27</v>
      </c>
      <c r="R306">
        <f t="shared" si="24"/>
        <v>4755.072000000001</v>
      </c>
      <c r="S306">
        <f>+banking_loan_data[[#This Row],[Loan Amount]]+banking_loan_data[[#This Row],[Interest earned]]</f>
        <v>17138.072</v>
      </c>
      <c r="T306" s="2">
        <f t="shared" si="25"/>
        <v>1585.0200000000004</v>
      </c>
      <c r="U306" s="2">
        <f t="shared" si="26"/>
        <v>0</v>
      </c>
      <c r="V306" s="2" t="str">
        <f>IF(banking_loan_data[[#This Row],[Loan Status]]="FULLY PAID","GOOD",IF(banking_loan_data[[#This Row],[Loan Status]]="CURRENT","ACTIVE","BAD"))</f>
        <v>GOOD</v>
      </c>
      <c r="W30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06" s="3">
        <f t="shared" si="27"/>
        <v>13208.53333339237</v>
      </c>
      <c r="Y306" s="4">
        <f t="shared" si="28"/>
        <v>0.12799967697650008</v>
      </c>
      <c r="Z306" s="2" t="str">
        <f t="shared" si="29"/>
        <v>Normal</v>
      </c>
    </row>
    <row r="307" spans="1:26" x14ac:dyDescent="0.3">
      <c r="A307" t="s">
        <v>656</v>
      </c>
      <c r="B307" s="1">
        <v>45200</v>
      </c>
      <c r="C307" t="s">
        <v>657</v>
      </c>
      <c r="D307" t="s">
        <v>76</v>
      </c>
      <c r="E307">
        <v>3353</v>
      </c>
      <c r="F307">
        <v>21</v>
      </c>
      <c r="G307">
        <v>36</v>
      </c>
      <c r="H307" t="s">
        <v>26</v>
      </c>
      <c r="I307" t="s">
        <v>20</v>
      </c>
      <c r="J307" t="s">
        <v>32</v>
      </c>
      <c r="K307">
        <v>35232</v>
      </c>
      <c r="L307" t="s">
        <v>22</v>
      </c>
      <c r="M307">
        <v>0.47</v>
      </c>
      <c r="N307">
        <v>0.84</v>
      </c>
      <c r="O307">
        <v>666.48</v>
      </c>
      <c r="P307">
        <v>0</v>
      </c>
      <c r="Q307">
        <f ca="1">DATEDIF(banking_loan_data[[#This Row],[Issue Date]],TODAY(),"M")</f>
        <v>29</v>
      </c>
      <c r="R307">
        <f t="shared" si="24"/>
        <v>2112.39</v>
      </c>
      <c r="S307">
        <f>+banking_loan_data[[#This Row],[Loan Amount]]+banking_loan_data[[#This Row],[Interest earned]]</f>
        <v>5465.3899999999994</v>
      </c>
      <c r="T307" s="2">
        <f t="shared" si="25"/>
        <v>-2686.52</v>
      </c>
      <c r="U307" s="2">
        <f t="shared" si="26"/>
        <v>0</v>
      </c>
      <c r="V307" s="2" t="str">
        <f>IF(banking_loan_data[[#This Row],[Loan Status]]="FULLY PAID","GOOD",IF(banking_loan_data[[#This Row],[Loan Status]]="CURRENT","ACTIVE","BAD"))</f>
        <v>ACTIVE</v>
      </c>
      <c r="W30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07" s="3">
        <f t="shared" si="27"/>
        <v>5867.7500000000009</v>
      </c>
      <c r="Y307" s="4">
        <f t="shared" si="28"/>
        <v>-0.8012287503728005</v>
      </c>
      <c r="Z307" s="2" t="str">
        <f t="shared" si="29"/>
        <v>High Risk</v>
      </c>
    </row>
    <row r="308" spans="1:26" x14ac:dyDescent="0.3">
      <c r="A308" t="s">
        <v>658</v>
      </c>
      <c r="B308" s="1">
        <v>44201</v>
      </c>
      <c r="C308" t="s">
        <v>659</v>
      </c>
      <c r="D308" t="s">
        <v>18</v>
      </c>
      <c r="E308">
        <v>24821</v>
      </c>
      <c r="F308">
        <v>12.4</v>
      </c>
      <c r="G308">
        <v>60</v>
      </c>
      <c r="H308" t="s">
        <v>81</v>
      </c>
      <c r="I308" t="s">
        <v>57</v>
      </c>
      <c r="J308" t="s">
        <v>28</v>
      </c>
      <c r="K308">
        <v>97753</v>
      </c>
      <c r="L308" t="s">
        <v>29</v>
      </c>
      <c r="M308">
        <v>0.23</v>
      </c>
      <c r="N308">
        <v>0.91</v>
      </c>
      <c r="O308">
        <v>8889.73</v>
      </c>
      <c r="P308">
        <v>5061.28</v>
      </c>
      <c r="Q308">
        <f ca="1">DATEDIF(banking_loan_data[[#This Row],[Issue Date]],TODAY(),"M")</f>
        <v>62</v>
      </c>
      <c r="R308">
        <f t="shared" si="24"/>
        <v>15389.019999999999</v>
      </c>
      <c r="S308">
        <f>+banking_loan_data[[#This Row],[Loan Amount]]+banking_loan_data[[#This Row],[Interest earned]]</f>
        <v>40210.019999999997</v>
      </c>
      <c r="T308" s="2">
        <f t="shared" si="25"/>
        <v>-10869.990000000002</v>
      </c>
      <c r="U308" s="2">
        <f t="shared" si="26"/>
        <v>1</v>
      </c>
      <c r="V308" s="2" t="str">
        <f>IF(banking_loan_data[[#This Row],[Loan Status]]="FULLY PAID","GOOD",IF(banking_loan_data[[#This Row],[Loan Status]]="CURRENT","ACTIVE","BAD"))</f>
        <v>BAD</v>
      </c>
      <c r="W30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08" s="3">
        <f t="shared" si="27"/>
        <v>25648.366666666669</v>
      </c>
      <c r="Y308" s="4">
        <f t="shared" si="28"/>
        <v>-0.43793521614761699</v>
      </c>
      <c r="Z308" s="2" t="str">
        <f t="shared" si="29"/>
        <v>High Risk</v>
      </c>
    </row>
    <row r="309" spans="1:26" x14ac:dyDescent="0.3">
      <c r="A309" t="s">
        <v>660</v>
      </c>
      <c r="B309" s="1">
        <v>44970</v>
      </c>
      <c r="C309" t="s">
        <v>661</v>
      </c>
      <c r="D309" t="s">
        <v>65</v>
      </c>
      <c r="E309">
        <v>38567</v>
      </c>
      <c r="F309">
        <v>14</v>
      </c>
      <c r="G309">
        <v>60</v>
      </c>
      <c r="H309" t="s">
        <v>19</v>
      </c>
      <c r="I309" t="s">
        <v>41</v>
      </c>
      <c r="J309" t="s">
        <v>28</v>
      </c>
      <c r="K309">
        <v>82691</v>
      </c>
      <c r="L309" t="s">
        <v>33</v>
      </c>
      <c r="M309">
        <v>0.15</v>
      </c>
      <c r="N309">
        <v>0.83</v>
      </c>
      <c r="O309">
        <v>43966.38</v>
      </c>
      <c r="P309">
        <v>0</v>
      </c>
      <c r="Q309">
        <f ca="1">DATEDIF(banking_loan_data[[#This Row],[Issue Date]],TODAY(),"M")</f>
        <v>37</v>
      </c>
      <c r="R309">
        <f t="shared" si="24"/>
        <v>26996.899999999998</v>
      </c>
      <c r="S309">
        <f>+banking_loan_data[[#This Row],[Loan Amount]]+banking_loan_data[[#This Row],[Interest earned]]</f>
        <v>65563.899999999994</v>
      </c>
      <c r="T309" s="2">
        <f t="shared" si="25"/>
        <v>5399.3799999999974</v>
      </c>
      <c r="U309" s="2">
        <f t="shared" si="26"/>
        <v>0</v>
      </c>
      <c r="V309" s="2" t="str">
        <f>IF(banking_loan_data[[#This Row],[Loan Status]]="FULLY PAID","GOOD",IF(banking_loan_data[[#This Row],[Loan Status]]="CURRENT","ACTIVE","BAD"))</f>
        <v>GOOD</v>
      </c>
      <c r="W30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09" s="3">
        <f t="shared" si="27"/>
        <v>44994.833333333336</v>
      </c>
      <c r="Y309" s="4">
        <f t="shared" si="28"/>
        <v>0.13999999999999993</v>
      </c>
      <c r="Z309" s="2" t="str">
        <f t="shared" si="29"/>
        <v>High Risk</v>
      </c>
    </row>
    <row r="310" spans="1:26" x14ac:dyDescent="0.3">
      <c r="A310" t="s">
        <v>662</v>
      </c>
      <c r="B310" s="1">
        <v>45073</v>
      </c>
      <c r="C310" t="s">
        <v>663</v>
      </c>
      <c r="D310" t="s">
        <v>18</v>
      </c>
      <c r="E310">
        <v>25860</v>
      </c>
      <c r="F310">
        <v>12.9</v>
      </c>
      <c r="G310">
        <v>60</v>
      </c>
      <c r="H310" t="s">
        <v>81</v>
      </c>
      <c r="I310" t="s">
        <v>20</v>
      </c>
      <c r="J310" t="s">
        <v>21</v>
      </c>
      <c r="K310">
        <v>119765</v>
      </c>
      <c r="L310" t="s">
        <v>29</v>
      </c>
      <c r="M310">
        <v>0.28000000000000003</v>
      </c>
      <c r="N310">
        <v>0.74</v>
      </c>
      <c r="O310">
        <v>6261.43</v>
      </c>
      <c r="P310">
        <v>5898.18</v>
      </c>
      <c r="Q310">
        <f ca="1">DATEDIF(banking_loan_data[[#This Row],[Issue Date]],TODAY(),"M")</f>
        <v>33</v>
      </c>
      <c r="R310">
        <f t="shared" si="24"/>
        <v>16679.7</v>
      </c>
      <c r="S310">
        <f>+banking_loan_data[[#This Row],[Loan Amount]]+banking_loan_data[[#This Row],[Interest earned]]</f>
        <v>42539.7</v>
      </c>
      <c r="T310" s="2">
        <f t="shared" si="25"/>
        <v>-13700.39</v>
      </c>
      <c r="U310" s="2">
        <f t="shared" si="26"/>
        <v>1</v>
      </c>
      <c r="V310" s="2" t="str">
        <f>IF(banking_loan_data[[#This Row],[Loan Status]]="FULLY PAID","GOOD",IF(banking_loan_data[[#This Row],[Loan Status]]="CURRENT","ACTIVE","BAD"))</f>
        <v>BAD</v>
      </c>
      <c r="W31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10" s="3">
        <f t="shared" si="27"/>
        <v>27799.5</v>
      </c>
      <c r="Y310" s="4">
        <f t="shared" si="28"/>
        <v>-0.52979079659706108</v>
      </c>
      <c r="Z310" s="2" t="str">
        <f t="shared" si="29"/>
        <v>Normal</v>
      </c>
    </row>
    <row r="311" spans="1:26" x14ac:dyDescent="0.3">
      <c r="A311" t="s">
        <v>664</v>
      </c>
      <c r="B311" s="1">
        <v>45188</v>
      </c>
      <c r="C311" t="s">
        <v>665</v>
      </c>
      <c r="D311" t="s">
        <v>53</v>
      </c>
      <c r="E311">
        <v>22195</v>
      </c>
      <c r="F311">
        <v>6.9</v>
      </c>
      <c r="G311">
        <v>36</v>
      </c>
      <c r="H311" t="s">
        <v>81</v>
      </c>
      <c r="I311" t="s">
        <v>57</v>
      </c>
      <c r="J311" t="s">
        <v>32</v>
      </c>
      <c r="K311">
        <v>109768</v>
      </c>
      <c r="L311" t="s">
        <v>22</v>
      </c>
      <c r="M311">
        <v>0.12</v>
      </c>
      <c r="N311">
        <v>0.89</v>
      </c>
      <c r="O311">
        <v>7543.49</v>
      </c>
      <c r="P311">
        <v>5682.73</v>
      </c>
      <c r="Q311">
        <f ca="1">DATEDIF(banking_loan_data[[#This Row],[Issue Date]],TODAY(),"M")</f>
        <v>30</v>
      </c>
      <c r="R311">
        <f t="shared" si="24"/>
        <v>4594.3649999999998</v>
      </c>
      <c r="S311">
        <f>+banking_loan_data[[#This Row],[Loan Amount]]+banking_loan_data[[#This Row],[Interest earned]]</f>
        <v>26789.364999999998</v>
      </c>
      <c r="T311" s="2">
        <f t="shared" si="25"/>
        <v>-8968.7800000000007</v>
      </c>
      <c r="U311" s="2">
        <f t="shared" si="26"/>
        <v>1</v>
      </c>
      <c r="V311" s="2" t="str">
        <f>IF(banking_loan_data[[#This Row],[Loan Status]]="FULLY PAID","GOOD",IF(banking_loan_data[[#This Row],[Loan Status]]="CURRENT","ACTIVE","BAD"))</f>
        <v>BAD</v>
      </c>
      <c r="W31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11" s="3">
        <f t="shared" si="27"/>
        <v>12762.126008841495</v>
      </c>
      <c r="Y311" s="4">
        <f t="shared" si="28"/>
        <v>-0.40409011038522191</v>
      </c>
      <c r="Z311" s="2" t="str">
        <f t="shared" si="29"/>
        <v>High Risk</v>
      </c>
    </row>
    <row r="312" spans="1:26" x14ac:dyDescent="0.3">
      <c r="A312" t="s">
        <v>666</v>
      </c>
      <c r="B312" s="1">
        <v>45080</v>
      </c>
      <c r="C312" t="s">
        <v>667</v>
      </c>
      <c r="D312" t="s">
        <v>76</v>
      </c>
      <c r="E312">
        <v>12939</v>
      </c>
      <c r="F312">
        <v>13.8</v>
      </c>
      <c r="G312">
        <v>60</v>
      </c>
      <c r="H312" t="s">
        <v>19</v>
      </c>
      <c r="I312" t="s">
        <v>57</v>
      </c>
      <c r="J312" t="s">
        <v>37</v>
      </c>
      <c r="K312">
        <v>55613</v>
      </c>
      <c r="L312" t="s">
        <v>29</v>
      </c>
      <c r="M312">
        <v>0.37</v>
      </c>
      <c r="N312">
        <v>0.81</v>
      </c>
      <c r="O312">
        <v>14724.58</v>
      </c>
      <c r="P312">
        <v>0</v>
      </c>
      <c r="Q312">
        <f ca="1">DATEDIF(banking_loan_data[[#This Row],[Issue Date]],TODAY(),"M")</f>
        <v>33</v>
      </c>
      <c r="R312">
        <f t="shared" si="24"/>
        <v>8927.9100000000017</v>
      </c>
      <c r="S312">
        <f>+banking_loan_data[[#This Row],[Loan Amount]]+banking_loan_data[[#This Row],[Interest earned]]</f>
        <v>21866.910000000003</v>
      </c>
      <c r="T312" s="2">
        <f t="shared" si="25"/>
        <v>1785.58</v>
      </c>
      <c r="U312" s="2">
        <f t="shared" si="26"/>
        <v>0</v>
      </c>
      <c r="V312" s="2" t="str">
        <f>IF(banking_loan_data[[#This Row],[Loan Status]]="FULLY PAID","GOOD",IF(banking_loan_data[[#This Row],[Loan Status]]="CURRENT","ACTIVE","BAD"))</f>
        <v>GOOD</v>
      </c>
      <c r="W31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12" s="3">
        <f t="shared" si="27"/>
        <v>14879.850000000002</v>
      </c>
      <c r="Y312" s="4">
        <f t="shared" si="28"/>
        <v>0.13799984542854934</v>
      </c>
      <c r="Z312" s="2" t="str">
        <f t="shared" si="29"/>
        <v>High Risk</v>
      </c>
    </row>
    <row r="313" spans="1:26" x14ac:dyDescent="0.3">
      <c r="A313" t="s">
        <v>668</v>
      </c>
      <c r="B313" s="1">
        <v>44243</v>
      </c>
      <c r="C313" t="s">
        <v>669</v>
      </c>
      <c r="D313" t="s">
        <v>50</v>
      </c>
      <c r="E313">
        <v>26338</v>
      </c>
      <c r="F313">
        <v>8.9</v>
      </c>
      <c r="G313">
        <v>36</v>
      </c>
      <c r="H313" t="s">
        <v>26</v>
      </c>
      <c r="I313" t="s">
        <v>27</v>
      </c>
      <c r="J313" t="s">
        <v>32</v>
      </c>
      <c r="K313">
        <v>44026</v>
      </c>
      <c r="L313" t="s">
        <v>33</v>
      </c>
      <c r="M313">
        <v>0.46</v>
      </c>
      <c r="N313">
        <v>0.5</v>
      </c>
      <c r="O313">
        <v>8198.4599999999991</v>
      </c>
      <c r="P313">
        <v>0</v>
      </c>
      <c r="Q313">
        <f ca="1">DATEDIF(banking_loan_data[[#This Row],[Issue Date]],TODAY(),"M")</f>
        <v>61</v>
      </c>
      <c r="R313">
        <f t="shared" si="24"/>
        <v>7032.2460000000019</v>
      </c>
      <c r="S313">
        <f>+banking_loan_data[[#This Row],[Loan Amount]]+banking_loan_data[[#This Row],[Interest earned]]</f>
        <v>33370.245999999999</v>
      </c>
      <c r="T313" s="2">
        <f t="shared" si="25"/>
        <v>-18139.54</v>
      </c>
      <c r="U313" s="2">
        <f t="shared" si="26"/>
        <v>0</v>
      </c>
      <c r="V313" s="2" t="str">
        <f>IF(banking_loan_data[[#This Row],[Loan Status]]="FULLY PAID","GOOD",IF(banking_loan_data[[#This Row],[Loan Status]]="CURRENT","ACTIVE","BAD"))</f>
        <v>ACTIVE</v>
      </c>
      <c r="W31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13" s="3">
        <f t="shared" si="27"/>
        <v>19534.016707976185</v>
      </c>
      <c r="Y313" s="4">
        <f t="shared" si="28"/>
        <v>-0.68872123927405271</v>
      </c>
      <c r="Z313" s="2" t="str">
        <f t="shared" si="29"/>
        <v>High Risk</v>
      </c>
    </row>
    <row r="314" spans="1:26" x14ac:dyDescent="0.3">
      <c r="A314" t="s">
        <v>670</v>
      </c>
      <c r="B314" s="1">
        <v>45063</v>
      </c>
      <c r="C314" t="s">
        <v>671</v>
      </c>
      <c r="D314" t="s">
        <v>65</v>
      </c>
      <c r="E314">
        <v>22730</v>
      </c>
      <c r="F314">
        <v>8.6999999999999993</v>
      </c>
      <c r="G314">
        <v>60</v>
      </c>
      <c r="H314" t="s">
        <v>19</v>
      </c>
      <c r="I314" t="s">
        <v>20</v>
      </c>
      <c r="J314" t="s">
        <v>21</v>
      </c>
      <c r="K314">
        <v>83535</v>
      </c>
      <c r="L314" t="s">
        <v>22</v>
      </c>
      <c r="M314">
        <v>0.43</v>
      </c>
      <c r="N314">
        <v>0.68</v>
      </c>
      <c r="O314">
        <v>24707.51</v>
      </c>
      <c r="P314">
        <v>0</v>
      </c>
      <c r="Q314">
        <f ca="1">DATEDIF(banking_loan_data[[#This Row],[Issue Date]],TODAY(),"M")</f>
        <v>34</v>
      </c>
      <c r="R314">
        <f t="shared" si="24"/>
        <v>9887.5499999999993</v>
      </c>
      <c r="S314">
        <f>+banking_loan_data[[#This Row],[Loan Amount]]+banking_loan_data[[#This Row],[Interest earned]]</f>
        <v>32617.55</v>
      </c>
      <c r="T314" s="2">
        <f t="shared" si="25"/>
        <v>1977.5099999999984</v>
      </c>
      <c r="U314" s="2">
        <f t="shared" si="26"/>
        <v>0</v>
      </c>
      <c r="V314" s="2" t="str">
        <f>IF(banking_loan_data[[#This Row],[Loan Status]]="FULLY PAID","GOOD",IF(banking_loan_data[[#This Row],[Loan Status]]="CURRENT","ACTIVE","BAD"))</f>
        <v>GOOD</v>
      </c>
      <c r="W31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14" s="3">
        <f t="shared" si="27"/>
        <v>16479.250000000102</v>
      </c>
      <c r="Y314" s="4">
        <f t="shared" si="28"/>
        <v>8.6999999999999925E-2</v>
      </c>
      <c r="Z314" s="2" t="str">
        <f t="shared" si="29"/>
        <v>High Risk</v>
      </c>
    </row>
    <row r="315" spans="1:26" x14ac:dyDescent="0.3">
      <c r="A315" t="s">
        <v>672</v>
      </c>
      <c r="B315" s="1">
        <v>45019</v>
      </c>
      <c r="C315" t="s">
        <v>673</v>
      </c>
      <c r="D315" t="s">
        <v>25</v>
      </c>
      <c r="E315">
        <v>22427</v>
      </c>
      <c r="F315">
        <v>6.9</v>
      </c>
      <c r="G315">
        <v>36</v>
      </c>
      <c r="H315" t="s">
        <v>19</v>
      </c>
      <c r="I315" t="s">
        <v>73</v>
      </c>
      <c r="J315" t="s">
        <v>37</v>
      </c>
      <c r="K315">
        <v>124090</v>
      </c>
      <c r="L315" t="s">
        <v>33</v>
      </c>
      <c r="M315">
        <v>0.15</v>
      </c>
      <c r="N315">
        <v>0.88</v>
      </c>
      <c r="O315">
        <v>23974.46</v>
      </c>
      <c r="P315">
        <v>0</v>
      </c>
      <c r="Q315">
        <f ca="1">DATEDIF(banking_loan_data[[#This Row],[Issue Date]],TODAY(),"M")</f>
        <v>35</v>
      </c>
      <c r="R315">
        <f t="shared" si="24"/>
        <v>4642.3890000000001</v>
      </c>
      <c r="S315">
        <f>+banking_loan_data[[#This Row],[Loan Amount]]+banking_loan_data[[#This Row],[Interest earned]]</f>
        <v>27069.388999999999</v>
      </c>
      <c r="T315" s="2">
        <f t="shared" si="25"/>
        <v>1547.4599999999991</v>
      </c>
      <c r="U315" s="2">
        <f t="shared" si="26"/>
        <v>0</v>
      </c>
      <c r="V315" s="2" t="str">
        <f>IF(banking_loan_data[[#This Row],[Loan Status]]="FULLY PAID","GOOD",IF(banking_loan_data[[#This Row],[Loan Status]]="CURRENT","ACTIVE","BAD"))</f>
        <v>GOOD</v>
      </c>
      <c r="W31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315" s="3">
        <f t="shared" si="27"/>
        <v>12895.526019386718</v>
      </c>
      <c r="Y315" s="4">
        <f t="shared" si="28"/>
        <v>6.8999866232665949E-2</v>
      </c>
      <c r="Z315" s="2" t="str">
        <f t="shared" si="29"/>
        <v>High Risk</v>
      </c>
    </row>
    <row r="316" spans="1:26" x14ac:dyDescent="0.3">
      <c r="A316" t="s">
        <v>674</v>
      </c>
      <c r="B316" s="1">
        <v>45132</v>
      </c>
      <c r="C316" t="s">
        <v>675</v>
      </c>
      <c r="D316" t="s">
        <v>65</v>
      </c>
      <c r="E316">
        <v>36196</v>
      </c>
      <c r="F316">
        <v>12.1</v>
      </c>
      <c r="G316">
        <v>36</v>
      </c>
      <c r="H316" t="s">
        <v>26</v>
      </c>
      <c r="I316" t="s">
        <v>20</v>
      </c>
      <c r="J316" t="s">
        <v>37</v>
      </c>
      <c r="K316">
        <v>60908</v>
      </c>
      <c r="L316" t="s">
        <v>29</v>
      </c>
      <c r="M316">
        <v>0.15</v>
      </c>
      <c r="N316">
        <v>0.66</v>
      </c>
      <c r="O316">
        <v>14402.05</v>
      </c>
      <c r="P316">
        <v>0</v>
      </c>
      <c r="Q316">
        <f ca="1">DATEDIF(banking_loan_data[[#This Row],[Issue Date]],TODAY(),"M")</f>
        <v>31</v>
      </c>
      <c r="R316">
        <f t="shared" si="24"/>
        <v>13139.147999999999</v>
      </c>
      <c r="S316">
        <f>+banking_loan_data[[#This Row],[Loan Amount]]+banking_loan_data[[#This Row],[Interest earned]]</f>
        <v>49335.148000000001</v>
      </c>
      <c r="T316" s="2">
        <f t="shared" si="25"/>
        <v>-21793.95</v>
      </c>
      <c r="U316" s="2">
        <f t="shared" si="26"/>
        <v>0</v>
      </c>
      <c r="V316" s="2" t="str">
        <f>IF(banking_loan_data[[#This Row],[Loan Status]]="FULLY PAID","GOOD",IF(banking_loan_data[[#This Row],[Loan Status]]="CURRENT","ACTIVE","BAD"))</f>
        <v>ACTIVE</v>
      </c>
      <c r="W31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16" s="3">
        <f t="shared" si="27"/>
        <v>36497.633333790611</v>
      </c>
      <c r="Y316" s="4">
        <f t="shared" si="28"/>
        <v>-0.60210934909934799</v>
      </c>
      <c r="Z316" s="2" t="str">
        <f t="shared" si="29"/>
        <v>Normal</v>
      </c>
    </row>
    <row r="317" spans="1:26" x14ac:dyDescent="0.3">
      <c r="A317" t="s">
        <v>676</v>
      </c>
      <c r="B317" s="1">
        <v>44852</v>
      </c>
      <c r="C317" t="s">
        <v>677</v>
      </c>
      <c r="D317" t="s">
        <v>40</v>
      </c>
      <c r="E317">
        <v>28083</v>
      </c>
      <c r="F317">
        <v>20.100000000000001</v>
      </c>
      <c r="G317">
        <v>36</v>
      </c>
      <c r="H317" t="s">
        <v>81</v>
      </c>
      <c r="I317" t="s">
        <v>20</v>
      </c>
      <c r="J317" t="s">
        <v>28</v>
      </c>
      <c r="K317">
        <v>82113</v>
      </c>
      <c r="L317" t="s">
        <v>33</v>
      </c>
      <c r="M317">
        <v>0.43</v>
      </c>
      <c r="N317">
        <v>0.52</v>
      </c>
      <c r="O317">
        <v>5611.04</v>
      </c>
      <c r="P317">
        <v>8802.11</v>
      </c>
      <c r="Q317">
        <f ca="1">DATEDIF(banking_loan_data[[#This Row],[Issue Date]],TODAY(),"M")</f>
        <v>41</v>
      </c>
      <c r="R317">
        <f t="shared" si="24"/>
        <v>16934.049000000003</v>
      </c>
      <c r="S317">
        <f>+banking_loan_data[[#This Row],[Loan Amount]]+banking_loan_data[[#This Row],[Interest earned]]</f>
        <v>45017.048999999999</v>
      </c>
      <c r="T317" s="2">
        <f t="shared" si="25"/>
        <v>-13669.849999999999</v>
      </c>
      <c r="U317" s="2">
        <f t="shared" si="26"/>
        <v>1</v>
      </c>
      <c r="V317" s="2" t="str">
        <f>IF(banking_loan_data[[#This Row],[Loan Status]]="FULLY PAID","GOOD",IF(banking_loan_data[[#This Row],[Loan Status]]="CURRENT","ACTIVE","BAD"))</f>
        <v>BAD</v>
      </c>
      <c r="W31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17" s="3">
        <f t="shared" si="27"/>
        <v>47039.025000000016</v>
      </c>
      <c r="Y317" s="4">
        <f t="shared" si="28"/>
        <v>-0.48676601502688455</v>
      </c>
      <c r="Z317" s="2" t="str">
        <f t="shared" si="29"/>
        <v>High Risk</v>
      </c>
    </row>
    <row r="318" spans="1:26" x14ac:dyDescent="0.3">
      <c r="A318" t="s">
        <v>678</v>
      </c>
      <c r="B318" s="1">
        <v>44465</v>
      </c>
      <c r="C318" t="s">
        <v>679</v>
      </c>
      <c r="D318" t="s">
        <v>25</v>
      </c>
      <c r="E318">
        <v>22510</v>
      </c>
      <c r="F318">
        <v>10.5</v>
      </c>
      <c r="G318">
        <v>60</v>
      </c>
      <c r="H318" t="s">
        <v>26</v>
      </c>
      <c r="I318" t="s">
        <v>27</v>
      </c>
      <c r="J318" t="s">
        <v>32</v>
      </c>
      <c r="K318">
        <v>49610</v>
      </c>
      <c r="L318" t="s">
        <v>29</v>
      </c>
      <c r="M318">
        <v>0.47</v>
      </c>
      <c r="N318">
        <v>0.84</v>
      </c>
      <c r="O318">
        <v>9547.33</v>
      </c>
      <c r="P318">
        <v>0</v>
      </c>
      <c r="Q318">
        <f ca="1">DATEDIF(banking_loan_data[[#This Row],[Issue Date]],TODAY(),"M")</f>
        <v>53</v>
      </c>
      <c r="R318">
        <f t="shared" si="24"/>
        <v>11817.75</v>
      </c>
      <c r="S318">
        <f>+banking_loan_data[[#This Row],[Loan Amount]]+banking_loan_data[[#This Row],[Interest earned]]</f>
        <v>34327.75</v>
      </c>
      <c r="T318" s="2">
        <f t="shared" si="25"/>
        <v>-12962.67</v>
      </c>
      <c r="U318" s="2">
        <f t="shared" si="26"/>
        <v>0</v>
      </c>
      <c r="V318" s="2" t="str">
        <f>IF(banking_loan_data[[#This Row],[Loan Status]]="FULLY PAID","GOOD",IF(banking_loan_data[[#This Row],[Loan Status]]="CURRENT","ACTIVE","BAD"))</f>
        <v>ACTIVE</v>
      </c>
      <c r="W31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18" s="3">
        <f t="shared" si="27"/>
        <v>19696.25</v>
      </c>
      <c r="Y318" s="4">
        <f t="shared" si="28"/>
        <v>-0.57586272767658819</v>
      </c>
      <c r="Z318" s="2" t="str">
        <f t="shared" si="29"/>
        <v>High Risk</v>
      </c>
    </row>
    <row r="319" spans="1:26" x14ac:dyDescent="0.3">
      <c r="A319" t="s">
        <v>680</v>
      </c>
      <c r="B319" s="1">
        <v>44566</v>
      </c>
      <c r="C319" t="s">
        <v>681</v>
      </c>
      <c r="D319" t="s">
        <v>40</v>
      </c>
      <c r="E319">
        <v>8813</v>
      </c>
      <c r="F319">
        <v>11.2</v>
      </c>
      <c r="G319">
        <v>60</v>
      </c>
      <c r="H319" t="s">
        <v>19</v>
      </c>
      <c r="I319" t="s">
        <v>57</v>
      </c>
      <c r="J319" t="s">
        <v>37</v>
      </c>
      <c r="K319">
        <v>76646</v>
      </c>
      <c r="L319" t="s">
        <v>22</v>
      </c>
      <c r="M319">
        <v>0.28000000000000003</v>
      </c>
      <c r="N319">
        <v>0.86</v>
      </c>
      <c r="O319">
        <v>9800.06</v>
      </c>
      <c r="P319">
        <v>0</v>
      </c>
      <c r="Q319">
        <f ca="1">DATEDIF(banking_loan_data[[#This Row],[Issue Date]],TODAY(),"M")</f>
        <v>50</v>
      </c>
      <c r="R319">
        <f t="shared" si="24"/>
        <v>4935.28</v>
      </c>
      <c r="S319">
        <f>+banking_loan_data[[#This Row],[Loan Amount]]+banking_loan_data[[#This Row],[Interest earned]]</f>
        <v>13748.279999999999</v>
      </c>
      <c r="T319" s="2">
        <f t="shared" si="25"/>
        <v>987.05999999999949</v>
      </c>
      <c r="U319" s="2">
        <f t="shared" si="26"/>
        <v>0</v>
      </c>
      <c r="V319" s="2" t="str">
        <f>IF(banking_loan_data[[#This Row],[Loan Status]]="FULLY PAID","GOOD",IF(banking_loan_data[[#This Row],[Loan Status]]="CURRENT","ACTIVE","BAD"))</f>
        <v>GOOD</v>
      </c>
      <c r="W31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19" s="3">
        <f t="shared" si="27"/>
        <v>8225.4666666666653</v>
      </c>
      <c r="Y319" s="4">
        <f t="shared" si="28"/>
        <v>0.1120004538749574</v>
      </c>
      <c r="Z319" s="2" t="str">
        <f t="shared" si="29"/>
        <v>High Risk</v>
      </c>
    </row>
    <row r="320" spans="1:26" x14ac:dyDescent="0.3">
      <c r="A320" t="s">
        <v>682</v>
      </c>
      <c r="B320" s="1">
        <v>44832</v>
      </c>
      <c r="C320" t="s">
        <v>683</v>
      </c>
      <c r="D320" t="s">
        <v>53</v>
      </c>
      <c r="E320">
        <v>32598</v>
      </c>
      <c r="F320">
        <v>17.899999999999999</v>
      </c>
      <c r="G320">
        <v>60</v>
      </c>
      <c r="H320" t="s">
        <v>19</v>
      </c>
      <c r="I320" t="s">
        <v>41</v>
      </c>
      <c r="J320" t="s">
        <v>21</v>
      </c>
      <c r="K320">
        <v>135141</v>
      </c>
      <c r="L320" t="s">
        <v>33</v>
      </c>
      <c r="M320">
        <v>0.3</v>
      </c>
      <c r="N320">
        <v>0.56999999999999995</v>
      </c>
      <c r="O320">
        <v>38433.040000000001</v>
      </c>
      <c r="P320">
        <v>0</v>
      </c>
      <c r="Q320">
        <f ca="1">DATEDIF(banking_loan_data[[#This Row],[Issue Date]],TODAY(),"M")</f>
        <v>41</v>
      </c>
      <c r="R320">
        <f t="shared" si="24"/>
        <v>29175.209999999995</v>
      </c>
      <c r="S320">
        <f>+banking_loan_data[[#This Row],[Loan Amount]]+banking_loan_data[[#This Row],[Interest earned]]</f>
        <v>61773.209999999992</v>
      </c>
      <c r="T320" s="2">
        <f t="shared" si="25"/>
        <v>5835.0400000000009</v>
      </c>
      <c r="U320" s="2">
        <f t="shared" si="26"/>
        <v>0</v>
      </c>
      <c r="V320" s="2" t="str">
        <f>IF(banking_loan_data[[#This Row],[Loan Status]]="FULLY PAID","GOOD",IF(banking_loan_data[[#This Row],[Loan Status]]="CURRENT","ACTIVE","BAD"))</f>
        <v>GOOD</v>
      </c>
      <c r="W32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20" s="3">
        <f t="shared" si="27"/>
        <v>48625.349999999991</v>
      </c>
      <c r="Y320" s="4">
        <f t="shared" si="28"/>
        <v>0.17899993864654276</v>
      </c>
      <c r="Z320" s="2" t="str">
        <f t="shared" si="29"/>
        <v>Normal</v>
      </c>
    </row>
    <row r="321" spans="1:26" x14ac:dyDescent="0.3">
      <c r="A321" t="s">
        <v>684</v>
      </c>
      <c r="B321" s="1">
        <v>44853</v>
      </c>
      <c r="C321" t="s">
        <v>685</v>
      </c>
      <c r="D321" t="s">
        <v>56</v>
      </c>
      <c r="E321">
        <v>28570</v>
      </c>
      <c r="F321">
        <v>8.9</v>
      </c>
      <c r="G321">
        <v>36</v>
      </c>
      <c r="H321" t="s">
        <v>19</v>
      </c>
      <c r="I321" t="s">
        <v>20</v>
      </c>
      <c r="J321" t="s">
        <v>28</v>
      </c>
      <c r="K321">
        <v>93185</v>
      </c>
      <c r="L321" t="s">
        <v>33</v>
      </c>
      <c r="M321">
        <v>0.23</v>
      </c>
      <c r="N321">
        <v>0.74</v>
      </c>
      <c r="O321">
        <v>31112.73</v>
      </c>
      <c r="P321">
        <v>0</v>
      </c>
      <c r="Q321">
        <f ca="1">DATEDIF(banking_loan_data[[#This Row],[Issue Date]],TODAY(),"M")</f>
        <v>41</v>
      </c>
      <c r="R321">
        <f t="shared" si="24"/>
        <v>7628.19</v>
      </c>
      <c r="S321">
        <f>+banking_loan_data[[#This Row],[Loan Amount]]+banking_loan_data[[#This Row],[Interest earned]]</f>
        <v>36198.19</v>
      </c>
      <c r="T321" s="2">
        <f t="shared" si="25"/>
        <v>2542.7299999999996</v>
      </c>
      <c r="U321" s="2">
        <f t="shared" si="26"/>
        <v>0</v>
      </c>
      <c r="V321" s="2" t="str">
        <f>IF(banking_loan_data[[#This Row],[Loan Status]]="FULLY PAID","GOOD",IF(banking_loan_data[[#This Row],[Loan Status]]="CURRENT","ACTIVE","BAD"))</f>
        <v>GOOD</v>
      </c>
      <c r="W32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21" s="3">
        <f t="shared" si="27"/>
        <v>21189.416711476937</v>
      </c>
      <c r="Y321" s="4">
        <f t="shared" si="28"/>
        <v>8.8999999999999982E-2</v>
      </c>
      <c r="Z321" s="2" t="str">
        <f t="shared" si="29"/>
        <v>Normal</v>
      </c>
    </row>
    <row r="322" spans="1:26" x14ac:dyDescent="0.3">
      <c r="A322" t="s">
        <v>686</v>
      </c>
      <c r="B322" s="1">
        <v>44316</v>
      </c>
      <c r="C322" t="s">
        <v>687</v>
      </c>
      <c r="D322" t="s">
        <v>76</v>
      </c>
      <c r="E322">
        <v>28082</v>
      </c>
      <c r="F322">
        <v>22.9</v>
      </c>
      <c r="G322">
        <v>36</v>
      </c>
      <c r="H322" t="s">
        <v>19</v>
      </c>
      <c r="I322" t="s">
        <v>57</v>
      </c>
      <c r="J322" t="s">
        <v>37</v>
      </c>
      <c r="K322">
        <v>102567</v>
      </c>
      <c r="L322" t="s">
        <v>29</v>
      </c>
      <c r="M322">
        <v>0.46</v>
      </c>
      <c r="N322">
        <v>0.59</v>
      </c>
      <c r="O322">
        <v>34512.78</v>
      </c>
      <c r="P322">
        <v>0</v>
      </c>
      <c r="Q322">
        <f ca="1">DATEDIF(banking_loan_data[[#This Row],[Issue Date]],TODAY(),"M")</f>
        <v>58</v>
      </c>
      <c r="R322">
        <f t="shared" ref="R322:R385" si="30">(((E322*F322)/100)*G322)/12</f>
        <v>19292.333999999999</v>
      </c>
      <c r="S322">
        <f>+banking_loan_data[[#This Row],[Loan Amount]]+banking_loan_data[[#This Row],[Interest earned]]</f>
        <v>47374.334000000003</v>
      </c>
      <c r="T322" s="2">
        <f t="shared" ref="T322:T385" si="31">O322 + P322 - E322</f>
        <v>6430.7799999999988</v>
      </c>
      <c r="U322" s="2">
        <f t="shared" ref="U322:U385" si="32">IF(H322="CHARGED OFF",1,0)</f>
        <v>0</v>
      </c>
      <c r="V322" s="2" t="str">
        <f>IF(banking_loan_data[[#This Row],[Loan Status]]="FULLY PAID","GOOD",IF(banking_loan_data[[#This Row],[Loan Status]]="CURRENT","ACTIVE","BAD"))</f>
        <v>GOOD</v>
      </c>
      <c r="W32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22" s="3">
        <f t="shared" ref="X322:X385" si="33">PMT(F322/12,G322,-E322)</f>
        <v>53589.816666666666</v>
      </c>
      <c r="Y322" s="4">
        <f t="shared" ref="Y322:Y385" si="34">IF(E322=0,0,T322/E322)</f>
        <v>0.22900007121999855</v>
      </c>
      <c r="Z322" s="2" t="str">
        <f t="shared" ref="Z322:Z385" si="35">IF(OR(M322&gt;0.4,N322&gt;0.8),"High Risk","Normal")</f>
        <v>High Risk</v>
      </c>
    </row>
    <row r="323" spans="1:26" x14ac:dyDescent="0.3">
      <c r="A323" t="s">
        <v>688</v>
      </c>
      <c r="B323" s="1">
        <v>45027</v>
      </c>
      <c r="C323" t="s">
        <v>689</v>
      </c>
      <c r="D323" t="s">
        <v>72</v>
      </c>
      <c r="E323">
        <v>30241</v>
      </c>
      <c r="F323">
        <v>15.4</v>
      </c>
      <c r="G323">
        <v>60</v>
      </c>
      <c r="H323" t="s">
        <v>19</v>
      </c>
      <c r="I323" t="s">
        <v>20</v>
      </c>
      <c r="J323" t="s">
        <v>32</v>
      </c>
      <c r="K323">
        <v>77574</v>
      </c>
      <c r="L323" t="s">
        <v>33</v>
      </c>
      <c r="M323">
        <v>0.36</v>
      </c>
      <c r="N323">
        <v>0.82</v>
      </c>
      <c r="O323">
        <v>34898.11</v>
      </c>
      <c r="P323">
        <v>0</v>
      </c>
      <c r="Q323">
        <f ca="1">DATEDIF(banking_loan_data[[#This Row],[Issue Date]],TODAY(),"M")</f>
        <v>35</v>
      </c>
      <c r="R323">
        <f t="shared" si="30"/>
        <v>23285.570000000003</v>
      </c>
      <c r="S323">
        <f>+banking_loan_data[[#This Row],[Loan Amount]]+banking_loan_data[[#This Row],[Interest earned]]</f>
        <v>53526.570000000007</v>
      </c>
      <c r="T323" s="2">
        <f t="shared" si="31"/>
        <v>4657.1100000000006</v>
      </c>
      <c r="U323" s="2">
        <f t="shared" si="32"/>
        <v>0</v>
      </c>
      <c r="V323" s="2" t="str">
        <f>IF(banking_loan_data[[#This Row],[Loan Status]]="FULLY PAID","GOOD",IF(banking_loan_data[[#This Row],[Loan Status]]="CURRENT","ACTIVE","BAD"))</f>
        <v>GOOD</v>
      </c>
      <c r="W32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23" s="3">
        <f t="shared" si="33"/>
        <v>38809.283333333333</v>
      </c>
      <c r="Y323" s="4">
        <f t="shared" si="34"/>
        <v>0.15399986772924179</v>
      </c>
      <c r="Z323" s="2" t="str">
        <f t="shared" si="35"/>
        <v>High Risk</v>
      </c>
    </row>
    <row r="324" spans="1:26" x14ac:dyDescent="0.3">
      <c r="A324" t="s">
        <v>690</v>
      </c>
      <c r="B324" s="1">
        <v>45278</v>
      </c>
      <c r="C324" t="s">
        <v>691</v>
      </c>
      <c r="D324" t="s">
        <v>50</v>
      </c>
      <c r="E324">
        <v>31678</v>
      </c>
      <c r="F324">
        <v>14</v>
      </c>
      <c r="G324">
        <v>60</v>
      </c>
      <c r="H324" t="s">
        <v>26</v>
      </c>
      <c r="I324" t="s">
        <v>57</v>
      </c>
      <c r="J324" t="s">
        <v>28</v>
      </c>
      <c r="K324">
        <v>121051</v>
      </c>
      <c r="L324" t="s">
        <v>33</v>
      </c>
      <c r="M324">
        <v>0.22</v>
      </c>
      <c r="N324">
        <v>0.62</v>
      </c>
      <c r="O324">
        <v>5497.96</v>
      </c>
      <c r="P324">
        <v>0</v>
      </c>
      <c r="Q324">
        <f ca="1">DATEDIF(banking_loan_data[[#This Row],[Issue Date]],TODAY(),"M")</f>
        <v>27</v>
      </c>
      <c r="R324">
        <f t="shared" si="30"/>
        <v>22174.600000000002</v>
      </c>
      <c r="S324">
        <f>+banking_loan_data[[#This Row],[Loan Amount]]+banking_loan_data[[#This Row],[Interest earned]]</f>
        <v>53852.600000000006</v>
      </c>
      <c r="T324" s="2">
        <f t="shared" si="31"/>
        <v>-26180.04</v>
      </c>
      <c r="U324" s="2">
        <f t="shared" si="32"/>
        <v>0</v>
      </c>
      <c r="V324" s="2" t="str">
        <f>IF(banking_loan_data[[#This Row],[Loan Status]]="FULLY PAID","GOOD",IF(banking_loan_data[[#This Row],[Loan Status]]="CURRENT","ACTIVE","BAD"))</f>
        <v>ACTIVE</v>
      </c>
      <c r="W32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24" s="3">
        <f t="shared" si="33"/>
        <v>36957.666666666672</v>
      </c>
      <c r="Y324" s="4">
        <f t="shared" si="34"/>
        <v>-0.82644232590441313</v>
      </c>
      <c r="Z324" s="2" t="str">
        <f t="shared" si="35"/>
        <v>Normal</v>
      </c>
    </row>
    <row r="325" spans="1:26" x14ac:dyDescent="0.3">
      <c r="A325" t="s">
        <v>692</v>
      </c>
      <c r="B325" s="1">
        <v>44937</v>
      </c>
      <c r="C325" t="s">
        <v>693</v>
      </c>
      <c r="D325" t="s">
        <v>72</v>
      </c>
      <c r="E325">
        <v>12745</v>
      </c>
      <c r="F325">
        <v>16.2</v>
      </c>
      <c r="G325">
        <v>60</v>
      </c>
      <c r="H325" t="s">
        <v>19</v>
      </c>
      <c r="I325" t="s">
        <v>41</v>
      </c>
      <c r="J325" t="s">
        <v>32</v>
      </c>
      <c r="K325">
        <v>132020</v>
      </c>
      <c r="L325" t="s">
        <v>22</v>
      </c>
      <c r="M325">
        <v>0.22</v>
      </c>
      <c r="N325">
        <v>0.64</v>
      </c>
      <c r="O325">
        <v>14809.69</v>
      </c>
      <c r="P325">
        <v>0</v>
      </c>
      <c r="Q325">
        <f ca="1">DATEDIF(banking_loan_data[[#This Row],[Issue Date]],TODAY(),"M")</f>
        <v>38</v>
      </c>
      <c r="R325">
        <f t="shared" si="30"/>
        <v>10323.450000000001</v>
      </c>
      <c r="S325">
        <f>+banking_loan_data[[#This Row],[Loan Amount]]+banking_loan_data[[#This Row],[Interest earned]]</f>
        <v>23068.45</v>
      </c>
      <c r="T325" s="2">
        <f t="shared" si="31"/>
        <v>2064.6900000000005</v>
      </c>
      <c r="U325" s="2">
        <f t="shared" si="32"/>
        <v>0</v>
      </c>
      <c r="V325" s="2" t="str">
        <f>IF(banking_loan_data[[#This Row],[Loan Status]]="FULLY PAID","GOOD",IF(banking_loan_data[[#This Row],[Loan Status]]="CURRENT","ACTIVE","BAD"))</f>
        <v>GOOD</v>
      </c>
      <c r="W32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25" s="3">
        <f t="shared" si="33"/>
        <v>17205.75</v>
      </c>
      <c r="Y325" s="4">
        <f t="shared" si="34"/>
        <v>0.16200000000000003</v>
      </c>
      <c r="Z325" s="2" t="str">
        <f t="shared" si="35"/>
        <v>Normal</v>
      </c>
    </row>
    <row r="326" spans="1:26" x14ac:dyDescent="0.3">
      <c r="A326" t="s">
        <v>694</v>
      </c>
      <c r="B326" s="1">
        <v>44313</v>
      </c>
      <c r="C326" t="s">
        <v>695</v>
      </c>
      <c r="D326" t="s">
        <v>46</v>
      </c>
      <c r="E326">
        <v>27029</v>
      </c>
      <c r="F326">
        <v>8.3000000000000007</v>
      </c>
      <c r="G326">
        <v>36</v>
      </c>
      <c r="H326" t="s">
        <v>26</v>
      </c>
      <c r="I326" t="s">
        <v>36</v>
      </c>
      <c r="J326" t="s">
        <v>32</v>
      </c>
      <c r="K326">
        <v>66182</v>
      </c>
      <c r="L326" t="s">
        <v>29</v>
      </c>
      <c r="M326">
        <v>0.46</v>
      </c>
      <c r="N326">
        <v>0.88</v>
      </c>
      <c r="O326">
        <v>7993.68</v>
      </c>
      <c r="P326">
        <v>0</v>
      </c>
      <c r="Q326">
        <f ca="1">DATEDIF(banking_loan_data[[#This Row],[Issue Date]],TODAY(),"M")</f>
        <v>58</v>
      </c>
      <c r="R326">
        <f t="shared" si="30"/>
        <v>6730.2210000000005</v>
      </c>
      <c r="S326">
        <f>+banking_loan_data[[#This Row],[Loan Amount]]+banking_loan_data[[#This Row],[Interest earned]]</f>
        <v>33759.220999999998</v>
      </c>
      <c r="T326" s="2">
        <f t="shared" si="31"/>
        <v>-19035.32</v>
      </c>
      <c r="U326" s="2">
        <f t="shared" si="32"/>
        <v>0</v>
      </c>
      <c r="V326" s="2" t="str">
        <f>IF(banking_loan_data[[#This Row],[Loan Status]]="FULLY PAID","GOOD",IF(banking_loan_data[[#This Row],[Loan Status]]="CURRENT","ACTIVE","BAD"))</f>
        <v>ACTIVE</v>
      </c>
      <c r="W32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26" s="3">
        <f t="shared" si="33"/>
        <v>18695.058446155472</v>
      </c>
      <c r="Y326" s="4">
        <f t="shared" si="34"/>
        <v>-0.70425542935365715</v>
      </c>
      <c r="Z326" s="2" t="str">
        <f t="shared" si="35"/>
        <v>High Risk</v>
      </c>
    </row>
    <row r="327" spans="1:26" x14ac:dyDescent="0.3">
      <c r="A327" t="s">
        <v>696</v>
      </c>
      <c r="B327" s="1">
        <v>44987</v>
      </c>
      <c r="C327" t="s">
        <v>697</v>
      </c>
      <c r="D327" t="s">
        <v>46</v>
      </c>
      <c r="E327">
        <v>14025</v>
      </c>
      <c r="F327">
        <v>17.3</v>
      </c>
      <c r="G327">
        <v>36</v>
      </c>
      <c r="H327" t="s">
        <v>19</v>
      </c>
      <c r="I327" t="s">
        <v>20</v>
      </c>
      <c r="J327" t="s">
        <v>32</v>
      </c>
      <c r="K327">
        <v>146136</v>
      </c>
      <c r="L327" t="s">
        <v>29</v>
      </c>
      <c r="M327">
        <v>0.11</v>
      </c>
      <c r="N327">
        <v>0.71</v>
      </c>
      <c r="O327">
        <v>16451.32</v>
      </c>
      <c r="P327">
        <v>0</v>
      </c>
      <c r="Q327">
        <f ca="1">DATEDIF(banking_loan_data[[#This Row],[Issue Date]],TODAY(),"M")</f>
        <v>36</v>
      </c>
      <c r="R327">
        <f t="shared" si="30"/>
        <v>7278.9749999999995</v>
      </c>
      <c r="S327">
        <f>+banking_loan_data[[#This Row],[Loan Amount]]+banking_loan_data[[#This Row],[Interest earned]]</f>
        <v>21303.974999999999</v>
      </c>
      <c r="T327" s="2">
        <f t="shared" si="31"/>
        <v>2426.3199999999997</v>
      </c>
      <c r="U327" s="2">
        <f t="shared" si="32"/>
        <v>0</v>
      </c>
      <c r="V327" s="2" t="str">
        <f>IF(banking_loan_data[[#This Row],[Loan Status]]="FULLY PAID","GOOD",IF(banking_loan_data[[#This Row],[Loan Status]]="CURRENT","ACTIVE","BAD"))</f>
        <v>GOOD</v>
      </c>
      <c r="W32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27" s="3">
        <f t="shared" si="33"/>
        <v>20219.375000000226</v>
      </c>
      <c r="Y327" s="4">
        <f t="shared" si="34"/>
        <v>0.17299964349376112</v>
      </c>
      <c r="Z327" s="2" t="str">
        <f t="shared" si="35"/>
        <v>Normal</v>
      </c>
    </row>
    <row r="328" spans="1:26" x14ac:dyDescent="0.3">
      <c r="A328" t="s">
        <v>698</v>
      </c>
      <c r="B328" s="1">
        <v>45209</v>
      </c>
      <c r="C328" t="s">
        <v>699</v>
      </c>
      <c r="D328" t="s">
        <v>53</v>
      </c>
      <c r="E328">
        <v>37124</v>
      </c>
      <c r="F328">
        <v>12.3</v>
      </c>
      <c r="G328">
        <v>36</v>
      </c>
      <c r="H328" t="s">
        <v>26</v>
      </c>
      <c r="I328" t="s">
        <v>73</v>
      </c>
      <c r="J328" t="s">
        <v>28</v>
      </c>
      <c r="K328">
        <v>30570</v>
      </c>
      <c r="L328" t="s">
        <v>22</v>
      </c>
      <c r="M328">
        <v>0.23</v>
      </c>
      <c r="N328">
        <v>0.8</v>
      </c>
      <c r="O328">
        <v>5431.36</v>
      </c>
      <c r="P328">
        <v>0</v>
      </c>
      <c r="Q328">
        <f ca="1">DATEDIF(banking_loan_data[[#This Row],[Issue Date]],TODAY(),"M")</f>
        <v>29</v>
      </c>
      <c r="R328">
        <f t="shared" si="30"/>
        <v>13698.756000000001</v>
      </c>
      <c r="S328">
        <f>+banking_loan_data[[#This Row],[Loan Amount]]+banking_loan_data[[#This Row],[Interest earned]]</f>
        <v>50822.756000000001</v>
      </c>
      <c r="T328" s="2">
        <f t="shared" si="31"/>
        <v>-31692.639999999999</v>
      </c>
      <c r="U328" s="2">
        <f t="shared" si="32"/>
        <v>0</v>
      </c>
      <c r="V328" s="2" t="str">
        <f>IF(banking_loan_data[[#This Row],[Loan Status]]="FULLY PAID","GOOD",IF(banking_loan_data[[#This Row],[Loan Status]]="CURRENT","ACTIVE","BAD"))</f>
        <v>ACTIVE</v>
      </c>
      <c r="W32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328" s="3">
        <f t="shared" si="33"/>
        <v>38052.100000354068</v>
      </c>
      <c r="Y328" s="4">
        <f t="shared" si="34"/>
        <v>-0.85369679991380243</v>
      </c>
      <c r="Z328" s="2" t="str">
        <f t="shared" si="35"/>
        <v>Normal</v>
      </c>
    </row>
    <row r="329" spans="1:26" x14ac:dyDescent="0.3">
      <c r="A329" t="s">
        <v>700</v>
      </c>
      <c r="B329" s="1">
        <v>45278</v>
      </c>
      <c r="C329" t="s">
        <v>701</v>
      </c>
      <c r="D329" t="s">
        <v>56</v>
      </c>
      <c r="E329">
        <v>15288</v>
      </c>
      <c r="F329">
        <v>22.9</v>
      </c>
      <c r="G329">
        <v>36</v>
      </c>
      <c r="H329" t="s">
        <v>19</v>
      </c>
      <c r="I329" t="s">
        <v>27</v>
      </c>
      <c r="J329" t="s">
        <v>37</v>
      </c>
      <c r="K329">
        <v>127790</v>
      </c>
      <c r="L329" t="s">
        <v>22</v>
      </c>
      <c r="M329">
        <v>0.32</v>
      </c>
      <c r="N329">
        <v>0.68</v>
      </c>
      <c r="O329">
        <v>18788.95</v>
      </c>
      <c r="P329">
        <v>0</v>
      </c>
      <c r="Q329">
        <f ca="1">DATEDIF(banking_loan_data[[#This Row],[Issue Date]],TODAY(),"M")</f>
        <v>27</v>
      </c>
      <c r="R329">
        <f t="shared" si="30"/>
        <v>10502.855999999998</v>
      </c>
      <c r="S329">
        <f>+banking_loan_data[[#This Row],[Loan Amount]]+banking_loan_data[[#This Row],[Interest earned]]</f>
        <v>25790.856</v>
      </c>
      <c r="T329" s="2">
        <f t="shared" si="31"/>
        <v>3500.9500000000007</v>
      </c>
      <c r="U329" s="2">
        <f t="shared" si="32"/>
        <v>0</v>
      </c>
      <c r="V329" s="2" t="str">
        <f>IF(banking_loan_data[[#This Row],[Loan Status]]="FULLY PAID","GOOD",IF(banking_loan_data[[#This Row],[Loan Status]]="CURRENT","ACTIVE","BAD"))</f>
        <v>GOOD</v>
      </c>
      <c r="W32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29" s="3">
        <f t="shared" si="33"/>
        <v>29174.6</v>
      </c>
      <c r="Y329" s="4">
        <f t="shared" si="34"/>
        <v>0.22899986917844065</v>
      </c>
      <c r="Z329" s="2" t="str">
        <f t="shared" si="35"/>
        <v>Normal</v>
      </c>
    </row>
    <row r="330" spans="1:26" x14ac:dyDescent="0.3">
      <c r="A330" t="s">
        <v>702</v>
      </c>
      <c r="B330" s="1">
        <v>44830</v>
      </c>
      <c r="C330" t="s">
        <v>703</v>
      </c>
      <c r="D330" t="s">
        <v>46</v>
      </c>
      <c r="E330">
        <v>24650</v>
      </c>
      <c r="F330">
        <v>8.4</v>
      </c>
      <c r="G330">
        <v>36</v>
      </c>
      <c r="H330" t="s">
        <v>19</v>
      </c>
      <c r="I330" t="s">
        <v>20</v>
      </c>
      <c r="J330" t="s">
        <v>47</v>
      </c>
      <c r="K330">
        <v>49288</v>
      </c>
      <c r="L330" t="s">
        <v>29</v>
      </c>
      <c r="M330">
        <v>0.16</v>
      </c>
      <c r="N330">
        <v>0.63</v>
      </c>
      <c r="O330">
        <v>26720.6</v>
      </c>
      <c r="P330">
        <v>0</v>
      </c>
      <c r="Q330">
        <f ca="1">DATEDIF(banking_loan_data[[#This Row],[Issue Date]],TODAY(),"M")</f>
        <v>41</v>
      </c>
      <c r="R330">
        <f t="shared" si="30"/>
        <v>6211.7999999999993</v>
      </c>
      <c r="S330">
        <f>+banking_loan_data[[#This Row],[Loan Amount]]+banking_loan_data[[#This Row],[Interest earned]]</f>
        <v>30861.8</v>
      </c>
      <c r="T330" s="2">
        <f t="shared" si="31"/>
        <v>2070.5999999999985</v>
      </c>
      <c r="U330" s="2">
        <f t="shared" si="32"/>
        <v>0</v>
      </c>
      <c r="V330" s="2" t="str">
        <f>IF(banking_loan_data[[#This Row],[Loan Status]]="FULLY PAID","GOOD",IF(banking_loan_data[[#This Row],[Loan Status]]="CURRENT","ACTIVE","BAD"))</f>
        <v>GOOD</v>
      </c>
      <c r="W33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30" s="3">
        <f t="shared" si="33"/>
        <v>17255.000087247663</v>
      </c>
      <c r="Y330" s="4">
        <f t="shared" si="34"/>
        <v>8.3999999999999936E-2</v>
      </c>
      <c r="Z330" s="2" t="str">
        <f t="shared" si="35"/>
        <v>Normal</v>
      </c>
    </row>
    <row r="331" spans="1:26" x14ac:dyDescent="0.3">
      <c r="A331" t="s">
        <v>704</v>
      </c>
      <c r="B331" s="1">
        <v>44709</v>
      </c>
      <c r="C331" t="s">
        <v>705</v>
      </c>
      <c r="D331" t="s">
        <v>65</v>
      </c>
      <c r="E331">
        <v>7540</v>
      </c>
      <c r="F331">
        <v>15.1</v>
      </c>
      <c r="G331">
        <v>60</v>
      </c>
      <c r="H331" t="s">
        <v>19</v>
      </c>
      <c r="I331" t="s">
        <v>20</v>
      </c>
      <c r="J331" t="s">
        <v>37</v>
      </c>
      <c r="K331">
        <v>108824</v>
      </c>
      <c r="L331" t="s">
        <v>22</v>
      </c>
      <c r="M331">
        <v>0.14000000000000001</v>
      </c>
      <c r="N331">
        <v>0.78</v>
      </c>
      <c r="O331">
        <v>8678.5400000000009</v>
      </c>
      <c r="P331">
        <v>0</v>
      </c>
      <c r="Q331">
        <f ca="1">DATEDIF(banking_loan_data[[#This Row],[Issue Date]],TODAY(),"M")</f>
        <v>45</v>
      </c>
      <c r="R331">
        <f t="shared" si="30"/>
        <v>5692.7</v>
      </c>
      <c r="S331">
        <f>+banking_loan_data[[#This Row],[Loan Amount]]+banking_loan_data[[#This Row],[Interest earned]]</f>
        <v>13232.7</v>
      </c>
      <c r="T331" s="2">
        <f t="shared" si="31"/>
        <v>1138.5400000000009</v>
      </c>
      <c r="U331" s="2">
        <f t="shared" si="32"/>
        <v>0</v>
      </c>
      <c r="V331" s="2" t="str">
        <f>IF(banking_loan_data[[#This Row],[Loan Status]]="FULLY PAID","GOOD",IF(banking_loan_data[[#This Row],[Loan Status]]="CURRENT","ACTIVE","BAD"))</f>
        <v>GOOD</v>
      </c>
      <c r="W33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31" s="3">
        <f t="shared" si="33"/>
        <v>9487.8333333333339</v>
      </c>
      <c r="Y331" s="4">
        <f t="shared" si="34"/>
        <v>0.15100000000000011</v>
      </c>
      <c r="Z331" s="2" t="str">
        <f t="shared" si="35"/>
        <v>Normal</v>
      </c>
    </row>
    <row r="332" spans="1:26" x14ac:dyDescent="0.3">
      <c r="A332" t="s">
        <v>706</v>
      </c>
      <c r="B332" s="1">
        <v>44998</v>
      </c>
      <c r="C332" t="s">
        <v>707</v>
      </c>
      <c r="D332" t="s">
        <v>18</v>
      </c>
      <c r="E332">
        <v>33232</v>
      </c>
      <c r="F332">
        <v>17</v>
      </c>
      <c r="G332">
        <v>36</v>
      </c>
      <c r="H332" t="s">
        <v>19</v>
      </c>
      <c r="I332" t="s">
        <v>36</v>
      </c>
      <c r="J332" t="s">
        <v>28</v>
      </c>
      <c r="K332">
        <v>59877</v>
      </c>
      <c r="L332" t="s">
        <v>22</v>
      </c>
      <c r="M332">
        <v>0.43</v>
      </c>
      <c r="N332">
        <v>0.56999999999999995</v>
      </c>
      <c r="O332">
        <v>38881.440000000002</v>
      </c>
      <c r="P332">
        <v>0</v>
      </c>
      <c r="Q332">
        <f ca="1">DATEDIF(banking_loan_data[[#This Row],[Issue Date]],TODAY(),"M")</f>
        <v>36</v>
      </c>
      <c r="R332">
        <f t="shared" si="30"/>
        <v>16948.32</v>
      </c>
      <c r="S332">
        <f>+banking_loan_data[[#This Row],[Loan Amount]]+banking_loan_data[[#This Row],[Interest earned]]</f>
        <v>50180.32</v>
      </c>
      <c r="T332" s="2">
        <f t="shared" si="31"/>
        <v>5649.4400000000023</v>
      </c>
      <c r="U332" s="2">
        <f t="shared" si="32"/>
        <v>0</v>
      </c>
      <c r="V332" s="2" t="str">
        <f>IF(banking_loan_data[[#This Row],[Loan Status]]="FULLY PAID","GOOD",IF(banking_loan_data[[#This Row],[Loan Status]]="CURRENT","ACTIVE","BAD"))</f>
        <v>GOOD</v>
      </c>
      <c r="W33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32" s="3">
        <f t="shared" si="33"/>
        <v>47078.666666667421</v>
      </c>
      <c r="Y332" s="4">
        <f t="shared" si="34"/>
        <v>0.17000000000000007</v>
      </c>
      <c r="Z332" s="2" t="str">
        <f t="shared" si="35"/>
        <v>High Risk</v>
      </c>
    </row>
    <row r="333" spans="1:26" x14ac:dyDescent="0.3">
      <c r="A333" t="s">
        <v>708</v>
      </c>
      <c r="B333" s="1">
        <v>44756</v>
      </c>
      <c r="C333" t="s">
        <v>709</v>
      </c>
      <c r="D333" t="s">
        <v>40</v>
      </c>
      <c r="E333">
        <v>17422</v>
      </c>
      <c r="F333">
        <v>5.7</v>
      </c>
      <c r="G333">
        <v>36</v>
      </c>
      <c r="H333" t="s">
        <v>81</v>
      </c>
      <c r="I333" t="s">
        <v>41</v>
      </c>
      <c r="J333" t="s">
        <v>47</v>
      </c>
      <c r="K333">
        <v>114425</v>
      </c>
      <c r="L333" t="s">
        <v>22</v>
      </c>
      <c r="M333">
        <v>0.46</v>
      </c>
      <c r="N333">
        <v>0.67</v>
      </c>
      <c r="O333">
        <v>4227.59</v>
      </c>
      <c r="P333">
        <v>6267.26</v>
      </c>
      <c r="Q333">
        <f ca="1">DATEDIF(banking_loan_data[[#This Row],[Issue Date]],TODAY(),"M")</f>
        <v>44</v>
      </c>
      <c r="R333">
        <f t="shared" si="30"/>
        <v>2979.1620000000003</v>
      </c>
      <c r="S333">
        <f>+banking_loan_data[[#This Row],[Loan Amount]]+banking_loan_data[[#This Row],[Interest earned]]</f>
        <v>20401.162</v>
      </c>
      <c r="T333" s="2">
        <f t="shared" si="31"/>
        <v>-6927.15</v>
      </c>
      <c r="U333" s="2">
        <f t="shared" si="32"/>
        <v>1</v>
      </c>
      <c r="V333" s="2" t="str">
        <f>IF(banking_loan_data[[#This Row],[Loan Status]]="FULLY PAID","GOOD",IF(banking_loan_data[[#This Row],[Loan Status]]="CURRENT","ACTIVE","BAD"))</f>
        <v>BAD</v>
      </c>
      <c r="W33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33" s="3">
        <f t="shared" si="33"/>
        <v>8275.456938718231</v>
      </c>
      <c r="Y333" s="4">
        <f t="shared" si="34"/>
        <v>-0.39760934450694524</v>
      </c>
      <c r="Z333" s="2" t="str">
        <f t="shared" si="35"/>
        <v>High Risk</v>
      </c>
    </row>
    <row r="334" spans="1:26" x14ac:dyDescent="0.3">
      <c r="A334" t="s">
        <v>710</v>
      </c>
      <c r="B334" s="1">
        <v>44684</v>
      </c>
      <c r="C334" t="s">
        <v>711</v>
      </c>
      <c r="D334" t="s">
        <v>46</v>
      </c>
      <c r="E334">
        <v>4342</v>
      </c>
      <c r="F334">
        <v>12.3</v>
      </c>
      <c r="G334">
        <v>36</v>
      </c>
      <c r="H334" t="s">
        <v>19</v>
      </c>
      <c r="I334" t="s">
        <v>41</v>
      </c>
      <c r="J334" t="s">
        <v>47</v>
      </c>
      <c r="K334">
        <v>30917</v>
      </c>
      <c r="L334" t="s">
        <v>29</v>
      </c>
      <c r="M334">
        <v>0.43</v>
      </c>
      <c r="N334">
        <v>0.59</v>
      </c>
      <c r="O334">
        <v>4876.07</v>
      </c>
      <c r="P334">
        <v>0</v>
      </c>
      <c r="Q334">
        <f ca="1">DATEDIF(banking_loan_data[[#This Row],[Issue Date]],TODAY(),"M")</f>
        <v>46</v>
      </c>
      <c r="R334">
        <f t="shared" si="30"/>
        <v>1602.1980000000001</v>
      </c>
      <c r="S334">
        <f>+banking_loan_data[[#This Row],[Loan Amount]]+banking_loan_data[[#This Row],[Interest earned]]</f>
        <v>5944.1980000000003</v>
      </c>
      <c r="T334" s="2">
        <f t="shared" si="31"/>
        <v>534.06999999999971</v>
      </c>
      <c r="U334" s="2">
        <f t="shared" si="32"/>
        <v>0</v>
      </c>
      <c r="V334" s="2" t="str">
        <f>IF(banking_loan_data[[#This Row],[Loan Status]]="FULLY PAID","GOOD",IF(banking_loan_data[[#This Row],[Loan Status]]="CURRENT","ACTIVE","BAD"))</f>
        <v>GOOD</v>
      </c>
      <c r="W33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34" s="3">
        <f t="shared" si="33"/>
        <v>4450.5500000414113</v>
      </c>
      <c r="Y334" s="4">
        <f t="shared" si="34"/>
        <v>0.12300092123445411</v>
      </c>
      <c r="Z334" s="2" t="str">
        <f t="shared" si="35"/>
        <v>High Risk</v>
      </c>
    </row>
    <row r="335" spans="1:26" x14ac:dyDescent="0.3">
      <c r="A335" t="s">
        <v>712</v>
      </c>
      <c r="B335" s="1">
        <v>45093</v>
      </c>
      <c r="C335" t="s">
        <v>713</v>
      </c>
      <c r="D335" t="s">
        <v>53</v>
      </c>
      <c r="E335">
        <v>36612</v>
      </c>
      <c r="F335">
        <v>19.7</v>
      </c>
      <c r="G335">
        <v>36</v>
      </c>
      <c r="H335" t="s">
        <v>26</v>
      </c>
      <c r="I335" t="s">
        <v>84</v>
      </c>
      <c r="J335" t="s">
        <v>47</v>
      </c>
      <c r="K335">
        <v>105602</v>
      </c>
      <c r="L335" t="s">
        <v>22</v>
      </c>
      <c r="M335">
        <v>0.46</v>
      </c>
      <c r="N335">
        <v>0.81</v>
      </c>
      <c r="O335">
        <v>7072.66</v>
      </c>
      <c r="P335">
        <v>0</v>
      </c>
      <c r="Q335">
        <f ca="1">DATEDIF(banking_loan_data[[#This Row],[Issue Date]],TODAY(),"M")</f>
        <v>33</v>
      </c>
      <c r="R335">
        <f t="shared" si="30"/>
        <v>21637.691999999999</v>
      </c>
      <c r="S335">
        <f>+banking_loan_data[[#This Row],[Loan Amount]]+banking_loan_data[[#This Row],[Interest earned]]</f>
        <v>58249.691999999995</v>
      </c>
      <c r="T335" s="2">
        <f t="shared" si="31"/>
        <v>-29539.34</v>
      </c>
      <c r="U335" s="2">
        <f t="shared" si="32"/>
        <v>0</v>
      </c>
      <c r="V335" s="2" t="str">
        <f>IF(banking_loan_data[[#This Row],[Loan Status]]="FULLY PAID","GOOD",IF(banking_loan_data[[#This Row],[Loan Status]]="CURRENT","ACTIVE","BAD"))</f>
        <v>ACTIVE</v>
      </c>
      <c r="W33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35" s="3">
        <f t="shared" si="33"/>
        <v>60104.700000000033</v>
      </c>
      <c r="Y335" s="4">
        <f t="shared" si="34"/>
        <v>-0.80682126078881244</v>
      </c>
      <c r="Z335" s="2" t="str">
        <f t="shared" si="35"/>
        <v>High Risk</v>
      </c>
    </row>
    <row r="336" spans="1:26" x14ac:dyDescent="0.3">
      <c r="A336" t="s">
        <v>714</v>
      </c>
      <c r="B336" s="1">
        <v>44900</v>
      </c>
      <c r="C336" t="s">
        <v>715</v>
      </c>
      <c r="D336" t="s">
        <v>40</v>
      </c>
      <c r="E336">
        <v>11396</v>
      </c>
      <c r="F336">
        <v>21.4</v>
      </c>
      <c r="G336">
        <v>36</v>
      </c>
      <c r="H336" t="s">
        <v>60</v>
      </c>
      <c r="I336" t="s">
        <v>27</v>
      </c>
      <c r="J336" t="s">
        <v>21</v>
      </c>
      <c r="K336">
        <v>125040</v>
      </c>
      <c r="L336" t="s">
        <v>33</v>
      </c>
      <c r="M336">
        <v>0.32</v>
      </c>
      <c r="N336">
        <v>0.92</v>
      </c>
      <c r="O336">
        <v>0</v>
      </c>
      <c r="P336">
        <v>0</v>
      </c>
      <c r="Q336">
        <f ca="1">DATEDIF(banking_loan_data[[#This Row],[Issue Date]],TODAY(),"M")</f>
        <v>39</v>
      </c>
      <c r="R336">
        <f t="shared" si="30"/>
        <v>7316.232</v>
      </c>
      <c r="S336">
        <f>+banking_loan_data[[#This Row],[Loan Amount]]+banking_loan_data[[#This Row],[Interest earned]]</f>
        <v>18712.232</v>
      </c>
      <c r="T336" s="2">
        <f t="shared" si="31"/>
        <v>-11396</v>
      </c>
      <c r="U336" s="2">
        <f t="shared" si="32"/>
        <v>0</v>
      </c>
      <c r="V336" s="2" t="str">
        <f>IF(banking_loan_data[[#This Row],[Loan Status]]="FULLY PAID","GOOD",IF(banking_loan_data[[#This Row],[Loan Status]]="CURRENT","ACTIVE","BAD"))</f>
        <v>BAD</v>
      </c>
      <c r="W33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36" s="3">
        <f t="shared" si="33"/>
        <v>20322.866666666669</v>
      </c>
      <c r="Y336" s="4">
        <f t="shared" si="34"/>
        <v>-1</v>
      </c>
      <c r="Z336" s="2" t="str">
        <f t="shared" si="35"/>
        <v>High Risk</v>
      </c>
    </row>
    <row r="337" spans="1:26" x14ac:dyDescent="0.3">
      <c r="A337" t="s">
        <v>716</v>
      </c>
      <c r="B337" s="1">
        <v>44777</v>
      </c>
      <c r="C337" t="s">
        <v>717</v>
      </c>
      <c r="D337" t="s">
        <v>65</v>
      </c>
      <c r="E337">
        <v>18482</v>
      </c>
      <c r="F337">
        <v>11.3</v>
      </c>
      <c r="G337">
        <v>60</v>
      </c>
      <c r="H337" t="s">
        <v>26</v>
      </c>
      <c r="I337" t="s">
        <v>57</v>
      </c>
      <c r="J337" t="s">
        <v>28</v>
      </c>
      <c r="K337">
        <v>94575</v>
      </c>
      <c r="L337" t="s">
        <v>33</v>
      </c>
      <c r="M337">
        <v>0.42</v>
      </c>
      <c r="N337">
        <v>0.95</v>
      </c>
      <c r="O337">
        <v>3142.25</v>
      </c>
      <c r="P337">
        <v>0</v>
      </c>
      <c r="Q337">
        <f ca="1">DATEDIF(banking_loan_data[[#This Row],[Issue Date]],TODAY(),"M")</f>
        <v>43</v>
      </c>
      <c r="R337">
        <f t="shared" si="30"/>
        <v>10442.33</v>
      </c>
      <c r="S337">
        <f>+banking_loan_data[[#This Row],[Loan Amount]]+banking_loan_data[[#This Row],[Interest earned]]</f>
        <v>28924.33</v>
      </c>
      <c r="T337" s="2">
        <f t="shared" si="31"/>
        <v>-15339.75</v>
      </c>
      <c r="U337" s="2">
        <f t="shared" si="32"/>
        <v>0</v>
      </c>
      <c r="V337" s="2" t="str">
        <f>IF(banking_loan_data[[#This Row],[Loan Status]]="FULLY PAID","GOOD",IF(banking_loan_data[[#This Row],[Loan Status]]="CURRENT","ACTIVE","BAD"))</f>
        <v>ACTIVE</v>
      </c>
      <c r="W33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37" s="3">
        <f t="shared" si="33"/>
        <v>17403.883333333335</v>
      </c>
      <c r="Y337" s="4">
        <f t="shared" si="34"/>
        <v>-0.82998322692349313</v>
      </c>
      <c r="Z337" s="2" t="str">
        <f t="shared" si="35"/>
        <v>High Risk</v>
      </c>
    </row>
    <row r="338" spans="1:26" x14ac:dyDescent="0.3">
      <c r="A338" t="s">
        <v>718</v>
      </c>
      <c r="B338" s="1">
        <v>44986</v>
      </c>
      <c r="C338" t="s">
        <v>719</v>
      </c>
      <c r="D338" t="s">
        <v>56</v>
      </c>
      <c r="E338">
        <v>24411</v>
      </c>
      <c r="F338">
        <v>21</v>
      </c>
      <c r="G338">
        <v>36</v>
      </c>
      <c r="H338" t="s">
        <v>19</v>
      </c>
      <c r="I338" t="s">
        <v>20</v>
      </c>
      <c r="J338" t="s">
        <v>21</v>
      </c>
      <c r="K338">
        <v>102518</v>
      </c>
      <c r="L338" t="s">
        <v>29</v>
      </c>
      <c r="M338">
        <v>0.25</v>
      </c>
      <c r="N338">
        <v>0.7</v>
      </c>
      <c r="O338">
        <v>29537.31</v>
      </c>
      <c r="P338">
        <v>0</v>
      </c>
      <c r="Q338">
        <f ca="1">DATEDIF(banking_loan_data[[#This Row],[Issue Date]],TODAY(),"M")</f>
        <v>36</v>
      </c>
      <c r="R338">
        <f t="shared" si="30"/>
        <v>15378.93</v>
      </c>
      <c r="S338">
        <f>+banking_loan_data[[#This Row],[Loan Amount]]+banking_loan_data[[#This Row],[Interest earned]]</f>
        <v>39789.93</v>
      </c>
      <c r="T338" s="2">
        <f t="shared" si="31"/>
        <v>5126.3100000000013</v>
      </c>
      <c r="U338" s="2">
        <f t="shared" si="32"/>
        <v>0</v>
      </c>
      <c r="V338" s="2" t="str">
        <f>IF(banking_loan_data[[#This Row],[Loan Status]]="FULLY PAID","GOOD",IF(banking_loan_data[[#This Row],[Loan Status]]="CURRENT","ACTIVE","BAD"))</f>
        <v>GOOD</v>
      </c>
      <c r="W33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38" s="3">
        <f t="shared" si="33"/>
        <v>42719.250000000007</v>
      </c>
      <c r="Y338" s="4">
        <f t="shared" si="34"/>
        <v>0.21000000000000005</v>
      </c>
      <c r="Z338" s="2" t="str">
        <f t="shared" si="35"/>
        <v>Normal</v>
      </c>
    </row>
    <row r="339" spans="1:26" x14ac:dyDescent="0.3">
      <c r="A339" t="s">
        <v>720</v>
      </c>
      <c r="B339" s="1">
        <v>45057</v>
      </c>
      <c r="C339" t="s">
        <v>721</v>
      </c>
      <c r="D339" t="s">
        <v>76</v>
      </c>
      <c r="E339">
        <v>14261</v>
      </c>
      <c r="F339">
        <v>24.4</v>
      </c>
      <c r="G339">
        <v>36</v>
      </c>
      <c r="H339" t="s">
        <v>81</v>
      </c>
      <c r="I339" t="s">
        <v>20</v>
      </c>
      <c r="J339" t="s">
        <v>47</v>
      </c>
      <c r="K339">
        <v>69104</v>
      </c>
      <c r="L339" t="s">
        <v>22</v>
      </c>
      <c r="M339">
        <v>0.37</v>
      </c>
      <c r="N339">
        <v>0.61</v>
      </c>
      <c r="O339">
        <v>5563.15</v>
      </c>
      <c r="P339">
        <v>3087.26</v>
      </c>
      <c r="Q339">
        <f ca="1">DATEDIF(banking_loan_data[[#This Row],[Issue Date]],TODAY(),"M")</f>
        <v>34</v>
      </c>
      <c r="R339">
        <f t="shared" si="30"/>
        <v>10439.052</v>
      </c>
      <c r="S339">
        <f>+banking_loan_data[[#This Row],[Loan Amount]]+banking_loan_data[[#This Row],[Interest earned]]</f>
        <v>24700.052</v>
      </c>
      <c r="T339" s="2">
        <f t="shared" si="31"/>
        <v>-5610.59</v>
      </c>
      <c r="U339" s="2">
        <f t="shared" si="32"/>
        <v>1</v>
      </c>
      <c r="V339" s="2" t="str">
        <f>IF(banking_loan_data[[#This Row],[Loan Status]]="FULLY PAID","GOOD",IF(banking_loan_data[[#This Row],[Loan Status]]="CURRENT","ACTIVE","BAD"))</f>
        <v>BAD</v>
      </c>
      <c r="W33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39" s="3">
        <f t="shared" si="33"/>
        <v>28997.366666666665</v>
      </c>
      <c r="Y339" s="4">
        <f t="shared" si="34"/>
        <v>-0.39342191992146414</v>
      </c>
      <c r="Z339" s="2" t="str">
        <f t="shared" si="35"/>
        <v>Normal</v>
      </c>
    </row>
    <row r="340" spans="1:26" x14ac:dyDescent="0.3">
      <c r="A340" t="s">
        <v>722</v>
      </c>
      <c r="B340" s="1">
        <v>44443</v>
      </c>
      <c r="C340" t="s">
        <v>723</v>
      </c>
      <c r="D340" t="s">
        <v>72</v>
      </c>
      <c r="E340">
        <v>4093</v>
      </c>
      <c r="F340">
        <v>22.1</v>
      </c>
      <c r="G340">
        <v>36</v>
      </c>
      <c r="H340" t="s">
        <v>19</v>
      </c>
      <c r="I340" t="s">
        <v>27</v>
      </c>
      <c r="J340" t="s">
        <v>21</v>
      </c>
      <c r="K340">
        <v>48062</v>
      </c>
      <c r="L340" t="s">
        <v>33</v>
      </c>
      <c r="M340">
        <v>0.5</v>
      </c>
      <c r="N340">
        <v>0.7</v>
      </c>
      <c r="O340">
        <v>4997.55</v>
      </c>
      <c r="P340">
        <v>0</v>
      </c>
      <c r="Q340">
        <f ca="1">DATEDIF(banking_loan_data[[#This Row],[Issue Date]],TODAY(),"M")</f>
        <v>54</v>
      </c>
      <c r="R340">
        <f t="shared" si="30"/>
        <v>2713.6590000000001</v>
      </c>
      <c r="S340">
        <f>+banking_loan_data[[#This Row],[Loan Amount]]+banking_loan_data[[#This Row],[Interest earned]]</f>
        <v>6806.6589999999997</v>
      </c>
      <c r="T340" s="2">
        <f t="shared" si="31"/>
        <v>904.55000000000018</v>
      </c>
      <c r="U340" s="2">
        <f t="shared" si="32"/>
        <v>0</v>
      </c>
      <c r="V340" s="2" t="str">
        <f>IF(banking_loan_data[[#This Row],[Loan Status]]="FULLY PAID","GOOD",IF(banking_loan_data[[#This Row],[Loan Status]]="CURRENT","ACTIVE","BAD"))</f>
        <v>GOOD</v>
      </c>
      <c r="W34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40" s="3">
        <f t="shared" si="33"/>
        <v>7537.9416666666675</v>
      </c>
      <c r="Y340" s="4">
        <f t="shared" si="34"/>
        <v>0.22099926704129005</v>
      </c>
      <c r="Z340" s="2" t="str">
        <f t="shared" si="35"/>
        <v>High Risk</v>
      </c>
    </row>
    <row r="341" spans="1:26" x14ac:dyDescent="0.3">
      <c r="A341" t="s">
        <v>724</v>
      </c>
      <c r="B341" s="1">
        <v>44350</v>
      </c>
      <c r="C341" t="s">
        <v>725</v>
      </c>
      <c r="D341" t="s">
        <v>65</v>
      </c>
      <c r="E341">
        <v>12722</v>
      </c>
      <c r="F341">
        <v>7.4</v>
      </c>
      <c r="G341">
        <v>60</v>
      </c>
      <c r="H341" t="s">
        <v>19</v>
      </c>
      <c r="I341" t="s">
        <v>84</v>
      </c>
      <c r="J341" t="s">
        <v>21</v>
      </c>
      <c r="K341">
        <v>46999</v>
      </c>
      <c r="L341" t="s">
        <v>29</v>
      </c>
      <c r="M341">
        <v>0.19</v>
      </c>
      <c r="N341">
        <v>0.88</v>
      </c>
      <c r="O341">
        <v>13663.43</v>
      </c>
      <c r="P341">
        <v>0</v>
      </c>
      <c r="Q341">
        <f ca="1">DATEDIF(banking_loan_data[[#This Row],[Issue Date]],TODAY(),"M")</f>
        <v>57</v>
      </c>
      <c r="R341">
        <f t="shared" si="30"/>
        <v>4707.1400000000003</v>
      </c>
      <c r="S341">
        <f>+banking_loan_data[[#This Row],[Loan Amount]]+banking_loan_data[[#This Row],[Interest earned]]</f>
        <v>17429.14</v>
      </c>
      <c r="T341" s="2">
        <f t="shared" si="31"/>
        <v>941.43000000000029</v>
      </c>
      <c r="U341" s="2">
        <f t="shared" si="32"/>
        <v>0</v>
      </c>
      <c r="V341" s="2" t="str">
        <f>IF(banking_loan_data[[#This Row],[Loan Status]]="FULLY PAID","GOOD",IF(banking_loan_data[[#This Row],[Loan Status]]="CURRENT","ACTIVE","BAD"))</f>
        <v>GOOD</v>
      </c>
      <c r="W34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41" s="3">
        <f t="shared" si="33"/>
        <v>7845.2333333357183</v>
      </c>
      <c r="Y341" s="4">
        <f t="shared" si="34"/>
        <v>7.4000157207986195E-2</v>
      </c>
      <c r="Z341" s="2" t="str">
        <f t="shared" si="35"/>
        <v>High Risk</v>
      </c>
    </row>
    <row r="342" spans="1:26" x14ac:dyDescent="0.3">
      <c r="A342" t="s">
        <v>726</v>
      </c>
      <c r="B342" s="1">
        <v>45193</v>
      </c>
      <c r="C342" t="s">
        <v>727</v>
      </c>
      <c r="D342" t="s">
        <v>50</v>
      </c>
      <c r="E342">
        <v>23042</v>
      </c>
      <c r="F342">
        <v>19.8</v>
      </c>
      <c r="G342">
        <v>60</v>
      </c>
      <c r="H342" t="s">
        <v>81</v>
      </c>
      <c r="I342" t="s">
        <v>84</v>
      </c>
      <c r="J342" t="s">
        <v>28</v>
      </c>
      <c r="K342">
        <v>91845</v>
      </c>
      <c r="L342" t="s">
        <v>33</v>
      </c>
      <c r="M342">
        <v>0.26</v>
      </c>
      <c r="N342">
        <v>0.59</v>
      </c>
      <c r="O342">
        <v>3410.73</v>
      </c>
      <c r="P342">
        <v>2992.03</v>
      </c>
      <c r="Q342">
        <f ca="1">DATEDIF(banking_loan_data[[#This Row],[Issue Date]],TODAY(),"M")</f>
        <v>29</v>
      </c>
      <c r="R342">
        <f t="shared" si="30"/>
        <v>22811.58</v>
      </c>
      <c r="S342">
        <f>+banking_loan_data[[#This Row],[Loan Amount]]+banking_loan_data[[#This Row],[Interest earned]]</f>
        <v>45853.58</v>
      </c>
      <c r="T342" s="2">
        <f t="shared" si="31"/>
        <v>-16639.239999999998</v>
      </c>
      <c r="U342" s="2">
        <f t="shared" si="32"/>
        <v>1</v>
      </c>
      <c r="V342" s="2" t="str">
        <f>IF(banking_loan_data[[#This Row],[Loan Status]]="FULLY PAID","GOOD",IF(banking_loan_data[[#This Row],[Loan Status]]="CURRENT","ACTIVE","BAD"))</f>
        <v>BAD</v>
      </c>
      <c r="W34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42" s="3">
        <f t="shared" si="33"/>
        <v>38019.300000000003</v>
      </c>
      <c r="Y342" s="4">
        <f t="shared" si="34"/>
        <v>-0.72212655151462535</v>
      </c>
      <c r="Z342" s="2" t="str">
        <f t="shared" si="35"/>
        <v>Normal</v>
      </c>
    </row>
    <row r="343" spans="1:26" x14ac:dyDescent="0.3">
      <c r="A343" t="s">
        <v>728</v>
      </c>
      <c r="B343" s="1">
        <v>44893</v>
      </c>
      <c r="C343" t="s">
        <v>729</v>
      </c>
      <c r="D343" t="s">
        <v>25</v>
      </c>
      <c r="E343">
        <v>29087</v>
      </c>
      <c r="F343">
        <v>11.4</v>
      </c>
      <c r="G343">
        <v>60</v>
      </c>
      <c r="H343" t="s">
        <v>26</v>
      </c>
      <c r="I343" t="s">
        <v>36</v>
      </c>
      <c r="J343" t="s">
        <v>32</v>
      </c>
      <c r="K343">
        <v>39941</v>
      </c>
      <c r="L343" t="s">
        <v>22</v>
      </c>
      <c r="M343">
        <v>0.28999999999999998</v>
      </c>
      <c r="N343">
        <v>0.93</v>
      </c>
      <c r="O343">
        <v>11759.78</v>
      </c>
      <c r="P343">
        <v>0</v>
      </c>
      <c r="Q343">
        <f ca="1">DATEDIF(banking_loan_data[[#This Row],[Issue Date]],TODAY(),"M")</f>
        <v>39</v>
      </c>
      <c r="R343">
        <f t="shared" si="30"/>
        <v>16579.59</v>
      </c>
      <c r="S343">
        <f>+banking_loan_data[[#This Row],[Loan Amount]]+banking_loan_data[[#This Row],[Interest earned]]</f>
        <v>45666.59</v>
      </c>
      <c r="T343" s="2">
        <f t="shared" si="31"/>
        <v>-17327.22</v>
      </c>
      <c r="U343" s="2">
        <f t="shared" si="32"/>
        <v>0</v>
      </c>
      <c r="V343" s="2" t="str">
        <f>IF(banking_loan_data[[#This Row],[Loan Status]]="FULLY PAID","GOOD",IF(banking_loan_data[[#This Row],[Loan Status]]="CURRENT","ACTIVE","BAD"))</f>
        <v>ACTIVE</v>
      </c>
      <c r="W34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43" s="3">
        <f t="shared" si="33"/>
        <v>27632.65</v>
      </c>
      <c r="Y343" s="4">
        <f t="shared" si="34"/>
        <v>-0.59570323512221957</v>
      </c>
      <c r="Z343" s="2" t="str">
        <f t="shared" si="35"/>
        <v>High Risk</v>
      </c>
    </row>
    <row r="344" spans="1:26" x14ac:dyDescent="0.3">
      <c r="A344" t="s">
        <v>730</v>
      </c>
      <c r="B344" s="1">
        <v>45289</v>
      </c>
      <c r="C344" t="s">
        <v>731</v>
      </c>
      <c r="D344" t="s">
        <v>53</v>
      </c>
      <c r="E344">
        <v>33347</v>
      </c>
      <c r="F344">
        <v>24.8</v>
      </c>
      <c r="G344">
        <v>36</v>
      </c>
      <c r="H344" t="s">
        <v>19</v>
      </c>
      <c r="I344" t="s">
        <v>84</v>
      </c>
      <c r="J344" t="s">
        <v>21</v>
      </c>
      <c r="K344">
        <v>91169</v>
      </c>
      <c r="L344" t="s">
        <v>29</v>
      </c>
      <c r="M344">
        <v>0.16</v>
      </c>
      <c r="N344">
        <v>0.65</v>
      </c>
      <c r="O344">
        <v>41617.06</v>
      </c>
      <c r="P344">
        <v>0</v>
      </c>
      <c r="Q344">
        <f ca="1">DATEDIF(banking_loan_data[[#This Row],[Issue Date]],TODAY(),"M")</f>
        <v>26</v>
      </c>
      <c r="R344">
        <f t="shared" si="30"/>
        <v>24810.168000000001</v>
      </c>
      <c r="S344">
        <f>+banking_loan_data[[#This Row],[Loan Amount]]+banking_loan_data[[#This Row],[Interest earned]]</f>
        <v>58157.168000000005</v>
      </c>
      <c r="T344" s="2">
        <f t="shared" si="31"/>
        <v>8270.0599999999977</v>
      </c>
      <c r="U344" s="2">
        <f t="shared" si="32"/>
        <v>0</v>
      </c>
      <c r="V344" s="2" t="str">
        <f>IF(banking_loan_data[[#This Row],[Loan Status]]="FULLY PAID","GOOD",IF(banking_loan_data[[#This Row],[Loan Status]]="CURRENT","ACTIVE","BAD"))</f>
        <v>GOOD</v>
      </c>
      <c r="W34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44" s="3">
        <f t="shared" si="33"/>
        <v>68917.133333333346</v>
      </c>
      <c r="Y344" s="4">
        <f t="shared" si="34"/>
        <v>0.24800011995082008</v>
      </c>
      <c r="Z344" s="2" t="str">
        <f t="shared" si="35"/>
        <v>Normal</v>
      </c>
    </row>
    <row r="345" spans="1:26" x14ac:dyDescent="0.3">
      <c r="A345" t="s">
        <v>732</v>
      </c>
      <c r="B345" s="1">
        <v>45267</v>
      </c>
      <c r="C345" t="s">
        <v>733</v>
      </c>
      <c r="D345" t="s">
        <v>72</v>
      </c>
      <c r="E345">
        <v>34756</v>
      </c>
      <c r="F345">
        <v>14.7</v>
      </c>
      <c r="G345">
        <v>60</v>
      </c>
      <c r="H345" t="s">
        <v>19</v>
      </c>
      <c r="I345" t="s">
        <v>41</v>
      </c>
      <c r="J345" t="s">
        <v>21</v>
      </c>
      <c r="K345">
        <v>53470</v>
      </c>
      <c r="L345" t="s">
        <v>33</v>
      </c>
      <c r="M345">
        <v>0.13</v>
      </c>
      <c r="N345">
        <v>0.94</v>
      </c>
      <c r="O345">
        <v>39865.129999999997</v>
      </c>
      <c r="P345">
        <v>0</v>
      </c>
      <c r="Q345">
        <f ca="1">DATEDIF(banking_loan_data[[#This Row],[Issue Date]],TODAY(),"M")</f>
        <v>27</v>
      </c>
      <c r="R345">
        <f t="shared" si="30"/>
        <v>25545.66</v>
      </c>
      <c r="S345">
        <f>+banking_loan_data[[#This Row],[Loan Amount]]+banking_loan_data[[#This Row],[Interest earned]]</f>
        <v>60301.66</v>
      </c>
      <c r="T345" s="2">
        <f t="shared" si="31"/>
        <v>5109.1299999999974</v>
      </c>
      <c r="U345" s="2">
        <f t="shared" si="32"/>
        <v>0</v>
      </c>
      <c r="V345" s="2" t="str">
        <f>IF(banking_loan_data[[#This Row],[Loan Status]]="FULLY PAID","GOOD",IF(banking_loan_data[[#This Row],[Loan Status]]="CURRENT","ACTIVE","BAD"))</f>
        <v>GOOD</v>
      </c>
      <c r="W34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45" s="3">
        <f t="shared" si="33"/>
        <v>42576.1</v>
      </c>
      <c r="Y345" s="4">
        <f t="shared" si="34"/>
        <v>0.14699994245597875</v>
      </c>
      <c r="Z345" s="2" t="str">
        <f t="shared" si="35"/>
        <v>High Risk</v>
      </c>
    </row>
    <row r="346" spans="1:26" x14ac:dyDescent="0.3">
      <c r="A346" t="s">
        <v>734</v>
      </c>
      <c r="B346" s="1">
        <v>45205</v>
      </c>
      <c r="C346" t="s">
        <v>735</v>
      </c>
      <c r="D346" t="s">
        <v>50</v>
      </c>
      <c r="E346">
        <v>17335</v>
      </c>
      <c r="F346">
        <v>7.4</v>
      </c>
      <c r="G346">
        <v>36</v>
      </c>
      <c r="H346" t="s">
        <v>19</v>
      </c>
      <c r="I346" t="s">
        <v>20</v>
      </c>
      <c r="J346" t="s">
        <v>47</v>
      </c>
      <c r="K346">
        <v>140684</v>
      </c>
      <c r="L346" t="s">
        <v>29</v>
      </c>
      <c r="M346">
        <v>0.43</v>
      </c>
      <c r="N346">
        <v>0.88</v>
      </c>
      <c r="O346">
        <v>18617.79</v>
      </c>
      <c r="P346">
        <v>0</v>
      </c>
      <c r="Q346">
        <f ca="1">DATEDIF(banking_loan_data[[#This Row],[Issue Date]],TODAY(),"M")</f>
        <v>29</v>
      </c>
      <c r="R346">
        <f t="shared" si="30"/>
        <v>3848.3700000000003</v>
      </c>
      <c r="S346">
        <f>+banking_loan_data[[#This Row],[Loan Amount]]+banking_loan_data[[#This Row],[Interest earned]]</f>
        <v>21183.37</v>
      </c>
      <c r="T346" s="2">
        <f t="shared" si="31"/>
        <v>1282.7900000000009</v>
      </c>
      <c r="U346" s="2">
        <f t="shared" si="32"/>
        <v>0</v>
      </c>
      <c r="V346" s="2" t="str">
        <f>IF(banking_loan_data[[#This Row],[Loan Status]]="FULLY PAID","GOOD",IF(banking_loan_data[[#This Row],[Loan Status]]="CURRENT","ACTIVE","BAD"))</f>
        <v>GOOD</v>
      </c>
      <c r="W34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46" s="3">
        <f t="shared" si="33"/>
        <v>10689.916996760121</v>
      </c>
      <c r="Y346" s="4">
        <f t="shared" si="34"/>
        <v>7.4000000000000052E-2</v>
      </c>
      <c r="Z346" s="2" t="str">
        <f t="shared" si="35"/>
        <v>High Risk</v>
      </c>
    </row>
    <row r="347" spans="1:26" x14ac:dyDescent="0.3">
      <c r="A347" t="s">
        <v>736</v>
      </c>
      <c r="B347" s="1">
        <v>44290</v>
      </c>
      <c r="C347" t="s">
        <v>737</v>
      </c>
      <c r="D347" t="s">
        <v>76</v>
      </c>
      <c r="E347">
        <v>29602</v>
      </c>
      <c r="F347">
        <v>19.5</v>
      </c>
      <c r="G347">
        <v>36</v>
      </c>
      <c r="H347" t="s">
        <v>19</v>
      </c>
      <c r="I347" t="s">
        <v>27</v>
      </c>
      <c r="J347" t="s">
        <v>47</v>
      </c>
      <c r="K347">
        <v>89821</v>
      </c>
      <c r="L347" t="s">
        <v>33</v>
      </c>
      <c r="M347">
        <v>0.49</v>
      </c>
      <c r="N347">
        <v>0.86</v>
      </c>
      <c r="O347">
        <v>35374.39</v>
      </c>
      <c r="P347">
        <v>0</v>
      </c>
      <c r="Q347">
        <f ca="1">DATEDIF(banking_loan_data[[#This Row],[Issue Date]],TODAY(),"M")</f>
        <v>59</v>
      </c>
      <c r="R347">
        <f t="shared" si="30"/>
        <v>17317.170000000002</v>
      </c>
      <c r="S347">
        <f>+banking_loan_data[[#This Row],[Loan Amount]]+banking_loan_data[[#This Row],[Interest earned]]</f>
        <v>46919.17</v>
      </c>
      <c r="T347" s="2">
        <f t="shared" si="31"/>
        <v>5772.3899999999994</v>
      </c>
      <c r="U347" s="2">
        <f t="shared" si="32"/>
        <v>0</v>
      </c>
      <c r="V347" s="2" t="str">
        <f>IF(banking_loan_data[[#This Row],[Loan Status]]="FULLY PAID","GOOD",IF(banking_loan_data[[#This Row],[Loan Status]]="CURRENT","ACTIVE","BAD"))</f>
        <v>GOOD</v>
      </c>
      <c r="W34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47" s="3">
        <f t="shared" si="33"/>
        <v>48103.250000000036</v>
      </c>
      <c r="Y347" s="4">
        <f t="shared" si="34"/>
        <v>0.19499999999999998</v>
      </c>
      <c r="Z347" s="2" t="str">
        <f t="shared" si="35"/>
        <v>High Risk</v>
      </c>
    </row>
    <row r="348" spans="1:26" x14ac:dyDescent="0.3">
      <c r="A348" t="s">
        <v>738</v>
      </c>
      <c r="B348" s="1">
        <v>45154</v>
      </c>
      <c r="C348" t="s">
        <v>739</v>
      </c>
      <c r="D348" t="s">
        <v>50</v>
      </c>
      <c r="E348">
        <v>35450</v>
      </c>
      <c r="F348">
        <v>11.5</v>
      </c>
      <c r="G348">
        <v>60</v>
      </c>
      <c r="H348" t="s">
        <v>19</v>
      </c>
      <c r="I348" t="s">
        <v>73</v>
      </c>
      <c r="J348" t="s">
        <v>47</v>
      </c>
      <c r="K348">
        <v>116669</v>
      </c>
      <c r="L348" t="s">
        <v>33</v>
      </c>
      <c r="M348">
        <v>0.26</v>
      </c>
      <c r="N348">
        <v>0.64</v>
      </c>
      <c r="O348">
        <v>39526.75</v>
      </c>
      <c r="P348">
        <v>0</v>
      </c>
      <c r="Q348">
        <f ca="1">DATEDIF(banking_loan_data[[#This Row],[Issue Date]],TODAY(),"M")</f>
        <v>31</v>
      </c>
      <c r="R348">
        <f t="shared" si="30"/>
        <v>20383.75</v>
      </c>
      <c r="S348">
        <f>+banking_loan_data[[#This Row],[Loan Amount]]+banking_loan_data[[#This Row],[Interest earned]]</f>
        <v>55833.75</v>
      </c>
      <c r="T348" s="2">
        <f t="shared" si="31"/>
        <v>4076.75</v>
      </c>
      <c r="U348" s="2">
        <f t="shared" si="32"/>
        <v>0</v>
      </c>
      <c r="V348" s="2" t="str">
        <f>IF(banking_loan_data[[#This Row],[Loan Status]]="FULLY PAID","GOOD",IF(banking_loan_data[[#This Row],[Loan Status]]="CURRENT","ACTIVE","BAD"))</f>
        <v>GOOD</v>
      </c>
      <c r="W34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348" s="3">
        <f t="shared" si="33"/>
        <v>33972.916666666672</v>
      </c>
      <c r="Y348" s="4">
        <f t="shared" si="34"/>
        <v>0.115</v>
      </c>
      <c r="Z348" s="2" t="str">
        <f t="shared" si="35"/>
        <v>Normal</v>
      </c>
    </row>
    <row r="349" spans="1:26" x14ac:dyDescent="0.3">
      <c r="A349" t="s">
        <v>740</v>
      </c>
      <c r="B349" s="1">
        <v>45208</v>
      </c>
      <c r="C349" t="s">
        <v>741</v>
      </c>
      <c r="D349" t="s">
        <v>56</v>
      </c>
      <c r="E349">
        <v>33196</v>
      </c>
      <c r="F349">
        <v>24.9</v>
      </c>
      <c r="G349">
        <v>36</v>
      </c>
      <c r="H349" t="s">
        <v>60</v>
      </c>
      <c r="I349" t="s">
        <v>57</v>
      </c>
      <c r="J349" t="s">
        <v>37</v>
      </c>
      <c r="K349">
        <v>148193</v>
      </c>
      <c r="L349" t="s">
        <v>22</v>
      </c>
      <c r="M349">
        <v>0.14000000000000001</v>
      </c>
      <c r="N349">
        <v>0.5</v>
      </c>
      <c r="O349">
        <v>0</v>
      </c>
      <c r="P349">
        <v>0</v>
      </c>
      <c r="Q349">
        <f ca="1">DATEDIF(banking_loan_data[[#This Row],[Issue Date]],TODAY(),"M")</f>
        <v>29</v>
      </c>
      <c r="R349">
        <f t="shared" si="30"/>
        <v>24797.411999999997</v>
      </c>
      <c r="S349">
        <f>+banking_loan_data[[#This Row],[Loan Amount]]+banking_loan_data[[#This Row],[Interest earned]]</f>
        <v>57993.411999999997</v>
      </c>
      <c r="T349" s="2">
        <f t="shared" si="31"/>
        <v>-33196</v>
      </c>
      <c r="U349" s="2">
        <f t="shared" si="32"/>
        <v>0</v>
      </c>
      <c r="V349" s="2" t="str">
        <f>IF(banking_loan_data[[#This Row],[Loan Status]]="FULLY PAID","GOOD",IF(banking_loan_data[[#This Row],[Loan Status]]="CURRENT","ACTIVE","BAD"))</f>
        <v>BAD</v>
      </c>
      <c r="W34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49" s="3">
        <f t="shared" si="33"/>
        <v>68881.7</v>
      </c>
      <c r="Y349" s="4">
        <f t="shared" si="34"/>
        <v>-1</v>
      </c>
      <c r="Z349" s="2" t="str">
        <f t="shared" si="35"/>
        <v>Normal</v>
      </c>
    </row>
    <row r="350" spans="1:26" x14ac:dyDescent="0.3">
      <c r="A350" t="s">
        <v>742</v>
      </c>
      <c r="B350" s="1">
        <v>44649</v>
      </c>
      <c r="C350" t="s">
        <v>743</v>
      </c>
      <c r="D350" t="s">
        <v>25</v>
      </c>
      <c r="E350">
        <v>6626</v>
      </c>
      <c r="F350">
        <v>24.6</v>
      </c>
      <c r="G350">
        <v>36</v>
      </c>
      <c r="H350" t="s">
        <v>81</v>
      </c>
      <c r="I350" t="s">
        <v>41</v>
      </c>
      <c r="J350" t="s">
        <v>21</v>
      </c>
      <c r="K350">
        <v>74435</v>
      </c>
      <c r="L350" t="s">
        <v>22</v>
      </c>
      <c r="M350">
        <v>0.13</v>
      </c>
      <c r="N350">
        <v>0.67</v>
      </c>
      <c r="O350">
        <v>2618.92</v>
      </c>
      <c r="P350">
        <v>2120.33</v>
      </c>
      <c r="Q350">
        <f ca="1">DATEDIF(banking_loan_data[[#This Row],[Issue Date]],TODAY(),"M")</f>
        <v>47</v>
      </c>
      <c r="R350">
        <f t="shared" si="30"/>
        <v>4889.9880000000003</v>
      </c>
      <c r="S350">
        <f>+banking_loan_data[[#This Row],[Loan Amount]]+banking_loan_data[[#This Row],[Interest earned]]</f>
        <v>11515.988000000001</v>
      </c>
      <c r="T350" s="2">
        <f t="shared" si="31"/>
        <v>-1886.75</v>
      </c>
      <c r="U350" s="2">
        <f t="shared" si="32"/>
        <v>1</v>
      </c>
      <c r="V350" s="2" t="str">
        <f>IF(banking_loan_data[[#This Row],[Loan Status]]="FULLY PAID","GOOD",IF(banking_loan_data[[#This Row],[Loan Status]]="CURRENT","ACTIVE","BAD"))</f>
        <v>BAD</v>
      </c>
      <c r="W35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50" s="3">
        <f t="shared" si="33"/>
        <v>13583.300000000001</v>
      </c>
      <c r="Y350" s="4">
        <f t="shared" si="34"/>
        <v>-0.28474947177784488</v>
      </c>
      <c r="Z350" s="2" t="str">
        <f t="shared" si="35"/>
        <v>Normal</v>
      </c>
    </row>
    <row r="351" spans="1:26" x14ac:dyDescent="0.3">
      <c r="A351" t="s">
        <v>744</v>
      </c>
      <c r="B351" s="1">
        <v>45108</v>
      </c>
      <c r="C351" t="s">
        <v>745</v>
      </c>
      <c r="D351" t="s">
        <v>40</v>
      </c>
      <c r="E351">
        <v>8424</v>
      </c>
      <c r="F351">
        <v>18.100000000000001</v>
      </c>
      <c r="G351">
        <v>36</v>
      </c>
      <c r="H351" t="s">
        <v>81</v>
      </c>
      <c r="I351" t="s">
        <v>36</v>
      </c>
      <c r="J351" t="s">
        <v>47</v>
      </c>
      <c r="K351">
        <v>34529</v>
      </c>
      <c r="L351" t="s">
        <v>33</v>
      </c>
      <c r="M351">
        <v>0.46</v>
      </c>
      <c r="N351">
        <v>0.64</v>
      </c>
      <c r="O351">
        <v>892.7</v>
      </c>
      <c r="P351">
        <v>1919.6</v>
      </c>
      <c r="Q351">
        <f ca="1">DATEDIF(banking_loan_data[[#This Row],[Issue Date]],TODAY(),"M")</f>
        <v>32</v>
      </c>
      <c r="R351">
        <f t="shared" si="30"/>
        <v>4574.2320000000009</v>
      </c>
      <c r="S351">
        <f>+banking_loan_data[[#This Row],[Loan Amount]]+banking_loan_data[[#This Row],[Interest earned]]</f>
        <v>12998.232</v>
      </c>
      <c r="T351" s="2">
        <f t="shared" si="31"/>
        <v>-5611.7</v>
      </c>
      <c r="U351" s="2">
        <f t="shared" si="32"/>
        <v>1</v>
      </c>
      <c r="V351" s="2" t="str">
        <f>IF(banking_loan_data[[#This Row],[Loan Status]]="FULLY PAID","GOOD",IF(banking_loan_data[[#This Row],[Loan Status]]="CURRENT","ACTIVE","BAD"))</f>
        <v>BAD</v>
      </c>
      <c r="W35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51" s="3">
        <f t="shared" si="33"/>
        <v>12706.200000000057</v>
      </c>
      <c r="Y351" s="4">
        <f t="shared" si="34"/>
        <v>-0.66615622032288702</v>
      </c>
      <c r="Z351" s="2" t="str">
        <f t="shared" si="35"/>
        <v>High Risk</v>
      </c>
    </row>
    <row r="352" spans="1:26" x14ac:dyDescent="0.3">
      <c r="A352" t="s">
        <v>746</v>
      </c>
      <c r="B352" s="1">
        <v>44414</v>
      </c>
      <c r="C352" t="s">
        <v>747</v>
      </c>
      <c r="D352" t="s">
        <v>72</v>
      </c>
      <c r="E352">
        <v>13857</v>
      </c>
      <c r="F352">
        <v>7.6</v>
      </c>
      <c r="G352">
        <v>60</v>
      </c>
      <c r="H352" t="s">
        <v>19</v>
      </c>
      <c r="I352" t="s">
        <v>20</v>
      </c>
      <c r="J352" t="s">
        <v>28</v>
      </c>
      <c r="K352">
        <v>113055</v>
      </c>
      <c r="L352" t="s">
        <v>29</v>
      </c>
      <c r="M352">
        <v>0.28999999999999998</v>
      </c>
      <c r="N352">
        <v>0.52</v>
      </c>
      <c r="O352">
        <v>14910.13</v>
      </c>
      <c r="P352">
        <v>0</v>
      </c>
      <c r="Q352">
        <f ca="1">DATEDIF(banking_loan_data[[#This Row],[Issue Date]],TODAY(),"M")</f>
        <v>55</v>
      </c>
      <c r="R352">
        <f t="shared" si="30"/>
        <v>5265.6600000000008</v>
      </c>
      <c r="S352">
        <f>+banking_loan_data[[#This Row],[Loan Amount]]+banking_loan_data[[#This Row],[Interest earned]]</f>
        <v>19122.66</v>
      </c>
      <c r="T352" s="2">
        <f t="shared" si="31"/>
        <v>1053.1299999999992</v>
      </c>
      <c r="U352" s="2">
        <f t="shared" si="32"/>
        <v>0</v>
      </c>
      <c r="V352" s="2" t="str">
        <f>IF(banking_loan_data[[#This Row],[Loan Status]]="FULLY PAID","GOOD",IF(banking_loan_data[[#This Row],[Loan Status]]="CURRENT","ACTIVE","BAD"))</f>
        <v>GOOD</v>
      </c>
      <c r="W35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52" s="3">
        <f t="shared" si="33"/>
        <v>8776.100000001441</v>
      </c>
      <c r="Y352" s="4">
        <f t="shared" si="34"/>
        <v>7.5999855668615085E-2</v>
      </c>
      <c r="Z352" s="2" t="str">
        <f t="shared" si="35"/>
        <v>Normal</v>
      </c>
    </row>
    <row r="353" spans="1:26" x14ac:dyDescent="0.3">
      <c r="A353" t="s">
        <v>748</v>
      </c>
      <c r="B353" s="1">
        <v>44670</v>
      </c>
      <c r="C353" t="s">
        <v>749</v>
      </c>
      <c r="D353" t="s">
        <v>25</v>
      </c>
      <c r="E353">
        <v>20982</v>
      </c>
      <c r="F353">
        <v>18.7</v>
      </c>
      <c r="G353">
        <v>36</v>
      </c>
      <c r="H353" t="s">
        <v>26</v>
      </c>
      <c r="I353" t="s">
        <v>20</v>
      </c>
      <c r="J353" t="s">
        <v>37</v>
      </c>
      <c r="K353">
        <v>42192</v>
      </c>
      <c r="L353" t="s">
        <v>29</v>
      </c>
      <c r="M353">
        <v>0.23</v>
      </c>
      <c r="N353">
        <v>0.73</v>
      </c>
      <c r="O353">
        <v>7649.25</v>
      </c>
      <c r="P353">
        <v>0</v>
      </c>
      <c r="Q353">
        <f ca="1">DATEDIF(banking_loan_data[[#This Row],[Issue Date]],TODAY(),"M")</f>
        <v>47</v>
      </c>
      <c r="R353">
        <f t="shared" si="30"/>
        <v>11770.902</v>
      </c>
      <c r="S353">
        <f>+banking_loan_data[[#This Row],[Loan Amount]]+banking_loan_data[[#This Row],[Interest earned]]</f>
        <v>32752.902000000002</v>
      </c>
      <c r="T353" s="2">
        <f t="shared" si="31"/>
        <v>-13332.75</v>
      </c>
      <c r="U353" s="2">
        <f t="shared" si="32"/>
        <v>0</v>
      </c>
      <c r="V353" s="2" t="str">
        <f>IF(banking_loan_data[[#This Row],[Loan Status]]="FULLY PAID","GOOD",IF(banking_loan_data[[#This Row],[Loan Status]]="CURRENT","ACTIVE","BAD"))</f>
        <v>ACTIVE</v>
      </c>
      <c r="W35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53" s="3">
        <f t="shared" si="33"/>
        <v>32696.95000000007</v>
      </c>
      <c r="Y353" s="4">
        <f t="shared" si="34"/>
        <v>-0.63543751787246217</v>
      </c>
      <c r="Z353" s="2" t="str">
        <f t="shared" si="35"/>
        <v>Normal</v>
      </c>
    </row>
    <row r="354" spans="1:26" x14ac:dyDescent="0.3">
      <c r="A354" t="s">
        <v>750</v>
      </c>
      <c r="B354" s="1">
        <v>44628</v>
      </c>
      <c r="C354" t="s">
        <v>751</v>
      </c>
      <c r="D354" t="s">
        <v>18</v>
      </c>
      <c r="E354">
        <v>12425</v>
      </c>
      <c r="F354">
        <v>6.9</v>
      </c>
      <c r="G354">
        <v>36</v>
      </c>
      <c r="H354" t="s">
        <v>81</v>
      </c>
      <c r="I354" t="s">
        <v>27</v>
      </c>
      <c r="J354" t="s">
        <v>32</v>
      </c>
      <c r="K354">
        <v>104102</v>
      </c>
      <c r="L354" t="s">
        <v>22</v>
      </c>
      <c r="M354">
        <v>0.28999999999999998</v>
      </c>
      <c r="N354">
        <v>0.68</v>
      </c>
      <c r="O354">
        <v>2185.23</v>
      </c>
      <c r="P354">
        <v>5996.91</v>
      </c>
      <c r="Q354">
        <f ca="1">DATEDIF(banking_loan_data[[#This Row],[Issue Date]],TODAY(),"M")</f>
        <v>48</v>
      </c>
      <c r="R354">
        <f t="shared" si="30"/>
        <v>2571.9749999999999</v>
      </c>
      <c r="S354">
        <f>+banking_loan_data[[#This Row],[Loan Amount]]+banking_loan_data[[#This Row],[Interest earned]]</f>
        <v>14996.975</v>
      </c>
      <c r="T354" s="2">
        <f t="shared" si="31"/>
        <v>-4242.8600000000006</v>
      </c>
      <c r="U354" s="2">
        <f t="shared" si="32"/>
        <v>1</v>
      </c>
      <c r="V354" s="2" t="str">
        <f>IF(banking_loan_data[[#This Row],[Loan Status]]="FULLY PAID","GOOD",IF(banking_loan_data[[#This Row],[Loan Status]]="CURRENT","ACTIVE","BAD"))</f>
        <v>BAD</v>
      </c>
      <c r="W35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54" s="3">
        <f t="shared" si="33"/>
        <v>7144.3755647603311</v>
      </c>
      <c r="Y354" s="4">
        <f t="shared" si="34"/>
        <v>-0.3414776659959759</v>
      </c>
      <c r="Z354" s="2" t="str">
        <f t="shared" si="35"/>
        <v>Normal</v>
      </c>
    </row>
    <row r="355" spans="1:26" x14ac:dyDescent="0.3">
      <c r="A355" t="s">
        <v>752</v>
      </c>
      <c r="B355" s="1">
        <v>44537</v>
      </c>
      <c r="C355" t="s">
        <v>753</v>
      </c>
      <c r="D355" t="s">
        <v>65</v>
      </c>
      <c r="E355">
        <v>2980</v>
      </c>
      <c r="F355">
        <v>5.6</v>
      </c>
      <c r="G355">
        <v>60</v>
      </c>
      <c r="H355" t="s">
        <v>81</v>
      </c>
      <c r="I355" t="s">
        <v>73</v>
      </c>
      <c r="J355" t="s">
        <v>21</v>
      </c>
      <c r="K355">
        <v>102762</v>
      </c>
      <c r="L355" t="s">
        <v>33</v>
      </c>
      <c r="M355">
        <v>0.23</v>
      </c>
      <c r="N355">
        <v>0.79</v>
      </c>
      <c r="O355">
        <v>334.2</v>
      </c>
      <c r="P355">
        <v>420.5</v>
      </c>
      <c r="Q355">
        <f ca="1">DATEDIF(banking_loan_data[[#This Row],[Issue Date]],TODAY(),"M")</f>
        <v>51</v>
      </c>
      <c r="R355">
        <f t="shared" si="30"/>
        <v>834.4</v>
      </c>
      <c r="S355">
        <f>+banking_loan_data[[#This Row],[Loan Amount]]+banking_loan_data[[#This Row],[Interest earned]]</f>
        <v>3814.4</v>
      </c>
      <c r="T355" s="2">
        <f t="shared" si="31"/>
        <v>-2225.3000000000002</v>
      </c>
      <c r="U355" s="2">
        <f t="shared" si="32"/>
        <v>1</v>
      </c>
      <c r="V355" s="2" t="str">
        <f>IF(banking_loan_data[[#This Row],[Loan Status]]="FULLY PAID","GOOD",IF(banking_loan_data[[#This Row],[Loan Status]]="CURRENT","ACTIVE","BAD"))</f>
        <v>BAD</v>
      </c>
      <c r="W35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355" s="3">
        <f t="shared" si="33"/>
        <v>1390.6666668123257</v>
      </c>
      <c r="Y355" s="4">
        <f t="shared" si="34"/>
        <v>-0.74674496644295307</v>
      </c>
      <c r="Z355" s="2" t="str">
        <f t="shared" si="35"/>
        <v>Normal</v>
      </c>
    </row>
    <row r="356" spans="1:26" x14ac:dyDescent="0.3">
      <c r="A356" t="s">
        <v>754</v>
      </c>
      <c r="B356" s="1">
        <v>44747</v>
      </c>
      <c r="C356" t="s">
        <v>755</v>
      </c>
      <c r="D356" t="s">
        <v>18</v>
      </c>
      <c r="E356">
        <v>27431</v>
      </c>
      <c r="F356">
        <v>21.5</v>
      </c>
      <c r="G356">
        <v>36</v>
      </c>
      <c r="H356" t="s">
        <v>19</v>
      </c>
      <c r="I356" t="s">
        <v>36</v>
      </c>
      <c r="J356" t="s">
        <v>21</v>
      </c>
      <c r="K356">
        <v>133466</v>
      </c>
      <c r="L356" t="s">
        <v>22</v>
      </c>
      <c r="M356">
        <v>0.3</v>
      </c>
      <c r="N356">
        <v>0.78</v>
      </c>
      <c r="O356">
        <v>33328.660000000003</v>
      </c>
      <c r="P356">
        <v>0</v>
      </c>
      <c r="Q356">
        <f ca="1">DATEDIF(banking_loan_data[[#This Row],[Issue Date]],TODAY(),"M")</f>
        <v>44</v>
      </c>
      <c r="R356">
        <f t="shared" si="30"/>
        <v>17692.994999999999</v>
      </c>
      <c r="S356">
        <f>+banking_loan_data[[#This Row],[Loan Amount]]+banking_loan_data[[#This Row],[Interest earned]]</f>
        <v>45123.994999999995</v>
      </c>
      <c r="T356" s="2">
        <f t="shared" si="31"/>
        <v>5897.6600000000035</v>
      </c>
      <c r="U356" s="2">
        <f t="shared" si="32"/>
        <v>0</v>
      </c>
      <c r="V356" s="2" t="str">
        <f>IF(banking_loan_data[[#This Row],[Loan Status]]="FULLY PAID","GOOD",IF(banking_loan_data[[#This Row],[Loan Status]]="CURRENT","ACTIVE","BAD"))</f>
        <v>GOOD</v>
      </c>
      <c r="W35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56" s="3">
        <f t="shared" si="33"/>
        <v>49147.208333333343</v>
      </c>
      <c r="Y356" s="4">
        <f t="shared" si="34"/>
        <v>0.21499981772447244</v>
      </c>
      <c r="Z356" s="2" t="str">
        <f t="shared" si="35"/>
        <v>Normal</v>
      </c>
    </row>
    <row r="357" spans="1:26" x14ac:dyDescent="0.3">
      <c r="A357" t="s">
        <v>756</v>
      </c>
      <c r="B357" s="1">
        <v>44553</v>
      </c>
      <c r="C357" t="s">
        <v>757</v>
      </c>
      <c r="D357" t="s">
        <v>65</v>
      </c>
      <c r="E357">
        <v>20440</v>
      </c>
      <c r="F357">
        <v>9.1999999999999993</v>
      </c>
      <c r="G357">
        <v>36</v>
      </c>
      <c r="H357" t="s">
        <v>19</v>
      </c>
      <c r="I357" t="s">
        <v>20</v>
      </c>
      <c r="J357" t="s">
        <v>28</v>
      </c>
      <c r="K357">
        <v>144894</v>
      </c>
      <c r="L357" t="s">
        <v>33</v>
      </c>
      <c r="M357">
        <v>0.44</v>
      </c>
      <c r="N357">
        <v>0.55000000000000004</v>
      </c>
      <c r="O357">
        <v>22320.48</v>
      </c>
      <c r="P357">
        <v>0</v>
      </c>
      <c r="Q357">
        <f ca="1">DATEDIF(banking_loan_data[[#This Row],[Issue Date]],TODAY(),"M")</f>
        <v>50</v>
      </c>
      <c r="R357">
        <f t="shared" si="30"/>
        <v>5641.44</v>
      </c>
      <c r="S357">
        <f>+banking_loan_data[[#This Row],[Loan Amount]]+banking_loan_data[[#This Row],[Interest earned]]</f>
        <v>26081.439999999999</v>
      </c>
      <c r="T357" s="2">
        <f t="shared" si="31"/>
        <v>1880.4799999999996</v>
      </c>
      <c r="U357" s="2">
        <f t="shared" si="32"/>
        <v>0</v>
      </c>
      <c r="V357" s="2" t="str">
        <f>IF(banking_loan_data[[#This Row],[Loan Status]]="FULLY PAID","GOOD",IF(banking_loan_data[[#This Row],[Loan Status]]="CURRENT","ACTIVE","BAD"))</f>
        <v>GOOD</v>
      </c>
      <c r="W35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57" s="3">
        <f t="shared" si="33"/>
        <v>15670.666686505736</v>
      </c>
      <c r="Y357" s="4">
        <f t="shared" si="34"/>
        <v>9.1999999999999985E-2</v>
      </c>
      <c r="Z357" s="2" t="str">
        <f t="shared" si="35"/>
        <v>High Risk</v>
      </c>
    </row>
    <row r="358" spans="1:26" x14ac:dyDescent="0.3">
      <c r="A358" t="s">
        <v>758</v>
      </c>
      <c r="B358" s="1">
        <v>44219</v>
      </c>
      <c r="C358" t="s">
        <v>759</v>
      </c>
      <c r="D358" t="s">
        <v>56</v>
      </c>
      <c r="E358">
        <v>18175</v>
      </c>
      <c r="F358">
        <v>12.6</v>
      </c>
      <c r="G358">
        <v>60</v>
      </c>
      <c r="H358" t="s">
        <v>19</v>
      </c>
      <c r="I358" t="s">
        <v>20</v>
      </c>
      <c r="J358" t="s">
        <v>32</v>
      </c>
      <c r="K358">
        <v>116795</v>
      </c>
      <c r="L358" t="s">
        <v>33</v>
      </c>
      <c r="M358">
        <v>0.34</v>
      </c>
      <c r="N358">
        <v>0.94</v>
      </c>
      <c r="O358">
        <v>20465.05</v>
      </c>
      <c r="P358">
        <v>0</v>
      </c>
      <c r="Q358">
        <f ca="1">DATEDIF(banking_loan_data[[#This Row],[Issue Date]],TODAY(),"M")</f>
        <v>61</v>
      </c>
      <c r="R358">
        <f t="shared" si="30"/>
        <v>11450.25</v>
      </c>
      <c r="S358">
        <f>+banking_loan_data[[#This Row],[Loan Amount]]+banking_loan_data[[#This Row],[Interest earned]]</f>
        <v>29625.25</v>
      </c>
      <c r="T358" s="2">
        <f t="shared" si="31"/>
        <v>2290.0499999999993</v>
      </c>
      <c r="U358" s="2">
        <f t="shared" si="32"/>
        <v>0</v>
      </c>
      <c r="V358" s="2" t="str">
        <f>IF(banking_loan_data[[#This Row],[Loan Status]]="FULLY PAID","GOOD",IF(banking_loan_data[[#This Row],[Loan Status]]="CURRENT","ACTIVE","BAD"))</f>
        <v>GOOD</v>
      </c>
      <c r="W35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58" s="3">
        <f t="shared" si="33"/>
        <v>19083.75</v>
      </c>
      <c r="Y358" s="4">
        <f t="shared" si="34"/>
        <v>0.12599999999999997</v>
      </c>
      <c r="Z358" s="2" t="str">
        <f t="shared" si="35"/>
        <v>High Risk</v>
      </c>
    </row>
    <row r="359" spans="1:26" x14ac:dyDescent="0.3">
      <c r="A359" t="s">
        <v>760</v>
      </c>
      <c r="B359" s="1">
        <v>44718</v>
      </c>
      <c r="C359" t="s">
        <v>761</v>
      </c>
      <c r="D359" t="s">
        <v>25</v>
      </c>
      <c r="E359">
        <v>27385</v>
      </c>
      <c r="F359">
        <v>24.5</v>
      </c>
      <c r="G359">
        <v>36</v>
      </c>
      <c r="H359" t="s">
        <v>26</v>
      </c>
      <c r="I359" t="s">
        <v>57</v>
      </c>
      <c r="J359" t="s">
        <v>32</v>
      </c>
      <c r="K359">
        <v>64087</v>
      </c>
      <c r="L359" t="s">
        <v>22</v>
      </c>
      <c r="M359">
        <v>0.38</v>
      </c>
      <c r="N359">
        <v>0.57999999999999996</v>
      </c>
      <c r="O359">
        <v>6334.16</v>
      </c>
      <c r="P359">
        <v>0</v>
      </c>
      <c r="Q359">
        <f ca="1">DATEDIF(banking_loan_data[[#This Row],[Issue Date]],TODAY(),"M")</f>
        <v>45</v>
      </c>
      <c r="R359">
        <f t="shared" si="30"/>
        <v>20127.974999999999</v>
      </c>
      <c r="S359">
        <f>+banking_loan_data[[#This Row],[Loan Amount]]+banking_loan_data[[#This Row],[Interest earned]]</f>
        <v>47512.974999999999</v>
      </c>
      <c r="T359" s="2">
        <f t="shared" si="31"/>
        <v>-21050.84</v>
      </c>
      <c r="U359" s="2">
        <f t="shared" si="32"/>
        <v>0</v>
      </c>
      <c r="V359" s="2" t="str">
        <f>IF(banking_loan_data[[#This Row],[Loan Status]]="FULLY PAID","GOOD",IF(banking_loan_data[[#This Row],[Loan Status]]="CURRENT","ACTIVE","BAD"))</f>
        <v>ACTIVE</v>
      </c>
      <c r="W35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59" s="3">
        <f t="shared" si="33"/>
        <v>55911.041666666664</v>
      </c>
      <c r="Y359" s="4">
        <f t="shared" si="34"/>
        <v>-0.76869965309475996</v>
      </c>
      <c r="Z359" s="2" t="str">
        <f t="shared" si="35"/>
        <v>Normal</v>
      </c>
    </row>
    <row r="360" spans="1:26" x14ac:dyDescent="0.3">
      <c r="A360" t="s">
        <v>762</v>
      </c>
      <c r="B360" s="1">
        <v>44998</v>
      </c>
      <c r="C360" t="s">
        <v>763</v>
      </c>
      <c r="D360" t="s">
        <v>76</v>
      </c>
      <c r="E360">
        <v>39158</v>
      </c>
      <c r="F360">
        <v>11.7</v>
      </c>
      <c r="G360">
        <v>36</v>
      </c>
      <c r="H360" t="s">
        <v>26</v>
      </c>
      <c r="I360" t="s">
        <v>20</v>
      </c>
      <c r="J360" t="s">
        <v>37</v>
      </c>
      <c r="K360">
        <v>96677</v>
      </c>
      <c r="L360" t="s">
        <v>29</v>
      </c>
      <c r="M360">
        <v>0.25</v>
      </c>
      <c r="N360">
        <v>0.7</v>
      </c>
      <c r="O360">
        <v>18437.47</v>
      </c>
      <c r="P360">
        <v>0</v>
      </c>
      <c r="Q360">
        <f ca="1">DATEDIF(banking_loan_data[[#This Row],[Issue Date]],TODAY(),"M")</f>
        <v>36</v>
      </c>
      <c r="R360">
        <f t="shared" si="30"/>
        <v>13744.457999999999</v>
      </c>
      <c r="S360">
        <f>+banking_loan_data[[#This Row],[Loan Amount]]+banking_loan_data[[#This Row],[Interest earned]]</f>
        <v>52902.457999999999</v>
      </c>
      <c r="T360" s="2">
        <f t="shared" si="31"/>
        <v>-20720.53</v>
      </c>
      <c r="U360" s="2">
        <f t="shared" si="32"/>
        <v>0</v>
      </c>
      <c r="V360" s="2" t="str">
        <f>IF(banking_loan_data[[#This Row],[Loan Status]]="FULLY PAID","GOOD",IF(banking_loan_data[[#This Row],[Loan Status]]="CURRENT","ACTIVE","BAD"))</f>
        <v>ACTIVE</v>
      </c>
      <c r="W36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60" s="3">
        <f t="shared" si="33"/>
        <v>38179.050000873794</v>
      </c>
      <c r="Y360" s="4">
        <f t="shared" si="34"/>
        <v>-0.52915189744113589</v>
      </c>
      <c r="Z360" s="2" t="str">
        <f t="shared" si="35"/>
        <v>Normal</v>
      </c>
    </row>
    <row r="361" spans="1:26" x14ac:dyDescent="0.3">
      <c r="A361" t="s">
        <v>764</v>
      </c>
      <c r="B361" s="1">
        <v>44958</v>
      </c>
      <c r="C361" t="s">
        <v>765</v>
      </c>
      <c r="D361" t="s">
        <v>46</v>
      </c>
      <c r="E361">
        <v>24019</v>
      </c>
      <c r="F361">
        <v>10.9</v>
      </c>
      <c r="G361">
        <v>36</v>
      </c>
      <c r="H361" t="s">
        <v>26</v>
      </c>
      <c r="I361" t="s">
        <v>20</v>
      </c>
      <c r="J361" t="s">
        <v>21</v>
      </c>
      <c r="K361">
        <v>34627</v>
      </c>
      <c r="L361" t="s">
        <v>22</v>
      </c>
      <c r="M361">
        <v>0.4</v>
      </c>
      <c r="N361">
        <v>0.72</v>
      </c>
      <c r="O361">
        <v>1328.11</v>
      </c>
      <c r="P361">
        <v>0</v>
      </c>
      <c r="Q361">
        <f ca="1">DATEDIF(banking_loan_data[[#This Row],[Issue Date]],TODAY(),"M")</f>
        <v>37</v>
      </c>
      <c r="R361">
        <f t="shared" si="30"/>
        <v>7854.2129999999997</v>
      </c>
      <c r="S361">
        <f>+banking_loan_data[[#This Row],[Loan Amount]]+banking_loan_data[[#This Row],[Interest earned]]</f>
        <v>31873.213</v>
      </c>
      <c r="T361" s="2">
        <f t="shared" si="31"/>
        <v>-22690.89</v>
      </c>
      <c r="U361" s="2">
        <f t="shared" si="32"/>
        <v>0</v>
      </c>
      <c r="V361" s="2" t="str">
        <f>IF(banking_loan_data[[#This Row],[Loan Status]]="FULLY PAID","GOOD",IF(banking_loan_data[[#This Row],[Loan Status]]="CURRENT","ACTIVE","BAD"))</f>
        <v>ACTIVE</v>
      </c>
      <c r="W36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61" s="3">
        <f t="shared" si="33"/>
        <v>21817.258335052225</v>
      </c>
      <c r="Y361" s="4">
        <f t="shared" si="34"/>
        <v>-0.94470585786252548</v>
      </c>
      <c r="Z361" s="2" t="str">
        <f t="shared" si="35"/>
        <v>Normal</v>
      </c>
    </row>
    <row r="362" spans="1:26" x14ac:dyDescent="0.3">
      <c r="A362" t="s">
        <v>766</v>
      </c>
      <c r="B362" s="1">
        <v>44638</v>
      </c>
      <c r="C362" t="s">
        <v>767</v>
      </c>
      <c r="D362" t="s">
        <v>50</v>
      </c>
      <c r="E362">
        <v>19639</v>
      </c>
      <c r="F362">
        <v>23.4</v>
      </c>
      <c r="G362">
        <v>36</v>
      </c>
      <c r="H362" t="s">
        <v>19</v>
      </c>
      <c r="I362" t="s">
        <v>36</v>
      </c>
      <c r="J362" t="s">
        <v>47</v>
      </c>
      <c r="K362">
        <v>86541</v>
      </c>
      <c r="L362" t="s">
        <v>33</v>
      </c>
      <c r="M362">
        <v>0.37</v>
      </c>
      <c r="N362">
        <v>0.87</v>
      </c>
      <c r="O362">
        <v>24234.53</v>
      </c>
      <c r="P362">
        <v>0</v>
      </c>
      <c r="Q362">
        <f ca="1">DATEDIF(banking_loan_data[[#This Row],[Issue Date]],TODAY(),"M")</f>
        <v>48</v>
      </c>
      <c r="R362">
        <f t="shared" si="30"/>
        <v>13786.578</v>
      </c>
      <c r="S362">
        <f>+banking_loan_data[[#This Row],[Loan Amount]]+banking_loan_data[[#This Row],[Interest earned]]</f>
        <v>33425.578000000001</v>
      </c>
      <c r="T362" s="2">
        <f t="shared" si="31"/>
        <v>4595.5299999999988</v>
      </c>
      <c r="U362" s="2">
        <f t="shared" si="32"/>
        <v>0</v>
      </c>
      <c r="V362" s="2" t="str">
        <f>IF(banking_loan_data[[#This Row],[Loan Status]]="FULLY PAID","GOOD",IF(banking_loan_data[[#This Row],[Loan Status]]="CURRENT","ACTIVE","BAD"))</f>
        <v>GOOD</v>
      </c>
      <c r="W36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62" s="3">
        <f t="shared" si="33"/>
        <v>38296.049999999996</v>
      </c>
      <c r="Y362" s="4">
        <f t="shared" si="34"/>
        <v>0.23400020367635821</v>
      </c>
      <c r="Z362" s="2" t="str">
        <f t="shared" si="35"/>
        <v>High Risk</v>
      </c>
    </row>
    <row r="363" spans="1:26" x14ac:dyDescent="0.3">
      <c r="A363" t="s">
        <v>768</v>
      </c>
      <c r="B363" s="1">
        <v>44965</v>
      </c>
      <c r="C363" t="s">
        <v>769</v>
      </c>
      <c r="D363" t="s">
        <v>46</v>
      </c>
      <c r="E363">
        <v>20994</v>
      </c>
      <c r="F363">
        <v>7.2</v>
      </c>
      <c r="G363">
        <v>36</v>
      </c>
      <c r="H363" t="s">
        <v>19</v>
      </c>
      <c r="I363" t="s">
        <v>57</v>
      </c>
      <c r="J363" t="s">
        <v>28</v>
      </c>
      <c r="K363">
        <v>142805</v>
      </c>
      <c r="L363" t="s">
        <v>22</v>
      </c>
      <c r="M363">
        <v>0.15</v>
      </c>
      <c r="N363">
        <v>0.54</v>
      </c>
      <c r="O363">
        <v>22505.57</v>
      </c>
      <c r="P363">
        <v>0</v>
      </c>
      <c r="Q363">
        <f ca="1">DATEDIF(banking_loan_data[[#This Row],[Issue Date]],TODAY(),"M")</f>
        <v>37</v>
      </c>
      <c r="R363">
        <f t="shared" si="30"/>
        <v>4534.7040000000006</v>
      </c>
      <c r="S363">
        <f>+banking_loan_data[[#This Row],[Loan Amount]]+banking_loan_data[[#This Row],[Interest earned]]</f>
        <v>25528.704000000002</v>
      </c>
      <c r="T363" s="2">
        <f t="shared" si="31"/>
        <v>1511.5699999999997</v>
      </c>
      <c r="U363" s="2">
        <f t="shared" si="32"/>
        <v>0</v>
      </c>
      <c r="V363" s="2" t="str">
        <f>IF(banking_loan_data[[#This Row],[Loan Status]]="FULLY PAID","GOOD",IF(banking_loan_data[[#This Row],[Loan Status]]="CURRENT","ACTIVE","BAD"))</f>
        <v>GOOD</v>
      </c>
      <c r="W36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63" s="3">
        <f t="shared" si="33"/>
        <v>12596.400564842135</v>
      </c>
      <c r="Y363" s="4">
        <f t="shared" si="34"/>
        <v>7.2000095265313882E-2</v>
      </c>
      <c r="Z363" s="2" t="str">
        <f t="shared" si="35"/>
        <v>Normal</v>
      </c>
    </row>
    <row r="364" spans="1:26" x14ac:dyDescent="0.3">
      <c r="A364" t="s">
        <v>770</v>
      </c>
      <c r="B364" s="1">
        <v>45212</v>
      </c>
      <c r="C364" t="s">
        <v>771</v>
      </c>
      <c r="D364" t="s">
        <v>25</v>
      </c>
      <c r="E364">
        <v>35375</v>
      </c>
      <c r="F364">
        <v>20.2</v>
      </c>
      <c r="G364">
        <v>60</v>
      </c>
      <c r="H364" t="s">
        <v>19</v>
      </c>
      <c r="I364" t="s">
        <v>57</v>
      </c>
      <c r="J364" t="s">
        <v>28</v>
      </c>
      <c r="K364">
        <v>98226</v>
      </c>
      <c r="L364" t="s">
        <v>29</v>
      </c>
      <c r="M364">
        <v>0.33</v>
      </c>
      <c r="N364">
        <v>0.69</v>
      </c>
      <c r="O364">
        <v>42520.75</v>
      </c>
      <c r="P364">
        <v>0</v>
      </c>
      <c r="Q364">
        <f ca="1">DATEDIF(banking_loan_data[[#This Row],[Issue Date]],TODAY(),"M")</f>
        <v>29</v>
      </c>
      <c r="R364">
        <f t="shared" si="30"/>
        <v>35728.75</v>
      </c>
      <c r="S364">
        <f>+banking_loan_data[[#This Row],[Loan Amount]]+banking_loan_data[[#This Row],[Interest earned]]</f>
        <v>71103.75</v>
      </c>
      <c r="T364" s="2">
        <f t="shared" si="31"/>
        <v>7145.75</v>
      </c>
      <c r="U364" s="2">
        <f t="shared" si="32"/>
        <v>0</v>
      </c>
      <c r="V364" s="2" t="str">
        <f>IF(banking_loan_data[[#This Row],[Loan Status]]="FULLY PAID","GOOD",IF(banking_loan_data[[#This Row],[Loan Status]]="CURRENT","ACTIVE","BAD"))</f>
        <v>GOOD</v>
      </c>
      <c r="W36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64" s="3">
        <f t="shared" si="33"/>
        <v>59547.916666666664</v>
      </c>
      <c r="Y364" s="4">
        <f t="shared" si="34"/>
        <v>0.20200000000000001</v>
      </c>
      <c r="Z364" s="2" t="str">
        <f t="shared" si="35"/>
        <v>Normal</v>
      </c>
    </row>
    <row r="365" spans="1:26" x14ac:dyDescent="0.3">
      <c r="A365" t="s">
        <v>772</v>
      </c>
      <c r="B365" s="1">
        <v>44712</v>
      </c>
      <c r="C365" t="s">
        <v>773</v>
      </c>
      <c r="D365" t="s">
        <v>18</v>
      </c>
      <c r="E365">
        <v>22563</v>
      </c>
      <c r="F365">
        <v>24.8</v>
      </c>
      <c r="G365">
        <v>60</v>
      </c>
      <c r="H365" t="s">
        <v>19</v>
      </c>
      <c r="I365" t="s">
        <v>20</v>
      </c>
      <c r="J365" t="s">
        <v>28</v>
      </c>
      <c r="K365">
        <v>135627</v>
      </c>
      <c r="L365" t="s">
        <v>29</v>
      </c>
      <c r="M365">
        <v>0.2</v>
      </c>
      <c r="N365">
        <v>0.78</v>
      </c>
      <c r="O365">
        <v>28158.62</v>
      </c>
      <c r="P365">
        <v>0</v>
      </c>
      <c r="Q365">
        <f ca="1">DATEDIF(banking_loan_data[[#This Row],[Issue Date]],TODAY(),"M")</f>
        <v>45</v>
      </c>
      <c r="R365">
        <f t="shared" si="30"/>
        <v>27978.12</v>
      </c>
      <c r="S365">
        <f>+banking_loan_data[[#This Row],[Loan Amount]]+banking_loan_data[[#This Row],[Interest earned]]</f>
        <v>50541.119999999995</v>
      </c>
      <c r="T365" s="2">
        <f t="shared" si="31"/>
        <v>5595.619999999999</v>
      </c>
      <c r="U365" s="2">
        <f t="shared" si="32"/>
        <v>0</v>
      </c>
      <c r="V365" s="2" t="str">
        <f>IF(banking_loan_data[[#This Row],[Loan Status]]="FULLY PAID","GOOD",IF(banking_loan_data[[#This Row],[Loan Status]]="CURRENT","ACTIVE","BAD"))</f>
        <v>GOOD</v>
      </c>
      <c r="W36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65" s="3">
        <f t="shared" si="33"/>
        <v>46630.200000000004</v>
      </c>
      <c r="Y365" s="4">
        <f t="shared" si="34"/>
        <v>0.24799982271861007</v>
      </c>
      <c r="Z365" s="2" t="str">
        <f t="shared" si="35"/>
        <v>Normal</v>
      </c>
    </row>
    <row r="366" spans="1:26" x14ac:dyDescent="0.3">
      <c r="A366" t="s">
        <v>774</v>
      </c>
      <c r="B366" s="1">
        <v>45236</v>
      </c>
      <c r="C366" t="s">
        <v>775</v>
      </c>
      <c r="D366" t="s">
        <v>46</v>
      </c>
      <c r="E366">
        <v>6776</v>
      </c>
      <c r="F366">
        <v>23</v>
      </c>
      <c r="G366">
        <v>60</v>
      </c>
      <c r="H366" t="s">
        <v>19</v>
      </c>
      <c r="I366" t="s">
        <v>57</v>
      </c>
      <c r="J366" t="s">
        <v>28</v>
      </c>
      <c r="K366">
        <v>33255</v>
      </c>
      <c r="L366" t="s">
        <v>33</v>
      </c>
      <c r="M366">
        <v>0.42</v>
      </c>
      <c r="N366">
        <v>0.6</v>
      </c>
      <c r="O366">
        <v>8334.48</v>
      </c>
      <c r="P366">
        <v>0</v>
      </c>
      <c r="Q366">
        <f ca="1">DATEDIF(banking_loan_data[[#This Row],[Issue Date]],TODAY(),"M")</f>
        <v>28</v>
      </c>
      <c r="R366">
        <f t="shared" si="30"/>
        <v>7792.4000000000005</v>
      </c>
      <c r="S366">
        <f>+banking_loan_data[[#This Row],[Loan Amount]]+banking_loan_data[[#This Row],[Interest earned]]</f>
        <v>14568.400000000001</v>
      </c>
      <c r="T366" s="2">
        <f t="shared" si="31"/>
        <v>1558.4799999999996</v>
      </c>
      <c r="U366" s="2">
        <f t="shared" si="32"/>
        <v>0</v>
      </c>
      <c r="V366" s="2" t="str">
        <f>IF(banking_loan_data[[#This Row],[Loan Status]]="FULLY PAID","GOOD",IF(banking_loan_data[[#This Row],[Loan Status]]="CURRENT","ACTIVE","BAD"))</f>
        <v>GOOD</v>
      </c>
      <c r="W36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66" s="3">
        <f t="shared" si="33"/>
        <v>12987.333333333334</v>
      </c>
      <c r="Y366" s="4">
        <f t="shared" si="34"/>
        <v>0.22999999999999993</v>
      </c>
      <c r="Z366" s="2" t="str">
        <f t="shared" si="35"/>
        <v>High Risk</v>
      </c>
    </row>
    <row r="367" spans="1:26" x14ac:dyDescent="0.3">
      <c r="A367" t="s">
        <v>776</v>
      </c>
      <c r="B367" s="1">
        <v>44988</v>
      </c>
      <c r="C367" t="s">
        <v>777</v>
      </c>
      <c r="D367" t="s">
        <v>53</v>
      </c>
      <c r="E367">
        <v>37444</v>
      </c>
      <c r="F367">
        <v>18</v>
      </c>
      <c r="G367">
        <v>60</v>
      </c>
      <c r="H367" t="s">
        <v>26</v>
      </c>
      <c r="I367" t="s">
        <v>84</v>
      </c>
      <c r="J367" t="s">
        <v>47</v>
      </c>
      <c r="K367">
        <v>87433</v>
      </c>
      <c r="L367" t="s">
        <v>22</v>
      </c>
      <c r="M367">
        <v>0.27</v>
      </c>
      <c r="N367">
        <v>0.78</v>
      </c>
      <c r="O367">
        <v>11777.96</v>
      </c>
      <c r="P367">
        <v>0</v>
      </c>
      <c r="Q367">
        <f ca="1">DATEDIF(banking_loan_data[[#This Row],[Issue Date]],TODAY(),"M")</f>
        <v>36</v>
      </c>
      <c r="R367">
        <f t="shared" si="30"/>
        <v>33699.599999999999</v>
      </c>
      <c r="S367">
        <f>+banking_loan_data[[#This Row],[Loan Amount]]+banking_loan_data[[#This Row],[Interest earned]]</f>
        <v>71143.600000000006</v>
      </c>
      <c r="T367" s="2">
        <f t="shared" si="31"/>
        <v>-25666.04</v>
      </c>
      <c r="U367" s="2">
        <f t="shared" si="32"/>
        <v>0</v>
      </c>
      <c r="V367" s="2" t="str">
        <f>IF(banking_loan_data[[#This Row],[Loan Status]]="FULLY PAID","GOOD",IF(banking_loan_data[[#This Row],[Loan Status]]="CURRENT","ACTIVE","BAD"))</f>
        <v>ACTIVE</v>
      </c>
      <c r="W36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67" s="3">
        <f t="shared" si="33"/>
        <v>56166</v>
      </c>
      <c r="Y367" s="4">
        <f t="shared" si="34"/>
        <v>-0.68545134066873203</v>
      </c>
      <c r="Z367" s="2" t="str">
        <f t="shared" si="35"/>
        <v>Normal</v>
      </c>
    </row>
    <row r="368" spans="1:26" x14ac:dyDescent="0.3">
      <c r="A368" t="s">
        <v>778</v>
      </c>
      <c r="B368" s="1">
        <v>44532</v>
      </c>
      <c r="C368" t="s">
        <v>779</v>
      </c>
      <c r="D368" t="s">
        <v>46</v>
      </c>
      <c r="E368">
        <v>4380</v>
      </c>
      <c r="F368">
        <v>11.3</v>
      </c>
      <c r="G368">
        <v>36</v>
      </c>
      <c r="H368" t="s">
        <v>19</v>
      </c>
      <c r="I368" t="s">
        <v>73</v>
      </c>
      <c r="J368" t="s">
        <v>47</v>
      </c>
      <c r="K368">
        <v>35213</v>
      </c>
      <c r="L368" t="s">
        <v>29</v>
      </c>
      <c r="M368">
        <v>0.5</v>
      </c>
      <c r="N368">
        <v>0.92</v>
      </c>
      <c r="O368">
        <v>4874.9399999999996</v>
      </c>
      <c r="P368">
        <v>0</v>
      </c>
      <c r="Q368">
        <f ca="1">DATEDIF(banking_loan_data[[#This Row],[Issue Date]],TODAY(),"M")</f>
        <v>51</v>
      </c>
      <c r="R368">
        <f t="shared" si="30"/>
        <v>1484.82</v>
      </c>
      <c r="S368">
        <f>+banking_loan_data[[#This Row],[Loan Amount]]+banking_loan_data[[#This Row],[Interest earned]]</f>
        <v>5864.82</v>
      </c>
      <c r="T368" s="2">
        <f t="shared" si="31"/>
        <v>494.9399999999996</v>
      </c>
      <c r="U368" s="2">
        <f t="shared" si="32"/>
        <v>0</v>
      </c>
      <c r="V368" s="2" t="str">
        <f>IF(banking_loan_data[[#This Row],[Loan Status]]="FULLY PAID","GOOD",IF(banking_loan_data[[#This Row],[Loan Status]]="CURRENT","ACTIVE","BAD"))</f>
        <v>GOOD</v>
      </c>
      <c r="W36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368" s="3">
        <f t="shared" si="33"/>
        <v>4124.5000001742146</v>
      </c>
      <c r="Y368" s="4">
        <f t="shared" si="34"/>
        <v>0.11299999999999991</v>
      </c>
      <c r="Z368" s="2" t="str">
        <f t="shared" si="35"/>
        <v>High Risk</v>
      </c>
    </row>
    <row r="369" spans="1:26" x14ac:dyDescent="0.3">
      <c r="A369" t="s">
        <v>780</v>
      </c>
      <c r="B369" s="1">
        <v>44454</v>
      </c>
      <c r="C369" t="s">
        <v>781</v>
      </c>
      <c r="D369" t="s">
        <v>65</v>
      </c>
      <c r="E369">
        <v>9711</v>
      </c>
      <c r="F369">
        <v>10.1</v>
      </c>
      <c r="G369">
        <v>36</v>
      </c>
      <c r="H369" t="s">
        <v>26</v>
      </c>
      <c r="I369" t="s">
        <v>27</v>
      </c>
      <c r="J369" t="s">
        <v>37</v>
      </c>
      <c r="K369">
        <v>132412</v>
      </c>
      <c r="L369" t="s">
        <v>22</v>
      </c>
      <c r="M369">
        <v>0.14000000000000001</v>
      </c>
      <c r="N369">
        <v>0.95</v>
      </c>
      <c r="O369">
        <v>2676.63</v>
      </c>
      <c r="P369">
        <v>0</v>
      </c>
      <c r="Q369">
        <f ca="1">DATEDIF(banking_loan_data[[#This Row],[Issue Date]],TODAY(),"M")</f>
        <v>54</v>
      </c>
      <c r="R369">
        <f t="shared" si="30"/>
        <v>2942.4329999999995</v>
      </c>
      <c r="S369">
        <f>+banking_loan_data[[#This Row],[Loan Amount]]+banking_loan_data[[#This Row],[Interest earned]]</f>
        <v>12653.432999999999</v>
      </c>
      <c r="T369" s="2">
        <f t="shared" si="31"/>
        <v>-7034.37</v>
      </c>
      <c r="U369" s="2">
        <f t="shared" si="32"/>
        <v>0</v>
      </c>
      <c r="V369" s="2" t="str">
        <f>IF(banking_loan_data[[#This Row],[Loan Status]]="FULLY PAID","GOOD",IF(banking_loan_data[[#This Row],[Loan Status]]="CURRENT","ACTIVE","BAD"))</f>
        <v>ACTIVE</v>
      </c>
      <c r="W36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69" s="3">
        <f t="shared" si="33"/>
        <v>8173.4250023163659</v>
      </c>
      <c r="Y369" s="4">
        <f t="shared" si="34"/>
        <v>-0.72437133147976518</v>
      </c>
      <c r="Z369" s="2" t="str">
        <f t="shared" si="35"/>
        <v>High Risk</v>
      </c>
    </row>
    <row r="370" spans="1:26" x14ac:dyDescent="0.3">
      <c r="A370" t="s">
        <v>782</v>
      </c>
      <c r="B370" s="1">
        <v>44693</v>
      </c>
      <c r="C370" t="s">
        <v>783</v>
      </c>
      <c r="D370" t="s">
        <v>53</v>
      </c>
      <c r="E370">
        <v>9782</v>
      </c>
      <c r="F370">
        <v>21.4</v>
      </c>
      <c r="G370">
        <v>36</v>
      </c>
      <c r="H370" t="s">
        <v>19</v>
      </c>
      <c r="I370" t="s">
        <v>57</v>
      </c>
      <c r="J370" t="s">
        <v>21</v>
      </c>
      <c r="K370">
        <v>49404</v>
      </c>
      <c r="L370" t="s">
        <v>29</v>
      </c>
      <c r="M370">
        <v>0.41</v>
      </c>
      <c r="N370">
        <v>0.51</v>
      </c>
      <c r="O370">
        <v>11875.35</v>
      </c>
      <c r="P370">
        <v>0</v>
      </c>
      <c r="Q370">
        <f ca="1">DATEDIF(banking_loan_data[[#This Row],[Issue Date]],TODAY(),"M")</f>
        <v>46</v>
      </c>
      <c r="R370">
        <f t="shared" si="30"/>
        <v>6280.043999999999</v>
      </c>
      <c r="S370">
        <f>+banking_loan_data[[#This Row],[Loan Amount]]+banking_loan_data[[#This Row],[Interest earned]]</f>
        <v>16062.043999999998</v>
      </c>
      <c r="T370" s="2">
        <f t="shared" si="31"/>
        <v>2093.3500000000004</v>
      </c>
      <c r="U370" s="2">
        <f t="shared" si="32"/>
        <v>0</v>
      </c>
      <c r="V370" s="2" t="str">
        <f>IF(banking_loan_data[[#This Row],[Loan Status]]="FULLY PAID","GOOD",IF(banking_loan_data[[#This Row],[Loan Status]]="CURRENT","ACTIVE","BAD"))</f>
        <v>GOOD</v>
      </c>
      <c r="W37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70" s="3">
        <f t="shared" si="33"/>
        <v>17444.566666666669</v>
      </c>
      <c r="Y370" s="4">
        <f t="shared" si="34"/>
        <v>0.21400020445716625</v>
      </c>
      <c r="Z370" s="2" t="str">
        <f t="shared" si="35"/>
        <v>High Risk</v>
      </c>
    </row>
    <row r="371" spans="1:26" x14ac:dyDescent="0.3">
      <c r="A371" t="s">
        <v>784</v>
      </c>
      <c r="B371" s="1">
        <v>45092</v>
      </c>
      <c r="C371" t="s">
        <v>785</v>
      </c>
      <c r="D371" t="s">
        <v>72</v>
      </c>
      <c r="E371">
        <v>18434</v>
      </c>
      <c r="F371">
        <v>22.6</v>
      </c>
      <c r="G371">
        <v>36</v>
      </c>
      <c r="H371" t="s">
        <v>19</v>
      </c>
      <c r="I371" t="s">
        <v>57</v>
      </c>
      <c r="J371" t="s">
        <v>47</v>
      </c>
      <c r="K371">
        <v>146545</v>
      </c>
      <c r="L371" t="s">
        <v>33</v>
      </c>
      <c r="M371">
        <v>0.37</v>
      </c>
      <c r="N371">
        <v>0.61</v>
      </c>
      <c r="O371">
        <v>22600.080000000002</v>
      </c>
      <c r="P371">
        <v>0</v>
      </c>
      <c r="Q371">
        <f ca="1">DATEDIF(banking_loan_data[[#This Row],[Issue Date]],TODAY(),"M")</f>
        <v>33</v>
      </c>
      <c r="R371">
        <f t="shared" si="30"/>
        <v>12498.252</v>
      </c>
      <c r="S371">
        <f>+banking_loan_data[[#This Row],[Loan Amount]]+banking_loan_data[[#This Row],[Interest earned]]</f>
        <v>30932.252</v>
      </c>
      <c r="T371" s="2">
        <f t="shared" si="31"/>
        <v>4166.0800000000017</v>
      </c>
      <c r="U371" s="2">
        <f t="shared" si="32"/>
        <v>0</v>
      </c>
      <c r="V371" s="2" t="str">
        <f>IF(banking_loan_data[[#This Row],[Loan Status]]="FULLY PAID","GOOD",IF(banking_loan_data[[#This Row],[Loan Status]]="CURRENT","ACTIVE","BAD"))</f>
        <v>GOOD</v>
      </c>
      <c r="W37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71" s="3">
        <f t="shared" si="33"/>
        <v>34717.366666666669</v>
      </c>
      <c r="Y371" s="4">
        <f t="shared" si="34"/>
        <v>0.22599978300965617</v>
      </c>
      <c r="Z371" s="2" t="str">
        <f t="shared" si="35"/>
        <v>Normal</v>
      </c>
    </row>
    <row r="372" spans="1:26" x14ac:dyDescent="0.3">
      <c r="A372" t="s">
        <v>786</v>
      </c>
      <c r="B372" s="1">
        <v>44356</v>
      </c>
      <c r="C372" t="s">
        <v>787</v>
      </c>
      <c r="D372" t="s">
        <v>46</v>
      </c>
      <c r="E372">
        <v>21017</v>
      </c>
      <c r="F372">
        <v>15.5</v>
      </c>
      <c r="G372">
        <v>36</v>
      </c>
      <c r="H372" t="s">
        <v>19</v>
      </c>
      <c r="I372" t="s">
        <v>73</v>
      </c>
      <c r="J372" t="s">
        <v>37</v>
      </c>
      <c r="K372">
        <v>55380</v>
      </c>
      <c r="L372" t="s">
        <v>33</v>
      </c>
      <c r="M372">
        <v>0.41</v>
      </c>
      <c r="N372">
        <v>0.64</v>
      </c>
      <c r="O372">
        <v>24274.639999999999</v>
      </c>
      <c r="P372">
        <v>0</v>
      </c>
      <c r="Q372">
        <f ca="1">DATEDIF(banking_loan_data[[#This Row],[Issue Date]],TODAY(),"M")</f>
        <v>57</v>
      </c>
      <c r="R372">
        <f t="shared" si="30"/>
        <v>9772.9050000000007</v>
      </c>
      <c r="S372">
        <f>+banking_loan_data[[#This Row],[Loan Amount]]+banking_loan_data[[#This Row],[Interest earned]]</f>
        <v>30789.904999999999</v>
      </c>
      <c r="T372" s="2">
        <f t="shared" si="31"/>
        <v>3257.6399999999994</v>
      </c>
      <c r="U372" s="2">
        <f t="shared" si="32"/>
        <v>0</v>
      </c>
      <c r="V372" s="2" t="str">
        <f>IF(banking_loan_data[[#This Row],[Loan Status]]="FULLY PAID","GOOD",IF(banking_loan_data[[#This Row],[Loan Status]]="CURRENT","ACTIVE","BAD"))</f>
        <v>GOOD</v>
      </c>
      <c r="W37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372" s="3">
        <f t="shared" si="33"/>
        <v>27146.958333336272</v>
      </c>
      <c r="Y372" s="4">
        <f t="shared" si="34"/>
        <v>0.15500023790265022</v>
      </c>
      <c r="Z372" s="2" t="str">
        <f t="shared" si="35"/>
        <v>High Risk</v>
      </c>
    </row>
    <row r="373" spans="1:26" x14ac:dyDescent="0.3">
      <c r="A373" t="s">
        <v>788</v>
      </c>
      <c r="B373" s="1">
        <v>45048</v>
      </c>
      <c r="C373" t="s">
        <v>789</v>
      </c>
      <c r="D373" t="s">
        <v>53</v>
      </c>
      <c r="E373">
        <v>31707</v>
      </c>
      <c r="F373">
        <v>9.9</v>
      </c>
      <c r="G373">
        <v>60</v>
      </c>
      <c r="H373" t="s">
        <v>81</v>
      </c>
      <c r="I373" t="s">
        <v>57</v>
      </c>
      <c r="J373" t="s">
        <v>32</v>
      </c>
      <c r="K373">
        <v>121056</v>
      </c>
      <c r="L373" t="s">
        <v>22</v>
      </c>
      <c r="M373">
        <v>0.22</v>
      </c>
      <c r="N373">
        <v>0.68</v>
      </c>
      <c r="O373">
        <v>11478.42</v>
      </c>
      <c r="P373">
        <v>11714.89</v>
      </c>
      <c r="Q373">
        <f ca="1">DATEDIF(banking_loan_data[[#This Row],[Issue Date]],TODAY(),"M")</f>
        <v>34</v>
      </c>
      <c r="R373">
        <f t="shared" si="30"/>
        <v>15694.964999999998</v>
      </c>
      <c r="S373">
        <f>+banking_loan_data[[#This Row],[Loan Amount]]+banking_loan_data[[#This Row],[Interest earned]]</f>
        <v>47401.964999999997</v>
      </c>
      <c r="T373" s="2">
        <f t="shared" si="31"/>
        <v>-8513.6900000000023</v>
      </c>
      <c r="U373" s="2">
        <f t="shared" si="32"/>
        <v>1</v>
      </c>
      <c r="V373" s="2" t="str">
        <f>IF(banking_loan_data[[#This Row],[Loan Status]]="FULLY PAID","GOOD",IF(banking_loan_data[[#This Row],[Loan Status]]="CURRENT","ACTIVE","BAD"))</f>
        <v>BAD</v>
      </c>
      <c r="W37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73" s="3">
        <f t="shared" si="33"/>
        <v>26158.275000000009</v>
      </c>
      <c r="Y373" s="4">
        <f t="shared" si="34"/>
        <v>-0.26851136972908196</v>
      </c>
      <c r="Z373" s="2" t="str">
        <f t="shared" si="35"/>
        <v>Normal</v>
      </c>
    </row>
    <row r="374" spans="1:26" x14ac:dyDescent="0.3">
      <c r="A374" t="s">
        <v>790</v>
      </c>
      <c r="B374" s="1">
        <v>44886</v>
      </c>
      <c r="C374" t="s">
        <v>791</v>
      </c>
      <c r="D374" t="s">
        <v>25</v>
      </c>
      <c r="E374">
        <v>18343</v>
      </c>
      <c r="F374">
        <v>7.3</v>
      </c>
      <c r="G374">
        <v>60</v>
      </c>
      <c r="H374" t="s">
        <v>19</v>
      </c>
      <c r="I374" t="s">
        <v>84</v>
      </c>
      <c r="J374" t="s">
        <v>21</v>
      </c>
      <c r="K374">
        <v>49173</v>
      </c>
      <c r="L374" t="s">
        <v>33</v>
      </c>
      <c r="M374">
        <v>0.3</v>
      </c>
      <c r="N374">
        <v>0.61</v>
      </c>
      <c r="O374">
        <v>19682.04</v>
      </c>
      <c r="P374">
        <v>0</v>
      </c>
      <c r="Q374">
        <f ca="1">DATEDIF(banking_loan_data[[#This Row],[Issue Date]],TODAY(),"M")</f>
        <v>39</v>
      </c>
      <c r="R374">
        <f t="shared" si="30"/>
        <v>6695.1949999999997</v>
      </c>
      <c r="S374">
        <f>+banking_loan_data[[#This Row],[Loan Amount]]+banking_loan_data[[#This Row],[Interest earned]]</f>
        <v>25038.195</v>
      </c>
      <c r="T374" s="2">
        <f t="shared" si="31"/>
        <v>1339.0400000000009</v>
      </c>
      <c r="U374" s="2">
        <f t="shared" si="32"/>
        <v>0</v>
      </c>
      <c r="V374" s="2" t="str">
        <f>IF(banking_loan_data[[#This Row],[Loan Status]]="FULLY PAID","GOOD",IF(banking_loan_data[[#This Row],[Loan Status]]="CURRENT","ACTIVE","BAD"))</f>
        <v>GOOD</v>
      </c>
      <c r="W37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74" s="3">
        <f t="shared" si="33"/>
        <v>11158.658333337959</v>
      </c>
      <c r="Y374" s="4">
        <f t="shared" si="34"/>
        <v>7.300005451670942E-2</v>
      </c>
      <c r="Z374" s="2" t="str">
        <f t="shared" si="35"/>
        <v>Normal</v>
      </c>
    </row>
    <row r="375" spans="1:26" x14ac:dyDescent="0.3">
      <c r="A375" t="s">
        <v>792</v>
      </c>
      <c r="B375" s="1">
        <v>44576</v>
      </c>
      <c r="C375" t="s">
        <v>793</v>
      </c>
      <c r="D375" t="s">
        <v>50</v>
      </c>
      <c r="E375">
        <v>39827</v>
      </c>
      <c r="F375">
        <v>6.7</v>
      </c>
      <c r="G375">
        <v>36</v>
      </c>
      <c r="H375" t="s">
        <v>26</v>
      </c>
      <c r="I375" t="s">
        <v>57</v>
      </c>
      <c r="J375" t="s">
        <v>47</v>
      </c>
      <c r="K375">
        <v>83027</v>
      </c>
      <c r="L375" t="s">
        <v>29</v>
      </c>
      <c r="M375">
        <v>0.42</v>
      </c>
      <c r="N375">
        <v>0.59</v>
      </c>
      <c r="O375">
        <v>3496.84</v>
      </c>
      <c r="P375">
        <v>0</v>
      </c>
      <c r="Q375">
        <f ca="1">DATEDIF(banking_loan_data[[#This Row],[Issue Date]],TODAY(),"M")</f>
        <v>50</v>
      </c>
      <c r="R375">
        <f t="shared" si="30"/>
        <v>8005.2269999999999</v>
      </c>
      <c r="S375">
        <f>+banking_loan_data[[#This Row],[Loan Amount]]+banking_loan_data[[#This Row],[Interest earned]]</f>
        <v>47832.226999999999</v>
      </c>
      <c r="T375" s="2">
        <f t="shared" si="31"/>
        <v>-36330.160000000003</v>
      </c>
      <c r="U375" s="2">
        <f t="shared" si="32"/>
        <v>0</v>
      </c>
      <c r="V375" s="2" t="str">
        <f>IF(banking_loan_data[[#This Row],[Loan Status]]="FULLY PAID","GOOD",IF(banking_loan_data[[#This Row],[Loan Status]]="CURRENT","ACTIVE","BAD"))</f>
        <v>ACTIVE</v>
      </c>
      <c r="W37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75" s="3">
        <f t="shared" si="33"/>
        <v>22236.744244757552</v>
      </c>
      <c r="Y375" s="4">
        <f t="shared" si="34"/>
        <v>-0.9121992618073167</v>
      </c>
      <c r="Z375" s="2" t="str">
        <f t="shared" si="35"/>
        <v>High Risk</v>
      </c>
    </row>
    <row r="376" spans="1:26" x14ac:dyDescent="0.3">
      <c r="A376" t="s">
        <v>794</v>
      </c>
      <c r="B376" s="1">
        <v>45153</v>
      </c>
      <c r="C376" t="s">
        <v>795</v>
      </c>
      <c r="D376" t="s">
        <v>72</v>
      </c>
      <c r="E376">
        <v>6655</v>
      </c>
      <c r="F376">
        <v>19.399999999999999</v>
      </c>
      <c r="G376">
        <v>36</v>
      </c>
      <c r="H376" t="s">
        <v>19</v>
      </c>
      <c r="I376" t="s">
        <v>27</v>
      </c>
      <c r="J376" t="s">
        <v>32</v>
      </c>
      <c r="K376">
        <v>53989</v>
      </c>
      <c r="L376" t="s">
        <v>33</v>
      </c>
      <c r="M376">
        <v>0.19</v>
      </c>
      <c r="N376">
        <v>0.93</v>
      </c>
      <c r="O376">
        <v>7946.07</v>
      </c>
      <c r="P376">
        <v>0</v>
      </c>
      <c r="Q376">
        <f ca="1">DATEDIF(banking_loan_data[[#This Row],[Issue Date]],TODAY(),"M")</f>
        <v>31</v>
      </c>
      <c r="R376">
        <f t="shared" si="30"/>
        <v>3873.2099999999996</v>
      </c>
      <c r="S376">
        <f>+banking_loan_data[[#This Row],[Loan Amount]]+banking_loan_data[[#This Row],[Interest earned]]</f>
        <v>10528.21</v>
      </c>
      <c r="T376" s="2">
        <f t="shared" si="31"/>
        <v>1291.0699999999997</v>
      </c>
      <c r="U376" s="2">
        <f t="shared" si="32"/>
        <v>0</v>
      </c>
      <c r="V376" s="2" t="str">
        <f>IF(banking_loan_data[[#This Row],[Loan Status]]="FULLY PAID","GOOD",IF(banking_loan_data[[#This Row],[Loan Status]]="CURRENT","ACTIVE","BAD"))</f>
        <v>GOOD</v>
      </c>
      <c r="W37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76" s="3">
        <f t="shared" si="33"/>
        <v>10758.916666666673</v>
      </c>
      <c r="Y376" s="4">
        <f t="shared" si="34"/>
        <v>0.19399999999999995</v>
      </c>
      <c r="Z376" s="2" t="str">
        <f t="shared" si="35"/>
        <v>High Risk</v>
      </c>
    </row>
    <row r="377" spans="1:26" x14ac:dyDescent="0.3">
      <c r="A377" t="s">
        <v>796</v>
      </c>
      <c r="B377" s="1">
        <v>44887</v>
      </c>
      <c r="C377" t="s">
        <v>797</v>
      </c>
      <c r="D377" t="s">
        <v>76</v>
      </c>
      <c r="E377">
        <v>16251</v>
      </c>
      <c r="F377">
        <v>13.4</v>
      </c>
      <c r="G377">
        <v>36</v>
      </c>
      <c r="H377" t="s">
        <v>81</v>
      </c>
      <c r="I377" t="s">
        <v>20</v>
      </c>
      <c r="J377" t="s">
        <v>37</v>
      </c>
      <c r="K377">
        <v>138106</v>
      </c>
      <c r="L377" t="s">
        <v>29</v>
      </c>
      <c r="M377">
        <v>0.19</v>
      </c>
      <c r="N377">
        <v>0.91</v>
      </c>
      <c r="O377">
        <v>4947.74</v>
      </c>
      <c r="P377">
        <v>1644.69</v>
      </c>
      <c r="Q377">
        <f ca="1">DATEDIF(banking_loan_data[[#This Row],[Issue Date]],TODAY(),"M")</f>
        <v>39</v>
      </c>
      <c r="R377">
        <f t="shared" si="30"/>
        <v>6532.9019999999991</v>
      </c>
      <c r="S377">
        <f>+banking_loan_data[[#This Row],[Loan Amount]]+banking_loan_data[[#This Row],[Interest earned]]</f>
        <v>22783.901999999998</v>
      </c>
      <c r="T377" s="2">
        <f t="shared" si="31"/>
        <v>-9658.57</v>
      </c>
      <c r="U377" s="2">
        <f t="shared" si="32"/>
        <v>1</v>
      </c>
      <c r="V377" s="2" t="str">
        <f>IF(banking_loan_data[[#This Row],[Loan Status]]="FULLY PAID","GOOD",IF(banking_loan_data[[#This Row],[Loan Status]]="CURRENT","ACTIVE","BAD"))</f>
        <v>BAD</v>
      </c>
      <c r="W37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77" s="3">
        <f t="shared" si="33"/>
        <v>18146.950000034303</v>
      </c>
      <c r="Y377" s="4">
        <f t="shared" si="34"/>
        <v>-0.59433696387914592</v>
      </c>
      <c r="Z377" s="2" t="str">
        <f t="shared" si="35"/>
        <v>High Risk</v>
      </c>
    </row>
    <row r="378" spans="1:26" x14ac:dyDescent="0.3">
      <c r="A378" t="s">
        <v>798</v>
      </c>
      <c r="B378" s="1">
        <v>45263</v>
      </c>
      <c r="C378" t="s">
        <v>799</v>
      </c>
      <c r="D378" t="s">
        <v>76</v>
      </c>
      <c r="E378">
        <v>1526</v>
      </c>
      <c r="F378">
        <v>23.1</v>
      </c>
      <c r="G378">
        <v>60</v>
      </c>
      <c r="H378" t="s">
        <v>26</v>
      </c>
      <c r="I378" t="s">
        <v>27</v>
      </c>
      <c r="J378" t="s">
        <v>47</v>
      </c>
      <c r="K378">
        <v>54519</v>
      </c>
      <c r="L378" t="s">
        <v>29</v>
      </c>
      <c r="M378">
        <v>0.32</v>
      </c>
      <c r="N378">
        <v>0.52</v>
      </c>
      <c r="O378">
        <v>543.33000000000004</v>
      </c>
      <c r="P378">
        <v>0</v>
      </c>
      <c r="Q378">
        <f ca="1">DATEDIF(banking_loan_data[[#This Row],[Issue Date]],TODAY(),"M")</f>
        <v>27</v>
      </c>
      <c r="R378">
        <f t="shared" si="30"/>
        <v>1762.5299999999997</v>
      </c>
      <c r="S378">
        <f>+banking_loan_data[[#This Row],[Loan Amount]]+banking_loan_data[[#This Row],[Interest earned]]</f>
        <v>3288.5299999999997</v>
      </c>
      <c r="T378" s="2">
        <f t="shared" si="31"/>
        <v>-982.67</v>
      </c>
      <c r="U378" s="2">
        <f t="shared" si="32"/>
        <v>0</v>
      </c>
      <c r="V378" s="2" t="str">
        <f>IF(banking_loan_data[[#This Row],[Loan Status]]="FULLY PAID","GOOD",IF(banking_loan_data[[#This Row],[Loan Status]]="CURRENT","ACTIVE","BAD"))</f>
        <v>ACTIVE</v>
      </c>
      <c r="W37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78" s="3">
        <f t="shared" si="33"/>
        <v>2937.55</v>
      </c>
      <c r="Y378" s="4">
        <f t="shared" si="34"/>
        <v>-0.6439515072083879</v>
      </c>
      <c r="Z378" s="2" t="str">
        <f t="shared" si="35"/>
        <v>Normal</v>
      </c>
    </row>
    <row r="379" spans="1:26" x14ac:dyDescent="0.3">
      <c r="A379" t="s">
        <v>800</v>
      </c>
      <c r="B379" s="1">
        <v>44481</v>
      </c>
      <c r="C379" t="s">
        <v>801</v>
      </c>
      <c r="D379" t="s">
        <v>56</v>
      </c>
      <c r="E379">
        <v>4224</v>
      </c>
      <c r="F379">
        <v>19.8</v>
      </c>
      <c r="G379">
        <v>36</v>
      </c>
      <c r="H379" t="s">
        <v>19</v>
      </c>
      <c r="I379" t="s">
        <v>36</v>
      </c>
      <c r="J379" t="s">
        <v>47</v>
      </c>
      <c r="K379">
        <v>52439</v>
      </c>
      <c r="L379" t="s">
        <v>33</v>
      </c>
      <c r="M379">
        <v>0.31</v>
      </c>
      <c r="N379">
        <v>0.65</v>
      </c>
      <c r="O379">
        <v>5060.3500000000004</v>
      </c>
      <c r="P379">
        <v>0</v>
      </c>
      <c r="Q379">
        <f ca="1">DATEDIF(banking_loan_data[[#This Row],[Issue Date]],TODAY(),"M")</f>
        <v>53</v>
      </c>
      <c r="R379">
        <f t="shared" si="30"/>
        <v>2509.056</v>
      </c>
      <c r="S379">
        <f>+banking_loan_data[[#This Row],[Loan Amount]]+banking_loan_data[[#This Row],[Interest earned]]</f>
        <v>6733.0560000000005</v>
      </c>
      <c r="T379" s="2">
        <f t="shared" si="31"/>
        <v>836.35000000000036</v>
      </c>
      <c r="U379" s="2">
        <f t="shared" si="32"/>
        <v>0</v>
      </c>
      <c r="V379" s="2" t="str">
        <f>IF(banking_loan_data[[#This Row],[Loan Status]]="FULLY PAID","GOOD",IF(banking_loan_data[[#This Row],[Loan Status]]="CURRENT","ACTIVE","BAD"))</f>
        <v>GOOD</v>
      </c>
      <c r="W37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79" s="3">
        <f t="shared" si="33"/>
        <v>6969.6000000000049</v>
      </c>
      <c r="Y379" s="4">
        <f t="shared" si="34"/>
        <v>0.1979995265151516</v>
      </c>
      <c r="Z379" s="2" t="str">
        <f t="shared" si="35"/>
        <v>Normal</v>
      </c>
    </row>
    <row r="380" spans="1:26" x14ac:dyDescent="0.3">
      <c r="A380" t="s">
        <v>802</v>
      </c>
      <c r="B380" s="1">
        <v>44593</v>
      </c>
      <c r="C380" t="s">
        <v>803</v>
      </c>
      <c r="D380" t="s">
        <v>46</v>
      </c>
      <c r="E380">
        <v>12536</v>
      </c>
      <c r="F380">
        <v>8.8000000000000007</v>
      </c>
      <c r="G380">
        <v>36</v>
      </c>
      <c r="H380" t="s">
        <v>26</v>
      </c>
      <c r="I380" t="s">
        <v>73</v>
      </c>
      <c r="J380" t="s">
        <v>32</v>
      </c>
      <c r="K380">
        <v>148570</v>
      </c>
      <c r="L380" t="s">
        <v>29</v>
      </c>
      <c r="M380">
        <v>0.21</v>
      </c>
      <c r="N380">
        <v>0.68</v>
      </c>
      <c r="O380">
        <v>4401.21</v>
      </c>
      <c r="P380">
        <v>0</v>
      </c>
      <c r="Q380">
        <f ca="1">DATEDIF(banking_loan_data[[#This Row],[Issue Date]],TODAY(),"M")</f>
        <v>49</v>
      </c>
      <c r="R380">
        <f t="shared" si="30"/>
        <v>3309.5040000000004</v>
      </c>
      <c r="S380">
        <f>+banking_loan_data[[#This Row],[Loan Amount]]+banking_loan_data[[#This Row],[Interest earned]]</f>
        <v>15845.504000000001</v>
      </c>
      <c r="T380" s="2">
        <f t="shared" si="31"/>
        <v>-8134.79</v>
      </c>
      <c r="U380" s="2">
        <f t="shared" si="32"/>
        <v>0</v>
      </c>
      <c r="V380" s="2" t="str">
        <f>IF(banking_loan_data[[#This Row],[Loan Status]]="FULLY PAID","GOOD",IF(banking_loan_data[[#This Row],[Loan Status]]="CURRENT","ACTIVE","BAD"))</f>
        <v>ACTIVE</v>
      </c>
      <c r="W38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380" s="3">
        <f t="shared" si="33"/>
        <v>9193.0666897716274</v>
      </c>
      <c r="Y380" s="4">
        <f t="shared" si="34"/>
        <v>-0.64891432673899174</v>
      </c>
      <c r="Z380" s="2" t="str">
        <f t="shared" si="35"/>
        <v>Normal</v>
      </c>
    </row>
    <row r="381" spans="1:26" x14ac:dyDescent="0.3">
      <c r="A381" t="s">
        <v>804</v>
      </c>
      <c r="B381" s="1">
        <v>44208</v>
      </c>
      <c r="C381" t="s">
        <v>805</v>
      </c>
      <c r="D381" t="s">
        <v>50</v>
      </c>
      <c r="E381">
        <v>29541</v>
      </c>
      <c r="F381">
        <v>17.3</v>
      </c>
      <c r="G381">
        <v>36</v>
      </c>
      <c r="H381" t="s">
        <v>19</v>
      </c>
      <c r="I381" t="s">
        <v>73</v>
      </c>
      <c r="J381" t="s">
        <v>47</v>
      </c>
      <c r="K381">
        <v>106949</v>
      </c>
      <c r="L381" t="s">
        <v>29</v>
      </c>
      <c r="M381">
        <v>0.22</v>
      </c>
      <c r="N381">
        <v>0.61</v>
      </c>
      <c r="O381">
        <v>34651.589999999997</v>
      </c>
      <c r="P381">
        <v>0</v>
      </c>
      <c r="Q381">
        <f ca="1">DATEDIF(banking_loan_data[[#This Row],[Issue Date]],TODAY(),"M")</f>
        <v>62</v>
      </c>
      <c r="R381">
        <f t="shared" si="30"/>
        <v>15331.779000000002</v>
      </c>
      <c r="S381">
        <f>+banking_loan_data[[#This Row],[Loan Amount]]+banking_loan_data[[#This Row],[Interest earned]]</f>
        <v>44872.779000000002</v>
      </c>
      <c r="T381" s="2">
        <f t="shared" si="31"/>
        <v>5110.5899999999965</v>
      </c>
      <c r="U381" s="2">
        <f t="shared" si="32"/>
        <v>0</v>
      </c>
      <c r="V381" s="2" t="str">
        <f>IF(banking_loan_data[[#This Row],[Loan Status]]="FULLY PAID","GOOD",IF(banking_loan_data[[#This Row],[Loan Status]]="CURRENT","ACTIVE","BAD"))</f>
        <v>GOOD</v>
      </c>
      <c r="W38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381" s="3">
        <f t="shared" si="33"/>
        <v>42588.275000000474</v>
      </c>
      <c r="Y381" s="4">
        <f t="shared" si="34"/>
        <v>0.17299989844622715</v>
      </c>
      <c r="Z381" s="2" t="str">
        <f t="shared" si="35"/>
        <v>Normal</v>
      </c>
    </row>
    <row r="382" spans="1:26" x14ac:dyDescent="0.3">
      <c r="A382" t="s">
        <v>806</v>
      </c>
      <c r="B382" s="1">
        <v>44695</v>
      </c>
      <c r="C382" t="s">
        <v>807</v>
      </c>
      <c r="D382" t="s">
        <v>40</v>
      </c>
      <c r="E382">
        <v>14547</v>
      </c>
      <c r="F382">
        <v>13.7</v>
      </c>
      <c r="G382">
        <v>60</v>
      </c>
      <c r="H382" t="s">
        <v>81</v>
      </c>
      <c r="I382" t="s">
        <v>41</v>
      </c>
      <c r="J382" t="s">
        <v>28</v>
      </c>
      <c r="K382">
        <v>44995</v>
      </c>
      <c r="L382" t="s">
        <v>22</v>
      </c>
      <c r="M382">
        <v>0.21</v>
      </c>
      <c r="N382">
        <v>0.78</v>
      </c>
      <c r="O382">
        <v>5567.14</v>
      </c>
      <c r="P382">
        <v>1935.32</v>
      </c>
      <c r="Q382">
        <f ca="1">DATEDIF(banking_loan_data[[#This Row],[Issue Date]],TODAY(),"M")</f>
        <v>46</v>
      </c>
      <c r="R382">
        <f t="shared" si="30"/>
        <v>9964.6949999999997</v>
      </c>
      <c r="S382">
        <f>+banking_loan_data[[#This Row],[Loan Amount]]+banking_loan_data[[#This Row],[Interest earned]]</f>
        <v>24511.695</v>
      </c>
      <c r="T382" s="2">
        <f t="shared" si="31"/>
        <v>-7044.54</v>
      </c>
      <c r="U382" s="2">
        <f t="shared" si="32"/>
        <v>1</v>
      </c>
      <c r="V382" s="2" t="str">
        <f>IF(banking_loan_data[[#This Row],[Loan Status]]="FULLY PAID","GOOD",IF(banking_loan_data[[#This Row],[Loan Status]]="CURRENT","ACTIVE","BAD"))</f>
        <v>BAD</v>
      </c>
      <c r="W38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82" s="3">
        <f t="shared" si="33"/>
        <v>16607.825000000001</v>
      </c>
      <c r="Y382" s="4">
        <f t="shared" si="34"/>
        <v>-0.48426067230356773</v>
      </c>
      <c r="Z382" s="2" t="str">
        <f t="shared" si="35"/>
        <v>Normal</v>
      </c>
    </row>
    <row r="383" spans="1:26" x14ac:dyDescent="0.3">
      <c r="A383" t="s">
        <v>808</v>
      </c>
      <c r="B383" s="1">
        <v>44950</v>
      </c>
      <c r="C383" t="s">
        <v>809</v>
      </c>
      <c r="D383" t="s">
        <v>53</v>
      </c>
      <c r="E383">
        <v>35531</v>
      </c>
      <c r="F383">
        <v>16.5</v>
      </c>
      <c r="G383">
        <v>36</v>
      </c>
      <c r="H383" t="s">
        <v>19</v>
      </c>
      <c r="I383" t="s">
        <v>73</v>
      </c>
      <c r="J383" t="s">
        <v>47</v>
      </c>
      <c r="K383">
        <v>53559</v>
      </c>
      <c r="L383" t="s">
        <v>22</v>
      </c>
      <c r="M383">
        <v>0.41</v>
      </c>
      <c r="N383">
        <v>0.79</v>
      </c>
      <c r="O383">
        <v>41393.620000000003</v>
      </c>
      <c r="P383">
        <v>0</v>
      </c>
      <c r="Q383">
        <f ca="1">DATEDIF(banking_loan_data[[#This Row],[Issue Date]],TODAY(),"M")</f>
        <v>37</v>
      </c>
      <c r="R383">
        <f t="shared" si="30"/>
        <v>17587.844999999998</v>
      </c>
      <c r="S383">
        <f>+banking_loan_data[[#This Row],[Loan Amount]]+banking_loan_data[[#This Row],[Interest earned]]</f>
        <v>53118.845000000001</v>
      </c>
      <c r="T383" s="2">
        <f t="shared" si="31"/>
        <v>5862.6200000000026</v>
      </c>
      <c r="U383" s="2">
        <f t="shared" si="32"/>
        <v>0</v>
      </c>
      <c r="V383" s="2" t="str">
        <f>IF(banking_loan_data[[#This Row],[Loan Status]]="FULLY PAID","GOOD",IF(banking_loan_data[[#This Row],[Loan Status]]="CURRENT","ACTIVE","BAD"))</f>
        <v>GOOD</v>
      </c>
      <c r="W38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383" s="3">
        <f t="shared" si="33"/>
        <v>48855.125000001462</v>
      </c>
      <c r="Y383" s="4">
        <f t="shared" si="34"/>
        <v>0.16500014072218633</v>
      </c>
      <c r="Z383" s="2" t="str">
        <f t="shared" si="35"/>
        <v>High Risk</v>
      </c>
    </row>
    <row r="384" spans="1:26" x14ac:dyDescent="0.3">
      <c r="A384" t="s">
        <v>810</v>
      </c>
      <c r="B384" s="1">
        <v>44231</v>
      </c>
      <c r="C384" t="s">
        <v>811</v>
      </c>
      <c r="D384" t="s">
        <v>72</v>
      </c>
      <c r="E384">
        <v>9712</v>
      </c>
      <c r="F384">
        <v>19.8</v>
      </c>
      <c r="G384">
        <v>60</v>
      </c>
      <c r="H384" t="s">
        <v>19</v>
      </c>
      <c r="I384" t="s">
        <v>57</v>
      </c>
      <c r="J384" t="s">
        <v>21</v>
      </c>
      <c r="K384">
        <v>140887</v>
      </c>
      <c r="L384" t="s">
        <v>22</v>
      </c>
      <c r="M384">
        <v>0.36</v>
      </c>
      <c r="N384">
        <v>0.88</v>
      </c>
      <c r="O384">
        <v>11634.98</v>
      </c>
      <c r="P384">
        <v>0</v>
      </c>
      <c r="Q384">
        <f ca="1">DATEDIF(banking_loan_data[[#This Row],[Issue Date]],TODAY(),"M")</f>
        <v>61</v>
      </c>
      <c r="R384">
        <f t="shared" si="30"/>
        <v>9614.880000000001</v>
      </c>
      <c r="S384">
        <f>+banking_loan_data[[#This Row],[Loan Amount]]+banking_loan_data[[#This Row],[Interest earned]]</f>
        <v>19326.88</v>
      </c>
      <c r="T384" s="2">
        <f t="shared" si="31"/>
        <v>1922.9799999999996</v>
      </c>
      <c r="U384" s="2">
        <f t="shared" si="32"/>
        <v>0</v>
      </c>
      <c r="V384" s="2" t="str">
        <f>IF(banking_loan_data[[#This Row],[Loan Status]]="FULLY PAID","GOOD",IF(banking_loan_data[[#This Row],[Loan Status]]="CURRENT","ACTIVE","BAD"))</f>
        <v>GOOD</v>
      </c>
      <c r="W38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84" s="3">
        <f t="shared" si="33"/>
        <v>16024.800000000001</v>
      </c>
      <c r="Y384" s="4">
        <f t="shared" si="34"/>
        <v>0.19800041186161446</v>
      </c>
      <c r="Z384" s="2" t="str">
        <f t="shared" si="35"/>
        <v>High Risk</v>
      </c>
    </row>
    <row r="385" spans="1:26" x14ac:dyDescent="0.3">
      <c r="A385" t="s">
        <v>812</v>
      </c>
      <c r="B385" s="1">
        <v>44923</v>
      </c>
      <c r="C385" t="s">
        <v>813</v>
      </c>
      <c r="D385" t="s">
        <v>25</v>
      </c>
      <c r="E385">
        <v>39565</v>
      </c>
      <c r="F385">
        <v>21.1</v>
      </c>
      <c r="G385">
        <v>60</v>
      </c>
      <c r="H385" t="s">
        <v>26</v>
      </c>
      <c r="I385" t="s">
        <v>57</v>
      </c>
      <c r="J385" t="s">
        <v>32</v>
      </c>
      <c r="K385">
        <v>119049</v>
      </c>
      <c r="L385" t="s">
        <v>33</v>
      </c>
      <c r="M385">
        <v>0.43</v>
      </c>
      <c r="N385">
        <v>0.83</v>
      </c>
      <c r="O385">
        <v>16632.71</v>
      </c>
      <c r="P385">
        <v>0</v>
      </c>
      <c r="Q385">
        <f ca="1">DATEDIF(banking_loan_data[[#This Row],[Issue Date]],TODAY(),"M")</f>
        <v>38</v>
      </c>
      <c r="R385">
        <f t="shared" si="30"/>
        <v>41741.075000000004</v>
      </c>
      <c r="S385">
        <f>+banking_loan_data[[#This Row],[Loan Amount]]+banking_loan_data[[#This Row],[Interest earned]]</f>
        <v>81306.075000000012</v>
      </c>
      <c r="T385" s="2">
        <f t="shared" si="31"/>
        <v>-22932.29</v>
      </c>
      <c r="U385" s="2">
        <f t="shared" si="32"/>
        <v>0</v>
      </c>
      <c r="V385" s="2" t="str">
        <f>IF(banking_loan_data[[#This Row],[Loan Status]]="FULLY PAID","GOOD",IF(banking_loan_data[[#This Row],[Loan Status]]="CURRENT","ACTIVE","BAD"))</f>
        <v>ACTIVE</v>
      </c>
      <c r="W38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85" s="3">
        <f t="shared" si="33"/>
        <v>69568.458333333343</v>
      </c>
      <c r="Y385" s="4">
        <f t="shared" si="34"/>
        <v>-0.57961051434348543</v>
      </c>
      <c r="Z385" s="2" t="str">
        <f t="shared" si="35"/>
        <v>High Risk</v>
      </c>
    </row>
    <row r="386" spans="1:26" x14ac:dyDescent="0.3">
      <c r="A386" t="s">
        <v>814</v>
      </c>
      <c r="B386" s="1">
        <v>45045</v>
      </c>
      <c r="C386" t="s">
        <v>815</v>
      </c>
      <c r="D386" t="s">
        <v>46</v>
      </c>
      <c r="E386">
        <v>10208</v>
      </c>
      <c r="F386">
        <v>21.9</v>
      </c>
      <c r="G386">
        <v>60</v>
      </c>
      <c r="H386" t="s">
        <v>26</v>
      </c>
      <c r="I386" t="s">
        <v>27</v>
      </c>
      <c r="J386" t="s">
        <v>21</v>
      </c>
      <c r="K386">
        <v>35021</v>
      </c>
      <c r="L386" t="s">
        <v>22</v>
      </c>
      <c r="M386">
        <v>0.49</v>
      </c>
      <c r="N386">
        <v>0.74</v>
      </c>
      <c r="O386">
        <v>703.21</v>
      </c>
      <c r="P386">
        <v>0</v>
      </c>
      <c r="Q386">
        <f ca="1">DATEDIF(banking_loan_data[[#This Row],[Issue Date]],TODAY(),"M")</f>
        <v>34</v>
      </c>
      <c r="R386">
        <f t="shared" ref="R386:R449" si="36">(((E386*F386)/100)*G386)/12</f>
        <v>11177.76</v>
      </c>
      <c r="S386">
        <f>+banking_loan_data[[#This Row],[Loan Amount]]+banking_loan_data[[#This Row],[Interest earned]]</f>
        <v>21385.760000000002</v>
      </c>
      <c r="T386" s="2">
        <f t="shared" ref="T386:T449" si="37">O386 + P386 - E386</f>
        <v>-9504.7900000000009</v>
      </c>
      <c r="U386" s="2">
        <f t="shared" ref="U386:U449" si="38">IF(H386="CHARGED OFF",1,0)</f>
        <v>0</v>
      </c>
      <c r="V386" s="2" t="str">
        <f>IF(banking_loan_data[[#This Row],[Loan Status]]="FULLY PAID","GOOD",IF(banking_loan_data[[#This Row],[Loan Status]]="CURRENT","ACTIVE","BAD"))</f>
        <v>ACTIVE</v>
      </c>
      <c r="W38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86" s="3">
        <f t="shared" ref="X386:X449" si="39">PMT(F386/12,G386,-E386)</f>
        <v>18629.599999999999</v>
      </c>
      <c r="Y386" s="4">
        <f t="shared" ref="Y386:Y449" si="40">IF(E386=0,0,T386/E386)</f>
        <v>-0.93111187304075249</v>
      </c>
      <c r="Z386" s="2" t="str">
        <f t="shared" ref="Z386:Z449" si="41">IF(OR(M386&gt;0.4,N386&gt;0.8),"High Risk","Normal")</f>
        <v>High Risk</v>
      </c>
    </row>
    <row r="387" spans="1:26" x14ac:dyDescent="0.3">
      <c r="A387" t="s">
        <v>816</v>
      </c>
      <c r="B387" s="1">
        <v>44286</v>
      </c>
      <c r="C387" t="s">
        <v>817</v>
      </c>
      <c r="D387" t="s">
        <v>25</v>
      </c>
      <c r="E387">
        <v>6109</v>
      </c>
      <c r="F387">
        <v>10.1</v>
      </c>
      <c r="G387">
        <v>60</v>
      </c>
      <c r="H387" t="s">
        <v>19</v>
      </c>
      <c r="I387" t="s">
        <v>27</v>
      </c>
      <c r="J387" t="s">
        <v>37</v>
      </c>
      <c r="K387">
        <v>128000</v>
      </c>
      <c r="L387" t="s">
        <v>29</v>
      </c>
      <c r="M387">
        <v>0.28999999999999998</v>
      </c>
      <c r="N387">
        <v>0.79</v>
      </c>
      <c r="O387">
        <v>6726.01</v>
      </c>
      <c r="P387">
        <v>0</v>
      </c>
      <c r="Q387">
        <f ca="1">DATEDIF(banking_loan_data[[#This Row],[Issue Date]],TODAY(),"M")</f>
        <v>59</v>
      </c>
      <c r="R387">
        <f t="shared" si="36"/>
        <v>3085.0450000000001</v>
      </c>
      <c r="S387">
        <f>+banking_loan_data[[#This Row],[Loan Amount]]+banking_loan_data[[#This Row],[Interest earned]]</f>
        <v>9194.0450000000001</v>
      </c>
      <c r="T387" s="2">
        <f t="shared" si="37"/>
        <v>617.01000000000022</v>
      </c>
      <c r="U387" s="2">
        <f t="shared" si="38"/>
        <v>0</v>
      </c>
      <c r="V387" s="2" t="str">
        <f>IF(banking_loan_data[[#This Row],[Loan Status]]="FULLY PAID","GOOD",IF(banking_loan_data[[#This Row],[Loan Status]]="CURRENT","ACTIVE","BAD"))</f>
        <v>GOOD</v>
      </c>
      <c r="W38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87" s="3">
        <f t="shared" si="39"/>
        <v>5141.7416666666677</v>
      </c>
      <c r="Y387" s="4">
        <f t="shared" si="40"/>
        <v>0.10100016369291213</v>
      </c>
      <c r="Z387" s="2" t="str">
        <f t="shared" si="41"/>
        <v>Normal</v>
      </c>
    </row>
    <row r="388" spans="1:26" x14ac:dyDescent="0.3">
      <c r="A388" t="s">
        <v>818</v>
      </c>
      <c r="B388" s="1">
        <v>44972</v>
      </c>
      <c r="C388" t="s">
        <v>819</v>
      </c>
      <c r="D388" t="s">
        <v>40</v>
      </c>
      <c r="E388">
        <v>36201</v>
      </c>
      <c r="F388">
        <v>5.6</v>
      </c>
      <c r="G388">
        <v>60</v>
      </c>
      <c r="H388" t="s">
        <v>26</v>
      </c>
      <c r="I388" t="s">
        <v>57</v>
      </c>
      <c r="J388" t="s">
        <v>21</v>
      </c>
      <c r="K388">
        <v>51119</v>
      </c>
      <c r="L388" t="s">
        <v>33</v>
      </c>
      <c r="M388">
        <v>0.13</v>
      </c>
      <c r="N388">
        <v>0.62</v>
      </c>
      <c r="O388">
        <v>9484.2000000000007</v>
      </c>
      <c r="P388">
        <v>0</v>
      </c>
      <c r="Q388">
        <f ca="1">DATEDIF(banking_loan_data[[#This Row],[Issue Date]],TODAY(),"M")</f>
        <v>37</v>
      </c>
      <c r="R388">
        <f t="shared" si="36"/>
        <v>10136.279999999999</v>
      </c>
      <c r="S388">
        <f>+banking_loan_data[[#This Row],[Loan Amount]]+banking_loan_data[[#This Row],[Interest earned]]</f>
        <v>46337.279999999999</v>
      </c>
      <c r="T388" s="2">
        <f t="shared" si="37"/>
        <v>-26716.799999999999</v>
      </c>
      <c r="U388" s="2">
        <f t="shared" si="38"/>
        <v>0</v>
      </c>
      <c r="V388" s="2" t="str">
        <f>IF(banking_loan_data[[#This Row],[Loan Status]]="FULLY PAID","GOOD",IF(banking_loan_data[[#This Row],[Loan Status]]="CURRENT","ACTIVE","BAD"))</f>
        <v>ACTIVE</v>
      </c>
      <c r="W38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88" s="3">
        <f t="shared" si="39"/>
        <v>16893.800001769465</v>
      </c>
      <c r="Y388" s="4">
        <f t="shared" si="40"/>
        <v>-0.73801276207839561</v>
      </c>
      <c r="Z388" s="2" t="str">
        <f t="shared" si="41"/>
        <v>Normal</v>
      </c>
    </row>
    <row r="389" spans="1:26" x14ac:dyDescent="0.3">
      <c r="A389" t="s">
        <v>820</v>
      </c>
      <c r="B389" s="1">
        <v>44801</v>
      </c>
      <c r="C389" t="s">
        <v>821</v>
      </c>
      <c r="D389" t="s">
        <v>56</v>
      </c>
      <c r="E389">
        <v>17967</v>
      </c>
      <c r="F389">
        <v>19.8</v>
      </c>
      <c r="G389">
        <v>60</v>
      </c>
      <c r="H389" t="s">
        <v>19</v>
      </c>
      <c r="I389" t="s">
        <v>57</v>
      </c>
      <c r="J389" t="s">
        <v>28</v>
      </c>
      <c r="K389">
        <v>81539</v>
      </c>
      <c r="L389" t="s">
        <v>33</v>
      </c>
      <c r="M389">
        <v>0.12</v>
      </c>
      <c r="N389">
        <v>0.77</v>
      </c>
      <c r="O389">
        <v>21524.47</v>
      </c>
      <c r="P389">
        <v>0</v>
      </c>
      <c r="Q389">
        <f ca="1">DATEDIF(banking_loan_data[[#This Row],[Issue Date]],TODAY(),"M")</f>
        <v>42</v>
      </c>
      <c r="R389">
        <f t="shared" si="36"/>
        <v>17787.330000000002</v>
      </c>
      <c r="S389">
        <f>+banking_loan_data[[#This Row],[Loan Amount]]+banking_loan_data[[#This Row],[Interest earned]]</f>
        <v>35754.33</v>
      </c>
      <c r="T389" s="2">
        <f t="shared" si="37"/>
        <v>3557.4700000000012</v>
      </c>
      <c r="U389" s="2">
        <f t="shared" si="38"/>
        <v>0</v>
      </c>
      <c r="V389" s="2" t="str">
        <f>IF(banking_loan_data[[#This Row],[Loan Status]]="FULLY PAID","GOOD",IF(banking_loan_data[[#This Row],[Loan Status]]="CURRENT","ACTIVE","BAD"))</f>
        <v>GOOD</v>
      </c>
      <c r="W38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89" s="3">
        <f t="shared" si="39"/>
        <v>29645.550000000003</v>
      </c>
      <c r="Y389" s="4">
        <f t="shared" si="40"/>
        <v>0.19800022263037798</v>
      </c>
      <c r="Z389" s="2" t="str">
        <f t="shared" si="41"/>
        <v>Normal</v>
      </c>
    </row>
    <row r="390" spans="1:26" x14ac:dyDescent="0.3">
      <c r="A390" t="s">
        <v>822</v>
      </c>
      <c r="B390" s="1">
        <v>45166</v>
      </c>
      <c r="C390" t="s">
        <v>823</v>
      </c>
      <c r="D390" t="s">
        <v>40</v>
      </c>
      <c r="E390">
        <v>30759</v>
      </c>
      <c r="F390">
        <v>7.1</v>
      </c>
      <c r="G390">
        <v>36</v>
      </c>
      <c r="H390" t="s">
        <v>19</v>
      </c>
      <c r="I390" t="s">
        <v>41</v>
      </c>
      <c r="J390" t="s">
        <v>28</v>
      </c>
      <c r="K390">
        <v>124835</v>
      </c>
      <c r="L390" t="s">
        <v>33</v>
      </c>
      <c r="M390">
        <v>0.22</v>
      </c>
      <c r="N390">
        <v>0.72</v>
      </c>
      <c r="O390">
        <v>32942.89</v>
      </c>
      <c r="P390">
        <v>0</v>
      </c>
      <c r="Q390">
        <f ca="1">DATEDIF(banking_loan_data[[#This Row],[Issue Date]],TODAY(),"M")</f>
        <v>30</v>
      </c>
      <c r="R390">
        <f t="shared" si="36"/>
        <v>6551.6670000000004</v>
      </c>
      <c r="S390">
        <f>+banking_loan_data[[#This Row],[Loan Amount]]+banking_loan_data[[#This Row],[Interest earned]]</f>
        <v>37310.667000000001</v>
      </c>
      <c r="T390" s="2">
        <f t="shared" si="37"/>
        <v>2183.8899999999994</v>
      </c>
      <c r="U390" s="2">
        <f t="shared" si="38"/>
        <v>0</v>
      </c>
      <c r="V390" s="2" t="str">
        <f>IF(banking_loan_data[[#This Row],[Loan Status]]="FULLY PAID","GOOD",IF(banking_loan_data[[#This Row],[Loan Status]]="CURRENT","ACTIVE","BAD"))</f>
        <v>GOOD</v>
      </c>
      <c r="W39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90" s="3">
        <f t="shared" si="39"/>
        <v>18199.075984856547</v>
      </c>
      <c r="Y390" s="4">
        <f t="shared" si="40"/>
        <v>7.100003251080983E-2</v>
      </c>
      <c r="Z390" s="2" t="str">
        <f t="shared" si="41"/>
        <v>Normal</v>
      </c>
    </row>
    <row r="391" spans="1:26" x14ac:dyDescent="0.3">
      <c r="A391" t="s">
        <v>824</v>
      </c>
      <c r="B391" s="1">
        <v>45218</v>
      </c>
      <c r="C391" t="s">
        <v>825</v>
      </c>
      <c r="D391" t="s">
        <v>65</v>
      </c>
      <c r="E391">
        <v>21172</v>
      </c>
      <c r="F391">
        <v>11.3</v>
      </c>
      <c r="G391">
        <v>36</v>
      </c>
      <c r="H391" t="s">
        <v>26</v>
      </c>
      <c r="I391" t="s">
        <v>20</v>
      </c>
      <c r="J391" t="s">
        <v>21</v>
      </c>
      <c r="K391">
        <v>69350</v>
      </c>
      <c r="L391" t="s">
        <v>33</v>
      </c>
      <c r="M391">
        <v>0.47</v>
      </c>
      <c r="N391">
        <v>0.56000000000000005</v>
      </c>
      <c r="O391">
        <v>4850.0600000000004</v>
      </c>
      <c r="P391">
        <v>0</v>
      </c>
      <c r="Q391">
        <f ca="1">DATEDIF(banking_loan_data[[#This Row],[Issue Date]],TODAY(),"M")</f>
        <v>29</v>
      </c>
      <c r="R391">
        <f t="shared" si="36"/>
        <v>7177.3080000000009</v>
      </c>
      <c r="S391">
        <f>+banking_loan_data[[#This Row],[Loan Amount]]+banking_loan_data[[#This Row],[Interest earned]]</f>
        <v>28349.308000000001</v>
      </c>
      <c r="T391" s="2">
        <f t="shared" si="37"/>
        <v>-16321.939999999999</v>
      </c>
      <c r="U391" s="2">
        <f t="shared" si="38"/>
        <v>0</v>
      </c>
      <c r="V391" s="2" t="str">
        <f>IF(banking_loan_data[[#This Row],[Loan Status]]="FULLY PAID","GOOD",IF(banking_loan_data[[#This Row],[Loan Status]]="CURRENT","ACTIVE","BAD"))</f>
        <v>ACTIVE</v>
      </c>
      <c r="W39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91" s="3">
        <f t="shared" si="39"/>
        <v>19936.966667508783</v>
      </c>
      <c r="Y391" s="4">
        <f t="shared" si="40"/>
        <v>-0.77092102777252969</v>
      </c>
      <c r="Z391" s="2" t="str">
        <f t="shared" si="41"/>
        <v>High Risk</v>
      </c>
    </row>
    <row r="392" spans="1:26" x14ac:dyDescent="0.3">
      <c r="A392" t="s">
        <v>826</v>
      </c>
      <c r="B392" s="1">
        <v>44614</v>
      </c>
      <c r="C392" t="s">
        <v>827</v>
      </c>
      <c r="D392" t="s">
        <v>18</v>
      </c>
      <c r="E392">
        <v>37935</v>
      </c>
      <c r="F392">
        <v>5.0999999999999996</v>
      </c>
      <c r="G392">
        <v>36</v>
      </c>
      <c r="H392" t="s">
        <v>19</v>
      </c>
      <c r="I392" t="s">
        <v>57</v>
      </c>
      <c r="J392" t="s">
        <v>37</v>
      </c>
      <c r="K392">
        <v>76223</v>
      </c>
      <c r="L392" t="s">
        <v>29</v>
      </c>
      <c r="M392">
        <v>0.31</v>
      </c>
      <c r="N392">
        <v>0.61</v>
      </c>
      <c r="O392">
        <v>39869.68</v>
      </c>
      <c r="P392">
        <v>0</v>
      </c>
      <c r="Q392">
        <f ca="1">DATEDIF(banking_loan_data[[#This Row],[Issue Date]],TODAY(),"M")</f>
        <v>48</v>
      </c>
      <c r="R392">
        <f t="shared" si="36"/>
        <v>5804.0550000000003</v>
      </c>
      <c r="S392">
        <f>+banking_loan_data[[#This Row],[Loan Amount]]+banking_loan_data[[#This Row],[Interest earned]]</f>
        <v>43739.055</v>
      </c>
      <c r="T392" s="2">
        <f t="shared" si="37"/>
        <v>1934.6800000000003</v>
      </c>
      <c r="U392" s="2">
        <f t="shared" si="38"/>
        <v>0</v>
      </c>
      <c r="V392" s="2" t="str">
        <f>IF(banking_loan_data[[#This Row],[Loan Status]]="FULLY PAID","GOOD",IF(banking_loan_data[[#This Row],[Loan Status]]="CURRENT","ACTIVE","BAD"))</f>
        <v>GOOD</v>
      </c>
      <c r="W39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92" s="3">
        <f t="shared" si="39"/>
        <v>16122.421783764228</v>
      </c>
      <c r="Y392" s="4">
        <f t="shared" si="40"/>
        <v>5.0999868195597743E-2</v>
      </c>
      <c r="Z392" s="2" t="str">
        <f t="shared" si="41"/>
        <v>Normal</v>
      </c>
    </row>
    <row r="393" spans="1:26" x14ac:dyDescent="0.3">
      <c r="A393" t="s">
        <v>828</v>
      </c>
      <c r="B393" s="1">
        <v>44311</v>
      </c>
      <c r="C393" t="s">
        <v>829</v>
      </c>
      <c r="D393" t="s">
        <v>72</v>
      </c>
      <c r="E393">
        <v>27589</v>
      </c>
      <c r="F393">
        <v>18.600000000000001</v>
      </c>
      <c r="G393">
        <v>60</v>
      </c>
      <c r="H393" t="s">
        <v>19</v>
      </c>
      <c r="I393" t="s">
        <v>20</v>
      </c>
      <c r="J393" t="s">
        <v>47</v>
      </c>
      <c r="K393">
        <v>55517</v>
      </c>
      <c r="L393" t="s">
        <v>29</v>
      </c>
      <c r="M393">
        <v>0.21</v>
      </c>
      <c r="N393">
        <v>0.63</v>
      </c>
      <c r="O393">
        <v>32720.55</v>
      </c>
      <c r="P393">
        <v>0</v>
      </c>
      <c r="Q393">
        <f ca="1">DATEDIF(banking_loan_data[[#This Row],[Issue Date]],TODAY(),"M")</f>
        <v>58</v>
      </c>
      <c r="R393">
        <f t="shared" si="36"/>
        <v>25657.77</v>
      </c>
      <c r="S393">
        <f>+banking_loan_data[[#This Row],[Loan Amount]]+banking_loan_data[[#This Row],[Interest earned]]</f>
        <v>53246.770000000004</v>
      </c>
      <c r="T393" s="2">
        <f t="shared" si="37"/>
        <v>5131.5499999999993</v>
      </c>
      <c r="U393" s="2">
        <f t="shared" si="38"/>
        <v>0</v>
      </c>
      <c r="V393" s="2" t="str">
        <f>IF(banking_loan_data[[#This Row],[Loan Status]]="FULLY PAID","GOOD",IF(banking_loan_data[[#This Row],[Loan Status]]="CURRENT","ACTIVE","BAD"))</f>
        <v>GOOD</v>
      </c>
      <c r="W39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93" s="3">
        <f t="shared" si="39"/>
        <v>42762.950000000004</v>
      </c>
      <c r="Y393" s="4">
        <f t="shared" si="40"/>
        <v>0.18599985501467975</v>
      </c>
      <c r="Z393" s="2" t="str">
        <f t="shared" si="41"/>
        <v>Normal</v>
      </c>
    </row>
    <row r="394" spans="1:26" x14ac:dyDescent="0.3">
      <c r="A394" t="s">
        <v>830</v>
      </c>
      <c r="B394" s="1">
        <v>44813</v>
      </c>
      <c r="C394" t="s">
        <v>831</v>
      </c>
      <c r="D394" t="s">
        <v>18</v>
      </c>
      <c r="E394">
        <v>31015</v>
      </c>
      <c r="F394">
        <v>8.3000000000000007</v>
      </c>
      <c r="G394">
        <v>36</v>
      </c>
      <c r="H394" t="s">
        <v>26</v>
      </c>
      <c r="I394" t="s">
        <v>84</v>
      </c>
      <c r="J394" t="s">
        <v>28</v>
      </c>
      <c r="K394">
        <v>108653</v>
      </c>
      <c r="L394" t="s">
        <v>22</v>
      </c>
      <c r="M394">
        <v>0.26</v>
      </c>
      <c r="N394">
        <v>0.92</v>
      </c>
      <c r="O394">
        <v>5879.4</v>
      </c>
      <c r="P394">
        <v>0</v>
      </c>
      <c r="Q394">
        <f ca="1">DATEDIF(banking_loan_data[[#This Row],[Issue Date]],TODAY(),"M")</f>
        <v>42</v>
      </c>
      <c r="R394">
        <f t="shared" si="36"/>
        <v>7722.7350000000006</v>
      </c>
      <c r="S394">
        <f>+banking_loan_data[[#This Row],[Loan Amount]]+banking_loan_data[[#This Row],[Interest earned]]</f>
        <v>38737.735000000001</v>
      </c>
      <c r="T394" s="2">
        <f t="shared" si="37"/>
        <v>-25135.599999999999</v>
      </c>
      <c r="U394" s="2">
        <f t="shared" si="38"/>
        <v>0</v>
      </c>
      <c r="V394" s="2" t="str">
        <f>IF(banking_loan_data[[#This Row],[Loan Status]]="FULLY PAID","GOOD",IF(banking_loan_data[[#This Row],[Loan Status]]="CURRENT","ACTIVE","BAD"))</f>
        <v>ACTIVE</v>
      </c>
      <c r="W39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94" s="3">
        <f t="shared" si="39"/>
        <v>21452.041796126825</v>
      </c>
      <c r="Y394" s="4">
        <f t="shared" si="40"/>
        <v>-0.81043366113171045</v>
      </c>
      <c r="Z394" s="2" t="str">
        <f t="shared" si="41"/>
        <v>High Risk</v>
      </c>
    </row>
    <row r="395" spans="1:26" x14ac:dyDescent="0.3">
      <c r="A395" t="s">
        <v>832</v>
      </c>
      <c r="B395" s="1">
        <v>45022</v>
      </c>
      <c r="C395" t="s">
        <v>833</v>
      </c>
      <c r="D395" t="s">
        <v>40</v>
      </c>
      <c r="E395">
        <v>30009</v>
      </c>
      <c r="F395">
        <v>18.100000000000001</v>
      </c>
      <c r="G395">
        <v>60</v>
      </c>
      <c r="H395" t="s">
        <v>19</v>
      </c>
      <c r="I395" t="s">
        <v>20</v>
      </c>
      <c r="J395" t="s">
        <v>21</v>
      </c>
      <c r="K395">
        <v>52250</v>
      </c>
      <c r="L395" t="s">
        <v>33</v>
      </c>
      <c r="M395">
        <v>0.34</v>
      </c>
      <c r="N395">
        <v>0.6</v>
      </c>
      <c r="O395">
        <v>35440.629999999997</v>
      </c>
      <c r="P395">
        <v>0</v>
      </c>
      <c r="Q395">
        <f ca="1">DATEDIF(banking_loan_data[[#This Row],[Issue Date]],TODAY(),"M")</f>
        <v>35</v>
      </c>
      <c r="R395">
        <f t="shared" si="36"/>
        <v>27158.145</v>
      </c>
      <c r="S395">
        <f>+banking_loan_data[[#This Row],[Loan Amount]]+banking_loan_data[[#This Row],[Interest earned]]</f>
        <v>57167.145000000004</v>
      </c>
      <c r="T395" s="2">
        <f t="shared" si="37"/>
        <v>5431.6299999999974</v>
      </c>
      <c r="U395" s="2">
        <f t="shared" si="38"/>
        <v>0</v>
      </c>
      <c r="V395" s="2" t="str">
        <f>IF(banking_loan_data[[#This Row],[Loan Status]]="FULLY PAID","GOOD",IF(banking_loan_data[[#This Row],[Loan Status]]="CURRENT","ACTIVE","BAD"))</f>
        <v>GOOD</v>
      </c>
      <c r="W39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95" s="3">
        <f t="shared" si="39"/>
        <v>45263.575000000004</v>
      </c>
      <c r="Y395" s="4">
        <f t="shared" si="40"/>
        <v>0.18100003332333625</v>
      </c>
      <c r="Z395" s="2" t="str">
        <f t="shared" si="41"/>
        <v>Normal</v>
      </c>
    </row>
    <row r="396" spans="1:26" x14ac:dyDescent="0.3">
      <c r="A396" t="s">
        <v>834</v>
      </c>
      <c r="B396" s="1">
        <v>44609</v>
      </c>
      <c r="C396" t="s">
        <v>835</v>
      </c>
      <c r="D396" t="s">
        <v>56</v>
      </c>
      <c r="E396">
        <v>18773</v>
      </c>
      <c r="F396">
        <v>24.8</v>
      </c>
      <c r="G396">
        <v>60</v>
      </c>
      <c r="H396" t="s">
        <v>26</v>
      </c>
      <c r="I396" t="s">
        <v>27</v>
      </c>
      <c r="J396" t="s">
        <v>21</v>
      </c>
      <c r="K396">
        <v>114486</v>
      </c>
      <c r="L396" t="s">
        <v>22</v>
      </c>
      <c r="M396">
        <v>0.36</v>
      </c>
      <c r="N396">
        <v>0.63</v>
      </c>
      <c r="O396">
        <v>4751.47</v>
      </c>
      <c r="P396">
        <v>0</v>
      </c>
      <c r="Q396">
        <f ca="1">DATEDIF(banking_loan_data[[#This Row],[Issue Date]],TODAY(),"M")</f>
        <v>49</v>
      </c>
      <c r="R396">
        <f t="shared" si="36"/>
        <v>23278.520000000004</v>
      </c>
      <c r="S396">
        <f>+banking_loan_data[[#This Row],[Loan Amount]]+banking_loan_data[[#This Row],[Interest earned]]</f>
        <v>42051.520000000004</v>
      </c>
      <c r="T396" s="2">
        <f t="shared" si="37"/>
        <v>-14021.529999999999</v>
      </c>
      <c r="U396" s="2">
        <f t="shared" si="38"/>
        <v>0</v>
      </c>
      <c r="V396" s="2" t="str">
        <f>IF(banking_loan_data[[#This Row],[Loan Status]]="FULLY PAID","GOOD",IF(banking_loan_data[[#This Row],[Loan Status]]="CURRENT","ACTIVE","BAD"))</f>
        <v>ACTIVE</v>
      </c>
      <c r="W39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96" s="3">
        <f t="shared" si="39"/>
        <v>38797.53333333334</v>
      </c>
      <c r="Y396" s="4">
        <f t="shared" si="40"/>
        <v>-0.74689873754860703</v>
      </c>
      <c r="Z396" s="2" t="str">
        <f t="shared" si="41"/>
        <v>Normal</v>
      </c>
    </row>
    <row r="397" spans="1:26" x14ac:dyDescent="0.3">
      <c r="A397" t="s">
        <v>836</v>
      </c>
      <c r="B397" s="1">
        <v>44925</v>
      </c>
      <c r="C397" t="s">
        <v>837</v>
      </c>
      <c r="D397" t="s">
        <v>56</v>
      </c>
      <c r="E397">
        <v>27143</v>
      </c>
      <c r="F397">
        <v>6.5</v>
      </c>
      <c r="G397">
        <v>60</v>
      </c>
      <c r="H397" t="s">
        <v>19</v>
      </c>
      <c r="I397" t="s">
        <v>20</v>
      </c>
      <c r="J397" t="s">
        <v>21</v>
      </c>
      <c r="K397">
        <v>112895</v>
      </c>
      <c r="L397" t="s">
        <v>29</v>
      </c>
      <c r="M397">
        <v>0.16</v>
      </c>
      <c r="N397">
        <v>0.67</v>
      </c>
      <c r="O397">
        <v>28907.3</v>
      </c>
      <c r="P397">
        <v>0</v>
      </c>
      <c r="Q397">
        <f ca="1">DATEDIF(banking_loan_data[[#This Row],[Issue Date]],TODAY(),"M")</f>
        <v>38</v>
      </c>
      <c r="R397">
        <f t="shared" si="36"/>
        <v>8821.4750000000004</v>
      </c>
      <c r="S397">
        <f>+banking_loan_data[[#This Row],[Loan Amount]]+banking_loan_data[[#This Row],[Interest earned]]</f>
        <v>35964.474999999999</v>
      </c>
      <c r="T397" s="2">
        <f t="shared" si="37"/>
        <v>1764.2999999999993</v>
      </c>
      <c r="U397" s="2">
        <f t="shared" si="38"/>
        <v>0</v>
      </c>
      <c r="V397" s="2" t="str">
        <f>IF(banking_loan_data[[#This Row],[Loan Status]]="FULLY PAID","GOOD",IF(banking_loan_data[[#This Row],[Loan Status]]="CURRENT","ACTIVE","BAD"))</f>
        <v>GOOD</v>
      </c>
      <c r="W39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397" s="3">
        <f t="shared" si="39"/>
        <v>14702.458333410594</v>
      </c>
      <c r="Y397" s="4">
        <f t="shared" si="40"/>
        <v>6.5000184209556763E-2</v>
      </c>
      <c r="Z397" s="2" t="str">
        <f t="shared" si="41"/>
        <v>Normal</v>
      </c>
    </row>
    <row r="398" spans="1:26" x14ac:dyDescent="0.3">
      <c r="A398" t="s">
        <v>838</v>
      </c>
      <c r="B398" s="1">
        <v>45217</v>
      </c>
      <c r="C398" t="s">
        <v>839</v>
      </c>
      <c r="D398" t="s">
        <v>76</v>
      </c>
      <c r="E398">
        <v>7154</v>
      </c>
      <c r="F398">
        <v>6.5</v>
      </c>
      <c r="G398">
        <v>36</v>
      </c>
      <c r="H398" t="s">
        <v>19</v>
      </c>
      <c r="I398" t="s">
        <v>27</v>
      </c>
      <c r="J398" t="s">
        <v>47</v>
      </c>
      <c r="K398">
        <v>119132</v>
      </c>
      <c r="L398" t="s">
        <v>33</v>
      </c>
      <c r="M398">
        <v>0.49</v>
      </c>
      <c r="N398">
        <v>0.8</v>
      </c>
      <c r="O398">
        <v>7619.01</v>
      </c>
      <c r="P398">
        <v>0</v>
      </c>
      <c r="Q398">
        <f ca="1">DATEDIF(banking_loan_data[[#This Row],[Issue Date]],TODAY(),"M")</f>
        <v>29</v>
      </c>
      <c r="R398">
        <f t="shared" si="36"/>
        <v>1395.03</v>
      </c>
      <c r="S398">
        <f>+banking_loan_data[[#This Row],[Loan Amount]]+banking_loan_data[[#This Row],[Interest earned]]</f>
        <v>8549.0300000000007</v>
      </c>
      <c r="T398" s="2">
        <f t="shared" si="37"/>
        <v>465.01000000000022</v>
      </c>
      <c r="U398" s="2">
        <f t="shared" si="38"/>
        <v>0</v>
      </c>
      <c r="V398" s="2" t="str">
        <f>IF(banking_loan_data[[#This Row],[Loan Status]]="FULLY PAID","GOOD",IF(banking_loan_data[[#This Row],[Loan Status]]="CURRENT","ACTIVE","BAD"))</f>
        <v>GOOD</v>
      </c>
      <c r="W39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398" s="3">
        <f t="shared" si="39"/>
        <v>3875.0839949763845</v>
      </c>
      <c r="Y398" s="4">
        <f t="shared" si="40"/>
        <v>6.500000000000003E-2</v>
      </c>
      <c r="Z398" s="2" t="str">
        <f t="shared" si="41"/>
        <v>High Risk</v>
      </c>
    </row>
    <row r="399" spans="1:26" x14ac:dyDescent="0.3">
      <c r="A399" t="s">
        <v>840</v>
      </c>
      <c r="B399" s="1">
        <v>44957</v>
      </c>
      <c r="C399" t="s">
        <v>841</v>
      </c>
      <c r="D399" t="s">
        <v>46</v>
      </c>
      <c r="E399">
        <v>22804</v>
      </c>
      <c r="F399">
        <v>11.8</v>
      </c>
      <c r="G399">
        <v>60</v>
      </c>
      <c r="H399" t="s">
        <v>19</v>
      </c>
      <c r="I399" t="s">
        <v>84</v>
      </c>
      <c r="J399" t="s">
        <v>32</v>
      </c>
      <c r="K399">
        <v>121066</v>
      </c>
      <c r="L399" t="s">
        <v>29</v>
      </c>
      <c r="M399">
        <v>0.32</v>
      </c>
      <c r="N399">
        <v>0.55000000000000004</v>
      </c>
      <c r="O399">
        <v>25494.87</v>
      </c>
      <c r="P399">
        <v>0</v>
      </c>
      <c r="Q399">
        <f ca="1">DATEDIF(banking_loan_data[[#This Row],[Issue Date]],TODAY(),"M")</f>
        <v>37</v>
      </c>
      <c r="R399">
        <f t="shared" si="36"/>
        <v>13454.36</v>
      </c>
      <c r="S399">
        <f>+banking_loan_data[[#This Row],[Loan Amount]]+banking_loan_data[[#This Row],[Interest earned]]</f>
        <v>36258.36</v>
      </c>
      <c r="T399" s="2">
        <f t="shared" si="37"/>
        <v>2690.869999999999</v>
      </c>
      <c r="U399" s="2">
        <f t="shared" si="38"/>
        <v>0</v>
      </c>
      <c r="V399" s="2" t="str">
        <f>IF(banking_loan_data[[#This Row],[Loan Status]]="FULLY PAID","GOOD",IF(banking_loan_data[[#This Row],[Loan Status]]="CURRENT","ACTIVE","BAD"))</f>
        <v>GOOD</v>
      </c>
      <c r="W39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399" s="3">
        <f t="shared" si="39"/>
        <v>22423.933333333334</v>
      </c>
      <c r="Y399" s="4">
        <f t="shared" si="40"/>
        <v>0.11799991229608836</v>
      </c>
      <c r="Z399" s="2" t="str">
        <f t="shared" si="41"/>
        <v>Normal</v>
      </c>
    </row>
    <row r="400" spans="1:26" x14ac:dyDescent="0.3">
      <c r="A400" t="s">
        <v>842</v>
      </c>
      <c r="B400" s="1">
        <v>44872</v>
      </c>
      <c r="C400" t="s">
        <v>843</v>
      </c>
      <c r="D400" t="s">
        <v>76</v>
      </c>
      <c r="E400">
        <v>21581</v>
      </c>
      <c r="F400">
        <v>22.3</v>
      </c>
      <c r="G400">
        <v>60</v>
      </c>
      <c r="H400" t="s">
        <v>26</v>
      </c>
      <c r="I400" t="s">
        <v>57</v>
      </c>
      <c r="J400" t="s">
        <v>37</v>
      </c>
      <c r="K400">
        <v>96798</v>
      </c>
      <c r="L400" t="s">
        <v>22</v>
      </c>
      <c r="M400">
        <v>0.15</v>
      </c>
      <c r="N400">
        <v>0.93</v>
      </c>
      <c r="O400">
        <v>4810.13</v>
      </c>
      <c r="P400">
        <v>0</v>
      </c>
      <c r="Q400">
        <f ca="1">DATEDIF(banking_loan_data[[#This Row],[Issue Date]],TODAY(),"M")</f>
        <v>40</v>
      </c>
      <c r="R400">
        <f t="shared" si="36"/>
        <v>24062.815000000002</v>
      </c>
      <c r="S400">
        <f>+banking_loan_data[[#This Row],[Loan Amount]]+banking_loan_data[[#This Row],[Interest earned]]</f>
        <v>45643.815000000002</v>
      </c>
      <c r="T400" s="2">
        <f t="shared" si="37"/>
        <v>-16770.87</v>
      </c>
      <c r="U400" s="2">
        <f t="shared" si="38"/>
        <v>0</v>
      </c>
      <c r="V400" s="2" t="str">
        <f>IF(banking_loan_data[[#This Row],[Loan Status]]="FULLY PAID","GOOD",IF(banking_loan_data[[#This Row],[Loan Status]]="CURRENT","ACTIVE","BAD"))</f>
        <v>ACTIVE</v>
      </c>
      <c r="W40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00" s="3">
        <f t="shared" si="39"/>
        <v>40104.691666666666</v>
      </c>
      <c r="Y400" s="4">
        <f t="shared" si="40"/>
        <v>-0.77711273805662384</v>
      </c>
      <c r="Z400" s="2" t="str">
        <f t="shared" si="41"/>
        <v>High Risk</v>
      </c>
    </row>
    <row r="401" spans="1:26" x14ac:dyDescent="0.3">
      <c r="A401" t="s">
        <v>844</v>
      </c>
      <c r="B401" s="1">
        <v>44653</v>
      </c>
      <c r="C401" t="s">
        <v>845</v>
      </c>
      <c r="D401" t="s">
        <v>72</v>
      </c>
      <c r="E401">
        <v>31087</v>
      </c>
      <c r="F401">
        <v>9.3000000000000007</v>
      </c>
      <c r="G401">
        <v>36</v>
      </c>
      <c r="H401" t="s">
        <v>26</v>
      </c>
      <c r="I401" t="s">
        <v>73</v>
      </c>
      <c r="J401" t="s">
        <v>32</v>
      </c>
      <c r="K401">
        <v>84199</v>
      </c>
      <c r="L401" t="s">
        <v>29</v>
      </c>
      <c r="M401">
        <v>0.46</v>
      </c>
      <c r="N401">
        <v>0.89</v>
      </c>
      <c r="O401">
        <v>7602.33</v>
      </c>
      <c r="P401">
        <v>0</v>
      </c>
      <c r="Q401">
        <f ca="1">DATEDIF(banking_loan_data[[#This Row],[Issue Date]],TODAY(),"M")</f>
        <v>47</v>
      </c>
      <c r="R401">
        <f t="shared" si="36"/>
        <v>8673.273000000001</v>
      </c>
      <c r="S401">
        <f>+banking_loan_data[[#This Row],[Loan Amount]]+banking_loan_data[[#This Row],[Interest earned]]</f>
        <v>39760.273000000001</v>
      </c>
      <c r="T401" s="2">
        <f t="shared" si="37"/>
        <v>-23484.67</v>
      </c>
      <c r="U401" s="2">
        <f t="shared" si="38"/>
        <v>0</v>
      </c>
      <c r="V401" s="2" t="str">
        <f>IF(banking_loan_data[[#This Row],[Loan Status]]="FULLY PAID","GOOD",IF(banking_loan_data[[#This Row],[Loan Status]]="CURRENT","ACTIVE","BAD"))</f>
        <v>ACTIVE</v>
      </c>
      <c r="W40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401" s="3">
        <f t="shared" si="39"/>
        <v>24092.425025747772</v>
      </c>
      <c r="Y401" s="4">
        <f t="shared" si="40"/>
        <v>-0.75544986650368318</v>
      </c>
      <c r="Z401" s="2" t="str">
        <f t="shared" si="41"/>
        <v>High Risk</v>
      </c>
    </row>
    <row r="402" spans="1:26" x14ac:dyDescent="0.3">
      <c r="A402" t="s">
        <v>846</v>
      </c>
      <c r="B402" s="1">
        <v>45116</v>
      </c>
      <c r="C402" t="s">
        <v>847</v>
      </c>
      <c r="D402" t="s">
        <v>72</v>
      </c>
      <c r="E402">
        <v>33981</v>
      </c>
      <c r="F402">
        <v>12.2</v>
      </c>
      <c r="G402">
        <v>36</v>
      </c>
      <c r="H402" t="s">
        <v>19</v>
      </c>
      <c r="I402" t="s">
        <v>57</v>
      </c>
      <c r="J402" t="s">
        <v>37</v>
      </c>
      <c r="K402">
        <v>89546</v>
      </c>
      <c r="L402" t="s">
        <v>33</v>
      </c>
      <c r="M402">
        <v>0.13</v>
      </c>
      <c r="N402">
        <v>0.76</v>
      </c>
      <c r="O402">
        <v>38126.68</v>
      </c>
      <c r="P402">
        <v>0</v>
      </c>
      <c r="Q402">
        <f ca="1">DATEDIF(banking_loan_data[[#This Row],[Issue Date]],TODAY(),"M")</f>
        <v>32</v>
      </c>
      <c r="R402">
        <f t="shared" si="36"/>
        <v>12437.046</v>
      </c>
      <c r="S402">
        <f>+banking_loan_data[[#This Row],[Loan Amount]]+banking_loan_data[[#This Row],[Interest earned]]</f>
        <v>46418.046000000002</v>
      </c>
      <c r="T402" s="2">
        <f t="shared" si="37"/>
        <v>4145.68</v>
      </c>
      <c r="U402" s="2">
        <f t="shared" si="38"/>
        <v>0</v>
      </c>
      <c r="V402" s="2" t="str">
        <f>IF(banking_loan_data[[#This Row],[Loan Status]]="FULLY PAID","GOOD",IF(banking_loan_data[[#This Row],[Loan Status]]="CURRENT","ACTIVE","BAD"))</f>
        <v>GOOD</v>
      </c>
      <c r="W40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02" s="3">
        <f t="shared" si="39"/>
        <v>34547.350000372891</v>
      </c>
      <c r="Y402" s="4">
        <f t="shared" si="40"/>
        <v>0.12199994114358025</v>
      </c>
      <c r="Z402" s="2" t="str">
        <f t="shared" si="41"/>
        <v>Normal</v>
      </c>
    </row>
    <row r="403" spans="1:26" x14ac:dyDescent="0.3">
      <c r="A403" t="s">
        <v>848</v>
      </c>
      <c r="B403" s="1">
        <v>44388</v>
      </c>
      <c r="C403" t="s">
        <v>849</v>
      </c>
      <c r="D403" t="s">
        <v>72</v>
      </c>
      <c r="E403">
        <v>4762</v>
      </c>
      <c r="F403">
        <v>6.4</v>
      </c>
      <c r="G403">
        <v>60</v>
      </c>
      <c r="H403" t="s">
        <v>19</v>
      </c>
      <c r="I403" t="s">
        <v>57</v>
      </c>
      <c r="J403" t="s">
        <v>37</v>
      </c>
      <c r="K403">
        <v>135686</v>
      </c>
      <c r="L403" t="s">
        <v>33</v>
      </c>
      <c r="M403">
        <v>0.46</v>
      </c>
      <c r="N403">
        <v>0.8</v>
      </c>
      <c r="O403">
        <v>5066.7700000000004</v>
      </c>
      <c r="P403">
        <v>0</v>
      </c>
      <c r="Q403">
        <f ca="1">DATEDIF(banking_loan_data[[#This Row],[Issue Date]],TODAY(),"M")</f>
        <v>56</v>
      </c>
      <c r="R403">
        <f t="shared" si="36"/>
        <v>1523.8400000000001</v>
      </c>
      <c r="S403">
        <f>+banking_loan_data[[#This Row],[Loan Amount]]+banking_loan_data[[#This Row],[Interest earned]]</f>
        <v>6285.84</v>
      </c>
      <c r="T403" s="2">
        <f t="shared" si="37"/>
        <v>304.77000000000044</v>
      </c>
      <c r="U403" s="2">
        <f t="shared" si="38"/>
        <v>0</v>
      </c>
      <c r="V403" s="2" t="str">
        <f>IF(banking_loan_data[[#This Row],[Loan Status]]="FULLY PAID","GOOD",IF(banking_loan_data[[#This Row],[Loan Status]]="CURRENT","ACTIVE","BAD"))</f>
        <v>GOOD</v>
      </c>
      <c r="W40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03" s="3">
        <f t="shared" si="39"/>
        <v>2539.7333333518086</v>
      </c>
      <c r="Y403" s="4">
        <f t="shared" si="40"/>
        <v>6.4000419991600263E-2</v>
      </c>
      <c r="Z403" s="2" t="str">
        <f t="shared" si="41"/>
        <v>High Risk</v>
      </c>
    </row>
    <row r="404" spans="1:26" x14ac:dyDescent="0.3">
      <c r="A404" t="s">
        <v>850</v>
      </c>
      <c r="B404" s="1">
        <v>44935</v>
      </c>
      <c r="C404" t="s">
        <v>851</v>
      </c>
      <c r="D404" t="s">
        <v>25</v>
      </c>
      <c r="E404">
        <v>10768</v>
      </c>
      <c r="F404">
        <v>20.3</v>
      </c>
      <c r="G404">
        <v>60</v>
      </c>
      <c r="H404" t="s">
        <v>81</v>
      </c>
      <c r="I404" t="s">
        <v>84</v>
      </c>
      <c r="J404" t="s">
        <v>21</v>
      </c>
      <c r="K404">
        <v>118151</v>
      </c>
      <c r="L404" t="s">
        <v>22</v>
      </c>
      <c r="M404">
        <v>0.5</v>
      </c>
      <c r="N404">
        <v>0.51</v>
      </c>
      <c r="O404">
        <v>4240.21</v>
      </c>
      <c r="P404">
        <v>804.81</v>
      </c>
      <c r="Q404">
        <f ca="1">DATEDIF(banking_loan_data[[#This Row],[Issue Date]],TODAY(),"M")</f>
        <v>38</v>
      </c>
      <c r="R404">
        <f t="shared" si="36"/>
        <v>10929.519999999999</v>
      </c>
      <c r="S404">
        <f>+banking_loan_data[[#This Row],[Loan Amount]]+banking_loan_data[[#This Row],[Interest earned]]</f>
        <v>21697.519999999997</v>
      </c>
      <c r="T404" s="2">
        <f t="shared" si="37"/>
        <v>-5722.98</v>
      </c>
      <c r="U404" s="2">
        <f t="shared" si="38"/>
        <v>1</v>
      </c>
      <c r="V404" s="2" t="str">
        <f>IF(banking_loan_data[[#This Row],[Loan Status]]="FULLY PAID","GOOD",IF(banking_loan_data[[#This Row],[Loan Status]]="CURRENT","ACTIVE","BAD"))</f>
        <v>BAD</v>
      </c>
      <c r="W40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04" s="3">
        <f t="shared" si="39"/>
        <v>18215.866666666665</v>
      </c>
      <c r="Y404" s="4">
        <f t="shared" si="40"/>
        <v>-0.53148031203566115</v>
      </c>
      <c r="Z404" s="2" t="str">
        <f t="shared" si="41"/>
        <v>High Risk</v>
      </c>
    </row>
    <row r="405" spans="1:26" x14ac:dyDescent="0.3">
      <c r="A405" t="s">
        <v>852</v>
      </c>
      <c r="B405" s="1">
        <v>45174</v>
      </c>
      <c r="C405" t="s">
        <v>853</v>
      </c>
      <c r="D405" t="s">
        <v>76</v>
      </c>
      <c r="E405">
        <v>39559</v>
      </c>
      <c r="F405">
        <v>13.2</v>
      </c>
      <c r="G405">
        <v>36</v>
      </c>
      <c r="H405" t="s">
        <v>19</v>
      </c>
      <c r="I405" t="s">
        <v>57</v>
      </c>
      <c r="J405" t="s">
        <v>28</v>
      </c>
      <c r="K405">
        <v>33327</v>
      </c>
      <c r="L405" t="s">
        <v>33</v>
      </c>
      <c r="M405">
        <v>0.38</v>
      </c>
      <c r="N405">
        <v>0.65</v>
      </c>
      <c r="O405">
        <v>44780.79</v>
      </c>
      <c r="P405">
        <v>0</v>
      </c>
      <c r="Q405">
        <f ca="1">DATEDIF(banking_loan_data[[#This Row],[Issue Date]],TODAY(),"M")</f>
        <v>30</v>
      </c>
      <c r="R405">
        <f t="shared" si="36"/>
        <v>15665.364</v>
      </c>
      <c r="S405">
        <f>+banking_loan_data[[#This Row],[Loan Amount]]+banking_loan_data[[#This Row],[Interest earned]]</f>
        <v>55224.364000000001</v>
      </c>
      <c r="T405" s="2">
        <f t="shared" si="37"/>
        <v>5221.7900000000009</v>
      </c>
      <c r="U405" s="2">
        <f t="shared" si="38"/>
        <v>0</v>
      </c>
      <c r="V405" s="2" t="str">
        <f>IF(banking_loan_data[[#This Row],[Loan Status]]="FULLY PAID","GOOD",IF(banking_loan_data[[#This Row],[Loan Status]]="CURRENT","ACTIVE","BAD"))</f>
        <v>GOOD</v>
      </c>
      <c r="W40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05" s="3">
        <f t="shared" si="39"/>
        <v>43514.90000010933</v>
      </c>
      <c r="Y405" s="4">
        <f t="shared" si="40"/>
        <v>0.1320000505573953</v>
      </c>
      <c r="Z405" s="2" t="str">
        <f t="shared" si="41"/>
        <v>Normal</v>
      </c>
    </row>
    <row r="406" spans="1:26" x14ac:dyDescent="0.3">
      <c r="A406" t="s">
        <v>854</v>
      </c>
      <c r="B406" s="1">
        <v>45205</v>
      </c>
      <c r="C406" t="s">
        <v>855</v>
      </c>
      <c r="D406" t="s">
        <v>25</v>
      </c>
      <c r="E406">
        <v>9783</v>
      </c>
      <c r="F406">
        <v>20.2</v>
      </c>
      <c r="G406">
        <v>36</v>
      </c>
      <c r="H406" t="s">
        <v>81</v>
      </c>
      <c r="I406" t="s">
        <v>27</v>
      </c>
      <c r="J406" t="s">
        <v>21</v>
      </c>
      <c r="K406">
        <v>59768</v>
      </c>
      <c r="L406" t="s">
        <v>29</v>
      </c>
      <c r="M406">
        <v>0.41</v>
      </c>
      <c r="N406">
        <v>0.86</v>
      </c>
      <c r="O406">
        <v>1238.43</v>
      </c>
      <c r="P406">
        <v>3866.9</v>
      </c>
      <c r="Q406">
        <f ca="1">DATEDIF(banking_loan_data[[#This Row],[Issue Date]],TODAY(),"M")</f>
        <v>29</v>
      </c>
      <c r="R406">
        <f t="shared" si="36"/>
        <v>5928.4980000000005</v>
      </c>
      <c r="S406">
        <f>+banking_loan_data[[#This Row],[Loan Amount]]+banking_loan_data[[#This Row],[Interest earned]]</f>
        <v>15711.498</v>
      </c>
      <c r="T406" s="2">
        <f t="shared" si="37"/>
        <v>-4677.67</v>
      </c>
      <c r="U406" s="2">
        <f t="shared" si="38"/>
        <v>1</v>
      </c>
      <c r="V406" s="2" t="str">
        <f>IF(banking_loan_data[[#This Row],[Loan Status]]="FULLY PAID","GOOD",IF(banking_loan_data[[#This Row],[Loan Status]]="CURRENT","ACTIVE","BAD"))</f>
        <v>BAD</v>
      </c>
      <c r="W40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06" s="3">
        <f t="shared" si="39"/>
        <v>16468.050000000007</v>
      </c>
      <c r="Y406" s="4">
        <f t="shared" si="40"/>
        <v>-0.47814269651436164</v>
      </c>
      <c r="Z406" s="2" t="str">
        <f t="shared" si="41"/>
        <v>High Risk</v>
      </c>
    </row>
    <row r="407" spans="1:26" x14ac:dyDescent="0.3">
      <c r="A407" t="s">
        <v>856</v>
      </c>
      <c r="B407" s="1">
        <v>44292</v>
      </c>
      <c r="C407" t="s">
        <v>857</v>
      </c>
      <c r="D407" t="s">
        <v>18</v>
      </c>
      <c r="E407">
        <v>30781</v>
      </c>
      <c r="F407">
        <v>23.1</v>
      </c>
      <c r="G407">
        <v>36</v>
      </c>
      <c r="H407" t="s">
        <v>19</v>
      </c>
      <c r="I407" t="s">
        <v>20</v>
      </c>
      <c r="J407" t="s">
        <v>47</v>
      </c>
      <c r="K407">
        <v>94418</v>
      </c>
      <c r="L407" t="s">
        <v>29</v>
      </c>
      <c r="M407">
        <v>0.23</v>
      </c>
      <c r="N407">
        <v>0.53</v>
      </c>
      <c r="O407">
        <v>37891.410000000003</v>
      </c>
      <c r="P407">
        <v>0</v>
      </c>
      <c r="Q407">
        <f ca="1">DATEDIF(banking_loan_data[[#This Row],[Issue Date]],TODAY(),"M")</f>
        <v>59</v>
      </c>
      <c r="R407">
        <f t="shared" si="36"/>
        <v>21331.233000000004</v>
      </c>
      <c r="S407">
        <f>+banking_loan_data[[#This Row],[Loan Amount]]+banking_loan_data[[#This Row],[Interest earned]]</f>
        <v>52112.233000000007</v>
      </c>
      <c r="T407" s="2">
        <f t="shared" si="37"/>
        <v>7110.4100000000035</v>
      </c>
      <c r="U407" s="2">
        <f t="shared" si="38"/>
        <v>0</v>
      </c>
      <c r="V407" s="2" t="str">
        <f>IF(banking_loan_data[[#This Row],[Loan Status]]="FULLY PAID","GOOD",IF(banking_loan_data[[#This Row],[Loan Status]]="CURRENT","ACTIVE","BAD"))</f>
        <v>GOOD</v>
      </c>
      <c r="W40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07" s="3">
        <f t="shared" si="39"/>
        <v>59253.425000000003</v>
      </c>
      <c r="Y407" s="4">
        <f t="shared" si="40"/>
        <v>0.2309999675124266</v>
      </c>
      <c r="Z407" s="2" t="str">
        <f t="shared" si="41"/>
        <v>Normal</v>
      </c>
    </row>
    <row r="408" spans="1:26" x14ac:dyDescent="0.3">
      <c r="A408" t="s">
        <v>858</v>
      </c>
      <c r="B408" s="1">
        <v>44859</v>
      </c>
      <c r="C408" t="s">
        <v>859</v>
      </c>
      <c r="D408" t="s">
        <v>46</v>
      </c>
      <c r="E408">
        <v>31811</v>
      </c>
      <c r="F408">
        <v>9.6999999999999993</v>
      </c>
      <c r="G408">
        <v>60</v>
      </c>
      <c r="H408" t="s">
        <v>26</v>
      </c>
      <c r="I408" t="s">
        <v>20</v>
      </c>
      <c r="J408" t="s">
        <v>37</v>
      </c>
      <c r="K408">
        <v>124386</v>
      </c>
      <c r="L408" t="s">
        <v>29</v>
      </c>
      <c r="M408">
        <v>0.48</v>
      </c>
      <c r="N408">
        <v>0.63</v>
      </c>
      <c r="O408">
        <v>14792.24</v>
      </c>
      <c r="P408">
        <v>0</v>
      </c>
      <c r="Q408">
        <f ca="1">DATEDIF(banking_loan_data[[#This Row],[Issue Date]],TODAY(),"M")</f>
        <v>40</v>
      </c>
      <c r="R408">
        <f t="shared" si="36"/>
        <v>15428.334999999997</v>
      </c>
      <c r="S408">
        <f>+banking_loan_data[[#This Row],[Loan Amount]]+banking_loan_data[[#This Row],[Interest earned]]</f>
        <v>47239.334999999999</v>
      </c>
      <c r="T408" s="2">
        <f t="shared" si="37"/>
        <v>-17018.760000000002</v>
      </c>
      <c r="U408" s="2">
        <f t="shared" si="38"/>
        <v>0</v>
      </c>
      <c r="V408" s="2" t="str">
        <f>IF(banking_loan_data[[#This Row],[Loan Status]]="FULLY PAID","GOOD",IF(banking_loan_data[[#This Row],[Loan Status]]="CURRENT","ACTIVE","BAD"))</f>
        <v>ACTIVE</v>
      </c>
      <c r="W40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08" s="3">
        <f t="shared" si="39"/>
        <v>25713.891666666674</v>
      </c>
      <c r="Y408" s="4">
        <f t="shared" si="40"/>
        <v>-0.53499607054163656</v>
      </c>
      <c r="Z408" s="2" t="str">
        <f t="shared" si="41"/>
        <v>High Risk</v>
      </c>
    </row>
    <row r="409" spans="1:26" x14ac:dyDescent="0.3">
      <c r="A409" t="s">
        <v>860</v>
      </c>
      <c r="B409" s="1">
        <v>44233</v>
      </c>
      <c r="C409" t="s">
        <v>861</v>
      </c>
      <c r="D409" t="s">
        <v>40</v>
      </c>
      <c r="E409">
        <v>36488</v>
      </c>
      <c r="F409">
        <v>21.1</v>
      </c>
      <c r="G409">
        <v>36</v>
      </c>
      <c r="H409" t="s">
        <v>19</v>
      </c>
      <c r="I409" t="s">
        <v>57</v>
      </c>
      <c r="J409" t="s">
        <v>28</v>
      </c>
      <c r="K409">
        <v>146947</v>
      </c>
      <c r="L409" t="s">
        <v>29</v>
      </c>
      <c r="M409">
        <v>0.31</v>
      </c>
      <c r="N409">
        <v>0.76</v>
      </c>
      <c r="O409">
        <v>44186.97</v>
      </c>
      <c r="P409">
        <v>0</v>
      </c>
      <c r="Q409">
        <f ca="1">DATEDIF(banking_loan_data[[#This Row],[Issue Date]],TODAY(),"M")</f>
        <v>61</v>
      </c>
      <c r="R409">
        <f t="shared" si="36"/>
        <v>23096.903999999999</v>
      </c>
      <c r="S409">
        <f>+banking_loan_data[[#This Row],[Loan Amount]]+banking_loan_data[[#This Row],[Interest earned]]</f>
        <v>59584.903999999995</v>
      </c>
      <c r="T409" s="2">
        <f t="shared" si="37"/>
        <v>7698.9700000000012</v>
      </c>
      <c r="U409" s="2">
        <f t="shared" si="38"/>
        <v>0</v>
      </c>
      <c r="V409" s="2" t="str">
        <f>IF(banking_loan_data[[#This Row],[Loan Status]]="FULLY PAID","GOOD",IF(banking_loan_data[[#This Row],[Loan Status]]="CURRENT","ACTIVE","BAD"))</f>
        <v>GOOD</v>
      </c>
      <c r="W40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09" s="3">
        <f t="shared" si="39"/>
        <v>64158.066666666688</v>
      </c>
      <c r="Y409" s="4">
        <f t="shared" si="40"/>
        <v>0.21100005481254114</v>
      </c>
      <c r="Z409" s="2" t="str">
        <f t="shared" si="41"/>
        <v>Normal</v>
      </c>
    </row>
    <row r="410" spans="1:26" x14ac:dyDescent="0.3">
      <c r="A410" t="s">
        <v>862</v>
      </c>
      <c r="B410" s="1">
        <v>44475</v>
      </c>
      <c r="C410" t="s">
        <v>863</v>
      </c>
      <c r="D410" t="s">
        <v>53</v>
      </c>
      <c r="E410">
        <v>9905</v>
      </c>
      <c r="F410">
        <v>6.2</v>
      </c>
      <c r="G410">
        <v>36</v>
      </c>
      <c r="H410" t="s">
        <v>81</v>
      </c>
      <c r="I410" t="s">
        <v>73</v>
      </c>
      <c r="J410" t="s">
        <v>37</v>
      </c>
      <c r="K410">
        <v>72788</v>
      </c>
      <c r="L410" t="s">
        <v>22</v>
      </c>
      <c r="M410">
        <v>0.39</v>
      </c>
      <c r="N410">
        <v>0.62</v>
      </c>
      <c r="O410">
        <v>2417.52</v>
      </c>
      <c r="P410">
        <v>3932.05</v>
      </c>
      <c r="Q410">
        <f ca="1">DATEDIF(banking_loan_data[[#This Row],[Issue Date]],TODAY(),"M")</f>
        <v>53</v>
      </c>
      <c r="R410">
        <f t="shared" si="36"/>
        <v>1842.33</v>
      </c>
      <c r="S410">
        <f>+banking_loan_data[[#This Row],[Loan Amount]]+banking_loan_data[[#This Row],[Interest earned]]</f>
        <v>11747.33</v>
      </c>
      <c r="T410" s="2">
        <f t="shared" si="37"/>
        <v>-3555.4300000000003</v>
      </c>
      <c r="U410" s="2">
        <f t="shared" si="38"/>
        <v>1</v>
      </c>
      <c r="V410" s="2" t="str">
        <f>IF(banking_loan_data[[#This Row],[Loan Status]]="FULLY PAID","GOOD",IF(banking_loan_data[[#This Row],[Loan Status]]="CURRENT","ACTIVE","BAD"))</f>
        <v>BAD</v>
      </c>
      <c r="W41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410" s="3">
        <f t="shared" si="39"/>
        <v>5117.5849073884929</v>
      </c>
      <c r="Y410" s="4">
        <f t="shared" si="40"/>
        <v>-0.35895305401312472</v>
      </c>
      <c r="Z410" s="2" t="str">
        <f t="shared" si="41"/>
        <v>Normal</v>
      </c>
    </row>
    <row r="411" spans="1:26" x14ac:dyDescent="0.3">
      <c r="A411" t="s">
        <v>864</v>
      </c>
      <c r="B411" s="1">
        <v>44413</v>
      </c>
      <c r="C411" t="s">
        <v>865</v>
      </c>
      <c r="D411" t="s">
        <v>76</v>
      </c>
      <c r="E411">
        <v>10127</v>
      </c>
      <c r="F411">
        <v>23</v>
      </c>
      <c r="G411">
        <v>36</v>
      </c>
      <c r="H411" t="s">
        <v>26</v>
      </c>
      <c r="I411" t="s">
        <v>73</v>
      </c>
      <c r="J411" t="s">
        <v>37</v>
      </c>
      <c r="K411">
        <v>145945</v>
      </c>
      <c r="L411" t="s">
        <v>29</v>
      </c>
      <c r="M411">
        <v>0.47</v>
      </c>
      <c r="N411">
        <v>0.92</v>
      </c>
      <c r="O411">
        <v>3348.84</v>
      </c>
      <c r="P411">
        <v>0</v>
      </c>
      <c r="Q411">
        <f ca="1">DATEDIF(banking_loan_data[[#This Row],[Issue Date]],TODAY(),"M")</f>
        <v>55</v>
      </c>
      <c r="R411">
        <f t="shared" si="36"/>
        <v>6987.63</v>
      </c>
      <c r="S411">
        <f>+banking_loan_data[[#This Row],[Loan Amount]]+banking_loan_data[[#This Row],[Interest earned]]</f>
        <v>17114.63</v>
      </c>
      <c r="T411" s="2">
        <f t="shared" si="37"/>
        <v>-6778.16</v>
      </c>
      <c r="U411" s="2">
        <f t="shared" si="38"/>
        <v>0</v>
      </c>
      <c r="V411" s="2" t="str">
        <f>IF(banking_loan_data[[#This Row],[Loan Status]]="FULLY PAID","GOOD",IF(banking_loan_data[[#This Row],[Loan Status]]="CURRENT","ACTIVE","BAD"))</f>
        <v>ACTIVE</v>
      </c>
      <c r="W41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411" s="3">
        <f t="shared" si="39"/>
        <v>19410.083333333336</v>
      </c>
      <c r="Y411" s="4">
        <f t="shared" si="40"/>
        <v>-0.66931569072775743</v>
      </c>
      <c r="Z411" s="2" t="str">
        <f t="shared" si="41"/>
        <v>High Risk</v>
      </c>
    </row>
    <row r="412" spans="1:26" x14ac:dyDescent="0.3">
      <c r="A412" t="s">
        <v>866</v>
      </c>
      <c r="B412" s="1">
        <v>45063</v>
      </c>
      <c r="C412" t="s">
        <v>867</v>
      </c>
      <c r="D412" t="s">
        <v>53</v>
      </c>
      <c r="E412">
        <v>23431</v>
      </c>
      <c r="F412">
        <v>18</v>
      </c>
      <c r="G412">
        <v>60</v>
      </c>
      <c r="H412" t="s">
        <v>19</v>
      </c>
      <c r="I412" t="s">
        <v>27</v>
      </c>
      <c r="J412" t="s">
        <v>21</v>
      </c>
      <c r="K412">
        <v>112384</v>
      </c>
      <c r="L412" t="s">
        <v>22</v>
      </c>
      <c r="M412">
        <v>0.49</v>
      </c>
      <c r="N412">
        <v>0.56000000000000005</v>
      </c>
      <c r="O412">
        <v>27648.58</v>
      </c>
      <c r="P412">
        <v>0</v>
      </c>
      <c r="Q412">
        <f ca="1">DATEDIF(banking_loan_data[[#This Row],[Issue Date]],TODAY(),"M")</f>
        <v>34</v>
      </c>
      <c r="R412">
        <f t="shared" si="36"/>
        <v>21087.899999999998</v>
      </c>
      <c r="S412">
        <f>+banking_loan_data[[#This Row],[Loan Amount]]+banking_loan_data[[#This Row],[Interest earned]]</f>
        <v>44518.899999999994</v>
      </c>
      <c r="T412" s="2">
        <f t="shared" si="37"/>
        <v>4217.5800000000017</v>
      </c>
      <c r="U412" s="2">
        <f t="shared" si="38"/>
        <v>0</v>
      </c>
      <c r="V412" s="2" t="str">
        <f>IF(banking_loan_data[[#This Row],[Loan Status]]="FULLY PAID","GOOD",IF(banking_loan_data[[#This Row],[Loan Status]]="CURRENT","ACTIVE","BAD"))</f>
        <v>GOOD</v>
      </c>
      <c r="W41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12" s="3">
        <f t="shared" si="39"/>
        <v>35146.5</v>
      </c>
      <c r="Y412" s="4">
        <f t="shared" si="40"/>
        <v>0.18000000000000008</v>
      </c>
      <c r="Z412" s="2" t="str">
        <f t="shared" si="41"/>
        <v>High Risk</v>
      </c>
    </row>
    <row r="413" spans="1:26" x14ac:dyDescent="0.3">
      <c r="A413" t="s">
        <v>868</v>
      </c>
      <c r="B413" s="1">
        <v>45069</v>
      </c>
      <c r="C413" t="s">
        <v>869</v>
      </c>
      <c r="D413" t="s">
        <v>56</v>
      </c>
      <c r="E413">
        <v>7368</v>
      </c>
      <c r="F413">
        <v>22.5</v>
      </c>
      <c r="G413">
        <v>36</v>
      </c>
      <c r="H413" t="s">
        <v>19</v>
      </c>
      <c r="I413" t="s">
        <v>20</v>
      </c>
      <c r="J413" t="s">
        <v>28</v>
      </c>
      <c r="K413">
        <v>76830</v>
      </c>
      <c r="L413" t="s">
        <v>29</v>
      </c>
      <c r="M413">
        <v>0.43</v>
      </c>
      <c r="N413">
        <v>0.86</v>
      </c>
      <c r="O413">
        <v>9025.7999999999993</v>
      </c>
      <c r="P413">
        <v>0</v>
      </c>
      <c r="Q413">
        <f ca="1">DATEDIF(banking_loan_data[[#This Row],[Issue Date]],TODAY(),"M")</f>
        <v>33</v>
      </c>
      <c r="R413">
        <f t="shared" si="36"/>
        <v>4973.3999999999996</v>
      </c>
      <c r="S413">
        <f>+banking_loan_data[[#This Row],[Loan Amount]]+banking_loan_data[[#This Row],[Interest earned]]</f>
        <v>12341.4</v>
      </c>
      <c r="T413" s="2">
        <f t="shared" si="37"/>
        <v>1657.7999999999993</v>
      </c>
      <c r="U413" s="2">
        <f t="shared" si="38"/>
        <v>0</v>
      </c>
      <c r="V413" s="2" t="str">
        <f>IF(banking_loan_data[[#This Row],[Loan Status]]="FULLY PAID","GOOD",IF(banking_loan_data[[#This Row],[Loan Status]]="CURRENT","ACTIVE","BAD"))</f>
        <v>GOOD</v>
      </c>
      <c r="W41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13" s="3">
        <f t="shared" si="39"/>
        <v>13815</v>
      </c>
      <c r="Y413" s="4">
        <f t="shared" si="40"/>
        <v>0.22499999999999989</v>
      </c>
      <c r="Z413" s="2" t="str">
        <f t="shared" si="41"/>
        <v>High Risk</v>
      </c>
    </row>
    <row r="414" spans="1:26" x14ac:dyDescent="0.3">
      <c r="A414" t="s">
        <v>870</v>
      </c>
      <c r="B414" s="1">
        <v>44258</v>
      </c>
      <c r="C414" t="s">
        <v>871</v>
      </c>
      <c r="D414" t="s">
        <v>76</v>
      </c>
      <c r="E414">
        <v>28424</v>
      </c>
      <c r="F414">
        <v>5</v>
      </c>
      <c r="G414">
        <v>36</v>
      </c>
      <c r="H414" t="s">
        <v>26</v>
      </c>
      <c r="I414" t="s">
        <v>20</v>
      </c>
      <c r="J414" t="s">
        <v>28</v>
      </c>
      <c r="K414">
        <v>82446</v>
      </c>
      <c r="L414" t="s">
        <v>22</v>
      </c>
      <c r="M414">
        <v>0.22</v>
      </c>
      <c r="N414">
        <v>0.73</v>
      </c>
      <c r="O414">
        <v>12039.9</v>
      </c>
      <c r="P414">
        <v>0</v>
      </c>
      <c r="Q414">
        <f ca="1">DATEDIF(banking_loan_data[[#This Row],[Issue Date]],TODAY(),"M")</f>
        <v>60</v>
      </c>
      <c r="R414">
        <f t="shared" si="36"/>
        <v>4263.6000000000004</v>
      </c>
      <c r="S414">
        <f>+banking_loan_data[[#This Row],[Loan Amount]]+banking_loan_data[[#This Row],[Interest earned]]</f>
        <v>32687.599999999999</v>
      </c>
      <c r="T414" s="2">
        <f t="shared" si="37"/>
        <v>-16384.099999999999</v>
      </c>
      <c r="U414" s="2">
        <f t="shared" si="38"/>
        <v>0</v>
      </c>
      <c r="V414" s="2" t="str">
        <f>IF(banking_loan_data[[#This Row],[Loan Status]]="FULLY PAID","GOOD",IF(banking_loan_data[[#This Row],[Loan Status]]="CURRENT","ACTIVE","BAD"))</f>
        <v>ACTIVE</v>
      </c>
      <c r="W41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14" s="3">
        <f t="shared" si="39"/>
        <v>11843.375779570601</v>
      </c>
      <c r="Y414" s="4">
        <f t="shared" si="40"/>
        <v>-0.57641781593019981</v>
      </c>
      <c r="Z414" s="2" t="str">
        <f t="shared" si="41"/>
        <v>Normal</v>
      </c>
    </row>
    <row r="415" spans="1:26" x14ac:dyDescent="0.3">
      <c r="A415" t="s">
        <v>872</v>
      </c>
      <c r="B415" s="1">
        <v>44792</v>
      </c>
      <c r="C415" t="s">
        <v>873</v>
      </c>
      <c r="D415" t="s">
        <v>18</v>
      </c>
      <c r="E415">
        <v>19333</v>
      </c>
      <c r="F415">
        <v>8.4</v>
      </c>
      <c r="G415">
        <v>36</v>
      </c>
      <c r="H415" t="s">
        <v>26</v>
      </c>
      <c r="I415" t="s">
        <v>27</v>
      </c>
      <c r="J415" t="s">
        <v>37</v>
      </c>
      <c r="K415">
        <v>135078</v>
      </c>
      <c r="L415" t="s">
        <v>29</v>
      </c>
      <c r="M415">
        <v>0.49</v>
      </c>
      <c r="N415">
        <v>0.84</v>
      </c>
      <c r="O415">
        <v>4102.62</v>
      </c>
      <c r="P415">
        <v>0</v>
      </c>
      <c r="Q415">
        <f ca="1">DATEDIF(banking_loan_data[[#This Row],[Issue Date]],TODAY(),"M")</f>
        <v>43</v>
      </c>
      <c r="R415">
        <f t="shared" si="36"/>
        <v>4871.9160000000002</v>
      </c>
      <c r="S415">
        <f>+banking_loan_data[[#This Row],[Loan Amount]]+banking_loan_data[[#This Row],[Interest earned]]</f>
        <v>24204.916000000001</v>
      </c>
      <c r="T415" s="2">
        <f t="shared" si="37"/>
        <v>-15230.380000000001</v>
      </c>
      <c r="U415" s="2">
        <f t="shared" si="38"/>
        <v>0</v>
      </c>
      <c r="V415" s="2" t="str">
        <f>IF(banking_loan_data[[#This Row],[Loan Status]]="FULLY PAID","GOOD",IF(banking_loan_data[[#This Row],[Loan Status]]="CURRENT","ACTIVE","BAD"))</f>
        <v>ACTIVE</v>
      </c>
      <c r="W41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15" s="3">
        <f t="shared" si="39"/>
        <v>13533.100068428359</v>
      </c>
      <c r="Y415" s="4">
        <f t="shared" si="40"/>
        <v>-0.78779185848031863</v>
      </c>
      <c r="Z415" s="2" t="str">
        <f t="shared" si="41"/>
        <v>High Risk</v>
      </c>
    </row>
    <row r="416" spans="1:26" x14ac:dyDescent="0.3">
      <c r="A416" t="s">
        <v>874</v>
      </c>
      <c r="B416" s="1">
        <v>44925</v>
      </c>
      <c r="C416" t="s">
        <v>875</v>
      </c>
      <c r="D416" t="s">
        <v>76</v>
      </c>
      <c r="E416">
        <v>24116</v>
      </c>
      <c r="F416">
        <v>12.8</v>
      </c>
      <c r="G416">
        <v>36</v>
      </c>
      <c r="H416" t="s">
        <v>19</v>
      </c>
      <c r="I416" t="s">
        <v>84</v>
      </c>
      <c r="J416" t="s">
        <v>28</v>
      </c>
      <c r="K416">
        <v>45160</v>
      </c>
      <c r="L416" t="s">
        <v>29</v>
      </c>
      <c r="M416">
        <v>0.35</v>
      </c>
      <c r="N416">
        <v>0.64</v>
      </c>
      <c r="O416">
        <v>27202.85</v>
      </c>
      <c r="P416">
        <v>0</v>
      </c>
      <c r="Q416">
        <f ca="1">DATEDIF(banking_loan_data[[#This Row],[Issue Date]],TODAY(),"M")</f>
        <v>38</v>
      </c>
      <c r="R416">
        <f t="shared" si="36"/>
        <v>9260.5439999999999</v>
      </c>
      <c r="S416">
        <f>+banking_loan_data[[#This Row],[Loan Amount]]+banking_loan_data[[#This Row],[Interest earned]]</f>
        <v>33376.544000000002</v>
      </c>
      <c r="T416" s="2">
        <f t="shared" si="37"/>
        <v>3086.8499999999985</v>
      </c>
      <c r="U416" s="2">
        <f t="shared" si="38"/>
        <v>0</v>
      </c>
      <c r="V416" s="2" t="str">
        <f>IF(banking_loan_data[[#This Row],[Loan Status]]="FULLY PAID","GOOD",IF(banking_loan_data[[#This Row],[Loan Status]]="CURRENT","ACTIVE","BAD"))</f>
        <v>GOOD</v>
      </c>
      <c r="W41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16" s="3">
        <f t="shared" si="39"/>
        <v>25723.733333448305</v>
      </c>
      <c r="Y416" s="4">
        <f t="shared" si="40"/>
        <v>0.1280000829324929</v>
      </c>
      <c r="Z416" s="2" t="str">
        <f t="shared" si="41"/>
        <v>Normal</v>
      </c>
    </row>
    <row r="417" spans="1:26" x14ac:dyDescent="0.3">
      <c r="A417" t="s">
        <v>876</v>
      </c>
      <c r="B417" s="1">
        <v>44593</v>
      </c>
      <c r="C417" t="s">
        <v>877</v>
      </c>
      <c r="D417" t="s">
        <v>25</v>
      </c>
      <c r="E417">
        <v>16525</v>
      </c>
      <c r="F417">
        <v>12.6</v>
      </c>
      <c r="G417">
        <v>36</v>
      </c>
      <c r="H417" t="s">
        <v>19</v>
      </c>
      <c r="I417" t="s">
        <v>20</v>
      </c>
      <c r="J417" t="s">
        <v>28</v>
      </c>
      <c r="K417">
        <v>86583</v>
      </c>
      <c r="L417" t="s">
        <v>22</v>
      </c>
      <c r="M417">
        <v>0.47</v>
      </c>
      <c r="N417">
        <v>0.73</v>
      </c>
      <c r="O417">
        <v>18607.150000000001</v>
      </c>
      <c r="P417">
        <v>0</v>
      </c>
      <c r="Q417">
        <f ca="1">DATEDIF(banking_loan_data[[#This Row],[Issue Date]],TODAY(),"M")</f>
        <v>49</v>
      </c>
      <c r="R417">
        <f t="shared" si="36"/>
        <v>6246.4500000000007</v>
      </c>
      <c r="S417">
        <f>+banking_loan_data[[#This Row],[Loan Amount]]+banking_loan_data[[#This Row],[Interest earned]]</f>
        <v>22771.45</v>
      </c>
      <c r="T417" s="2">
        <f t="shared" si="37"/>
        <v>2082.1500000000015</v>
      </c>
      <c r="U417" s="2">
        <f t="shared" si="38"/>
        <v>0</v>
      </c>
      <c r="V417" s="2" t="str">
        <f>IF(banking_loan_data[[#This Row],[Loan Status]]="FULLY PAID","GOOD",IF(banking_loan_data[[#This Row],[Loan Status]]="CURRENT","ACTIVE","BAD"))</f>
        <v>GOOD</v>
      </c>
      <c r="W41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17" s="3">
        <f t="shared" si="39"/>
        <v>17351.250000103799</v>
      </c>
      <c r="Y417" s="4">
        <f t="shared" si="40"/>
        <v>0.12600000000000008</v>
      </c>
      <c r="Z417" s="2" t="str">
        <f t="shared" si="41"/>
        <v>High Risk</v>
      </c>
    </row>
    <row r="418" spans="1:26" x14ac:dyDescent="0.3">
      <c r="A418" t="s">
        <v>878</v>
      </c>
      <c r="B418" s="1">
        <v>44895</v>
      </c>
      <c r="C418" t="s">
        <v>879</v>
      </c>
      <c r="D418" t="s">
        <v>46</v>
      </c>
      <c r="E418">
        <v>24398</v>
      </c>
      <c r="F418">
        <v>9.5</v>
      </c>
      <c r="G418">
        <v>60</v>
      </c>
      <c r="H418" t="s">
        <v>26</v>
      </c>
      <c r="I418" t="s">
        <v>73</v>
      </c>
      <c r="J418" t="s">
        <v>21</v>
      </c>
      <c r="K418">
        <v>63998</v>
      </c>
      <c r="L418" t="s">
        <v>33</v>
      </c>
      <c r="M418">
        <v>0.37</v>
      </c>
      <c r="N418">
        <v>0.89</v>
      </c>
      <c r="O418">
        <v>5945.55</v>
      </c>
      <c r="P418">
        <v>0</v>
      </c>
      <c r="Q418">
        <f ca="1">DATEDIF(banking_loan_data[[#This Row],[Issue Date]],TODAY(),"M")</f>
        <v>39</v>
      </c>
      <c r="R418">
        <f t="shared" si="36"/>
        <v>11589.050000000001</v>
      </c>
      <c r="S418">
        <f>+banking_loan_data[[#This Row],[Loan Amount]]+banking_loan_data[[#This Row],[Interest earned]]</f>
        <v>35987.050000000003</v>
      </c>
      <c r="T418" s="2">
        <f t="shared" si="37"/>
        <v>-18452.45</v>
      </c>
      <c r="U418" s="2">
        <f t="shared" si="38"/>
        <v>0</v>
      </c>
      <c r="V418" s="2" t="str">
        <f>IF(banking_loan_data[[#This Row],[Loan Status]]="FULLY PAID","GOOD",IF(banking_loan_data[[#This Row],[Loan Status]]="CURRENT","ACTIVE","BAD"))</f>
        <v>ACTIVE</v>
      </c>
      <c r="W41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418" s="3">
        <f t="shared" si="39"/>
        <v>19315.083333333343</v>
      </c>
      <c r="Y418" s="4">
        <f t="shared" si="40"/>
        <v>-0.75630994343798674</v>
      </c>
      <c r="Z418" s="2" t="str">
        <f t="shared" si="41"/>
        <v>High Risk</v>
      </c>
    </row>
    <row r="419" spans="1:26" x14ac:dyDescent="0.3">
      <c r="A419" t="s">
        <v>880</v>
      </c>
      <c r="B419" s="1">
        <v>45239</v>
      </c>
      <c r="C419" t="s">
        <v>881</v>
      </c>
      <c r="D419" t="s">
        <v>40</v>
      </c>
      <c r="E419">
        <v>33857</v>
      </c>
      <c r="F419">
        <v>12.6</v>
      </c>
      <c r="G419">
        <v>60</v>
      </c>
      <c r="H419" t="s">
        <v>19</v>
      </c>
      <c r="I419" t="s">
        <v>57</v>
      </c>
      <c r="J419" t="s">
        <v>32</v>
      </c>
      <c r="K419">
        <v>57230</v>
      </c>
      <c r="L419" t="s">
        <v>33</v>
      </c>
      <c r="M419">
        <v>0.22</v>
      </c>
      <c r="N419">
        <v>0.71</v>
      </c>
      <c r="O419">
        <v>38122.980000000003</v>
      </c>
      <c r="P419">
        <v>0</v>
      </c>
      <c r="Q419">
        <f ca="1">DATEDIF(banking_loan_data[[#This Row],[Issue Date]],TODAY(),"M")</f>
        <v>28</v>
      </c>
      <c r="R419">
        <f t="shared" si="36"/>
        <v>21329.91</v>
      </c>
      <c r="S419">
        <f>+banking_loan_data[[#This Row],[Loan Amount]]+banking_loan_data[[#This Row],[Interest earned]]</f>
        <v>55186.91</v>
      </c>
      <c r="T419" s="2">
        <f t="shared" si="37"/>
        <v>4265.9800000000032</v>
      </c>
      <c r="U419" s="2">
        <f t="shared" si="38"/>
        <v>0</v>
      </c>
      <c r="V419" s="2" t="str">
        <f>IF(banking_loan_data[[#This Row],[Loan Status]]="FULLY PAID","GOOD",IF(banking_loan_data[[#This Row],[Loan Status]]="CURRENT","ACTIVE","BAD"))</f>
        <v>GOOD</v>
      </c>
      <c r="W41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19" s="3">
        <f t="shared" si="39"/>
        <v>35549.85</v>
      </c>
      <c r="Y419" s="4">
        <f t="shared" si="40"/>
        <v>0.12599994092802089</v>
      </c>
      <c r="Z419" s="2" t="str">
        <f t="shared" si="41"/>
        <v>Normal</v>
      </c>
    </row>
    <row r="420" spans="1:26" x14ac:dyDescent="0.3">
      <c r="A420" t="s">
        <v>882</v>
      </c>
      <c r="B420" s="1">
        <v>44373</v>
      </c>
      <c r="C420" t="s">
        <v>883</v>
      </c>
      <c r="D420" t="s">
        <v>50</v>
      </c>
      <c r="E420">
        <v>11361</v>
      </c>
      <c r="F420">
        <v>7.6</v>
      </c>
      <c r="G420">
        <v>60</v>
      </c>
      <c r="H420" t="s">
        <v>26</v>
      </c>
      <c r="I420" t="s">
        <v>84</v>
      </c>
      <c r="J420" t="s">
        <v>47</v>
      </c>
      <c r="K420">
        <v>39076</v>
      </c>
      <c r="L420" t="s">
        <v>33</v>
      </c>
      <c r="M420">
        <v>0.25</v>
      </c>
      <c r="N420">
        <v>0.66</v>
      </c>
      <c r="O420">
        <v>2661.69</v>
      </c>
      <c r="P420">
        <v>0</v>
      </c>
      <c r="Q420">
        <f ca="1">DATEDIF(banking_loan_data[[#This Row],[Issue Date]],TODAY(),"M")</f>
        <v>56</v>
      </c>
      <c r="R420">
        <f t="shared" si="36"/>
        <v>4317.1799999999994</v>
      </c>
      <c r="S420">
        <f>+banking_loan_data[[#This Row],[Loan Amount]]+banking_loan_data[[#This Row],[Interest earned]]</f>
        <v>15678.18</v>
      </c>
      <c r="T420" s="2">
        <f t="shared" si="37"/>
        <v>-8699.31</v>
      </c>
      <c r="U420" s="2">
        <f t="shared" si="38"/>
        <v>0</v>
      </c>
      <c r="V420" s="2" t="str">
        <f>IF(banking_loan_data[[#This Row],[Loan Status]]="FULLY PAID","GOOD",IF(banking_loan_data[[#This Row],[Loan Status]]="CURRENT","ACTIVE","BAD"))</f>
        <v>ACTIVE</v>
      </c>
      <c r="W42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20" s="3">
        <f t="shared" si="39"/>
        <v>7195.3000000011816</v>
      </c>
      <c r="Y420" s="4">
        <f t="shared" si="40"/>
        <v>-0.7657169263269078</v>
      </c>
      <c r="Z420" s="2" t="str">
        <f t="shared" si="41"/>
        <v>Normal</v>
      </c>
    </row>
    <row r="421" spans="1:26" x14ac:dyDescent="0.3">
      <c r="A421" t="s">
        <v>884</v>
      </c>
      <c r="B421" s="1">
        <v>44592</v>
      </c>
      <c r="C421" t="s">
        <v>885</v>
      </c>
      <c r="D421" t="s">
        <v>40</v>
      </c>
      <c r="E421">
        <v>17369</v>
      </c>
      <c r="F421">
        <v>13.3</v>
      </c>
      <c r="G421">
        <v>36</v>
      </c>
      <c r="H421" t="s">
        <v>19</v>
      </c>
      <c r="I421" t="s">
        <v>84</v>
      </c>
      <c r="J421" t="s">
        <v>32</v>
      </c>
      <c r="K421">
        <v>99341</v>
      </c>
      <c r="L421" t="s">
        <v>22</v>
      </c>
      <c r="M421">
        <v>0.32</v>
      </c>
      <c r="N421">
        <v>0.74</v>
      </c>
      <c r="O421">
        <v>19679.080000000002</v>
      </c>
      <c r="P421">
        <v>0</v>
      </c>
      <c r="Q421">
        <f ca="1">DATEDIF(banking_loan_data[[#This Row],[Issue Date]],TODAY(),"M")</f>
        <v>49</v>
      </c>
      <c r="R421">
        <f t="shared" si="36"/>
        <v>6930.2310000000007</v>
      </c>
      <c r="S421">
        <f>+banking_loan_data[[#This Row],[Loan Amount]]+banking_loan_data[[#This Row],[Interest earned]]</f>
        <v>24299.231</v>
      </c>
      <c r="T421" s="2">
        <f t="shared" si="37"/>
        <v>2310.0800000000017</v>
      </c>
      <c r="U421" s="2">
        <f t="shared" si="38"/>
        <v>0</v>
      </c>
      <c r="V421" s="2" t="str">
        <f>IF(banking_loan_data[[#This Row],[Loan Status]]="FULLY PAID","GOOD",IF(banking_loan_data[[#This Row],[Loan Status]]="CURRENT","ACTIVE","BAD"))</f>
        <v>GOOD</v>
      </c>
      <c r="W42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21" s="3">
        <f t="shared" si="39"/>
        <v>19250.641666708605</v>
      </c>
      <c r="Y421" s="4">
        <f t="shared" si="40"/>
        <v>0.13300017272151543</v>
      </c>
      <c r="Z421" s="2" t="str">
        <f t="shared" si="41"/>
        <v>Normal</v>
      </c>
    </row>
    <row r="422" spans="1:26" x14ac:dyDescent="0.3">
      <c r="A422" t="s">
        <v>886</v>
      </c>
      <c r="B422" s="1">
        <v>44641</v>
      </c>
      <c r="C422" t="s">
        <v>887</v>
      </c>
      <c r="D422" t="s">
        <v>40</v>
      </c>
      <c r="E422">
        <v>4041</v>
      </c>
      <c r="F422">
        <v>21</v>
      </c>
      <c r="G422">
        <v>60</v>
      </c>
      <c r="H422" t="s">
        <v>81</v>
      </c>
      <c r="I422" t="s">
        <v>84</v>
      </c>
      <c r="J422" t="s">
        <v>28</v>
      </c>
      <c r="K422">
        <v>61085</v>
      </c>
      <c r="L422" t="s">
        <v>33</v>
      </c>
      <c r="M422">
        <v>0.42</v>
      </c>
      <c r="N422">
        <v>0.82</v>
      </c>
      <c r="O422">
        <v>858.39</v>
      </c>
      <c r="P422">
        <v>1009</v>
      </c>
      <c r="Q422">
        <f ca="1">DATEDIF(banking_loan_data[[#This Row],[Issue Date]],TODAY(),"M")</f>
        <v>47</v>
      </c>
      <c r="R422">
        <f t="shared" si="36"/>
        <v>4243.05</v>
      </c>
      <c r="S422">
        <f>+banking_loan_data[[#This Row],[Loan Amount]]+banking_loan_data[[#This Row],[Interest earned]]</f>
        <v>8284.0499999999993</v>
      </c>
      <c r="T422" s="2">
        <f t="shared" si="37"/>
        <v>-2173.61</v>
      </c>
      <c r="U422" s="2">
        <f t="shared" si="38"/>
        <v>1</v>
      </c>
      <c r="V422" s="2" t="str">
        <f>IF(banking_loan_data[[#This Row],[Loan Status]]="FULLY PAID","GOOD",IF(banking_loan_data[[#This Row],[Loan Status]]="CURRENT","ACTIVE","BAD"))</f>
        <v>BAD</v>
      </c>
      <c r="W42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22" s="3">
        <f t="shared" si="39"/>
        <v>7071.75</v>
      </c>
      <c r="Y422" s="4">
        <f t="shared" si="40"/>
        <v>-0.53788913635238811</v>
      </c>
      <c r="Z422" s="2" t="str">
        <f t="shared" si="41"/>
        <v>High Risk</v>
      </c>
    </row>
    <row r="423" spans="1:26" x14ac:dyDescent="0.3">
      <c r="A423" t="s">
        <v>888</v>
      </c>
      <c r="B423" s="1">
        <v>44272</v>
      </c>
      <c r="C423" t="s">
        <v>889</v>
      </c>
      <c r="D423" t="s">
        <v>56</v>
      </c>
      <c r="E423">
        <v>1105</v>
      </c>
      <c r="F423">
        <v>14.6</v>
      </c>
      <c r="G423">
        <v>60</v>
      </c>
      <c r="H423" t="s">
        <v>81</v>
      </c>
      <c r="I423" t="s">
        <v>27</v>
      </c>
      <c r="J423" t="s">
        <v>37</v>
      </c>
      <c r="K423">
        <v>85571</v>
      </c>
      <c r="L423" t="s">
        <v>33</v>
      </c>
      <c r="M423">
        <v>0.23</v>
      </c>
      <c r="N423">
        <v>0.7</v>
      </c>
      <c r="O423">
        <v>417.31</v>
      </c>
      <c r="P423">
        <v>388.04</v>
      </c>
      <c r="Q423">
        <f ca="1">DATEDIF(banking_loan_data[[#This Row],[Issue Date]],TODAY(),"M")</f>
        <v>60</v>
      </c>
      <c r="R423">
        <f t="shared" si="36"/>
        <v>806.65000000000009</v>
      </c>
      <c r="S423">
        <f>+banking_loan_data[[#This Row],[Loan Amount]]+banking_loan_data[[#This Row],[Interest earned]]</f>
        <v>1911.65</v>
      </c>
      <c r="T423" s="2">
        <f t="shared" si="37"/>
        <v>-299.64999999999998</v>
      </c>
      <c r="U423" s="2">
        <f t="shared" si="38"/>
        <v>1</v>
      </c>
      <c r="V423" s="2" t="str">
        <f>IF(banking_loan_data[[#This Row],[Loan Status]]="FULLY PAID","GOOD",IF(banking_loan_data[[#This Row],[Loan Status]]="CURRENT","ACTIVE","BAD"))</f>
        <v>BAD</v>
      </c>
      <c r="W42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23" s="3">
        <f t="shared" si="39"/>
        <v>1344.4166666666665</v>
      </c>
      <c r="Y423" s="4">
        <f t="shared" si="40"/>
        <v>-0.2711764705882353</v>
      </c>
      <c r="Z423" s="2" t="str">
        <f t="shared" si="41"/>
        <v>Normal</v>
      </c>
    </row>
    <row r="424" spans="1:26" x14ac:dyDescent="0.3">
      <c r="A424" t="s">
        <v>890</v>
      </c>
      <c r="B424" s="1">
        <v>44461</v>
      </c>
      <c r="C424" t="s">
        <v>891</v>
      </c>
      <c r="D424" t="s">
        <v>18</v>
      </c>
      <c r="E424">
        <v>10078</v>
      </c>
      <c r="F424">
        <v>5.4</v>
      </c>
      <c r="G424">
        <v>60</v>
      </c>
      <c r="H424" t="s">
        <v>315</v>
      </c>
      <c r="I424" t="s">
        <v>57</v>
      </c>
      <c r="J424" t="s">
        <v>47</v>
      </c>
      <c r="K424">
        <v>44715</v>
      </c>
      <c r="L424" t="s">
        <v>22</v>
      </c>
      <c r="M424">
        <v>0.33</v>
      </c>
      <c r="N424">
        <v>0.92</v>
      </c>
      <c r="O424">
        <v>0</v>
      </c>
      <c r="P424">
        <v>0</v>
      </c>
      <c r="Q424">
        <f ca="1">DATEDIF(banking_loan_data[[#This Row],[Issue Date]],TODAY(),"M")</f>
        <v>53</v>
      </c>
      <c r="R424">
        <f t="shared" si="36"/>
        <v>2721.06</v>
      </c>
      <c r="S424">
        <f>+banking_loan_data[[#This Row],[Loan Amount]]+banking_loan_data[[#This Row],[Interest earned]]</f>
        <v>12799.06</v>
      </c>
      <c r="T424" s="2">
        <f t="shared" si="37"/>
        <v>-10078</v>
      </c>
      <c r="U424" s="2">
        <f t="shared" si="38"/>
        <v>0</v>
      </c>
      <c r="V424" s="2" t="str">
        <f>IF(banking_loan_data[[#This Row],[Loan Status]]="FULLY PAID","GOOD",IF(banking_loan_data[[#This Row],[Loan Status]]="CURRENT","ACTIVE","BAD"))</f>
        <v>BAD</v>
      </c>
      <c r="W42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24" s="3">
        <f t="shared" si="39"/>
        <v>4535.1000009429899</v>
      </c>
      <c r="Y424" s="4">
        <f t="shared" si="40"/>
        <v>-1</v>
      </c>
      <c r="Z424" s="2" t="str">
        <f t="shared" si="41"/>
        <v>High Risk</v>
      </c>
    </row>
    <row r="425" spans="1:26" x14ac:dyDescent="0.3">
      <c r="A425" t="s">
        <v>892</v>
      </c>
      <c r="B425" s="1">
        <v>44651</v>
      </c>
      <c r="C425" t="s">
        <v>893</v>
      </c>
      <c r="D425" t="s">
        <v>53</v>
      </c>
      <c r="E425">
        <v>26003</v>
      </c>
      <c r="F425">
        <v>13.4</v>
      </c>
      <c r="G425">
        <v>36</v>
      </c>
      <c r="H425" t="s">
        <v>19</v>
      </c>
      <c r="I425" t="s">
        <v>84</v>
      </c>
      <c r="J425" t="s">
        <v>47</v>
      </c>
      <c r="K425">
        <v>35750</v>
      </c>
      <c r="L425" t="s">
        <v>33</v>
      </c>
      <c r="M425">
        <v>0.24</v>
      </c>
      <c r="N425">
        <v>0.63</v>
      </c>
      <c r="O425">
        <v>29487.4</v>
      </c>
      <c r="P425">
        <v>0</v>
      </c>
      <c r="Q425">
        <f ca="1">DATEDIF(banking_loan_data[[#This Row],[Issue Date]],TODAY(),"M")</f>
        <v>47</v>
      </c>
      <c r="R425">
        <f t="shared" si="36"/>
        <v>10453.206</v>
      </c>
      <c r="S425">
        <f>+banking_loan_data[[#This Row],[Loan Amount]]+banking_loan_data[[#This Row],[Interest earned]]</f>
        <v>36456.205999999998</v>
      </c>
      <c r="T425" s="2">
        <f t="shared" si="37"/>
        <v>3484.4000000000015</v>
      </c>
      <c r="U425" s="2">
        <f t="shared" si="38"/>
        <v>0</v>
      </c>
      <c r="V425" s="2" t="str">
        <f>IF(banking_loan_data[[#This Row],[Loan Status]]="FULLY PAID","GOOD",IF(banking_loan_data[[#This Row],[Loan Status]]="CURRENT","ACTIVE","BAD"))</f>
        <v>GOOD</v>
      </c>
      <c r="W42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25" s="3">
        <f t="shared" si="39"/>
        <v>29036.68333338822</v>
      </c>
      <c r="Y425" s="4">
        <f t="shared" si="40"/>
        <v>0.13399992308579786</v>
      </c>
      <c r="Z425" s="2" t="str">
        <f t="shared" si="41"/>
        <v>Normal</v>
      </c>
    </row>
    <row r="426" spans="1:26" x14ac:dyDescent="0.3">
      <c r="A426" t="s">
        <v>894</v>
      </c>
      <c r="B426" s="1">
        <v>44914</v>
      </c>
      <c r="C426" t="s">
        <v>895</v>
      </c>
      <c r="D426" t="s">
        <v>18</v>
      </c>
      <c r="E426">
        <v>7090</v>
      </c>
      <c r="F426">
        <v>5.5</v>
      </c>
      <c r="G426">
        <v>36</v>
      </c>
      <c r="H426" t="s">
        <v>81</v>
      </c>
      <c r="I426" t="s">
        <v>73</v>
      </c>
      <c r="J426" t="s">
        <v>37</v>
      </c>
      <c r="K426">
        <v>143931</v>
      </c>
      <c r="L426" t="s">
        <v>33</v>
      </c>
      <c r="M426">
        <v>0.43</v>
      </c>
      <c r="N426">
        <v>0.71</v>
      </c>
      <c r="O426">
        <v>2472.13</v>
      </c>
      <c r="P426">
        <v>1824.75</v>
      </c>
      <c r="Q426">
        <f ca="1">DATEDIF(banking_loan_data[[#This Row],[Issue Date]],TODAY(),"M")</f>
        <v>39</v>
      </c>
      <c r="R426">
        <f t="shared" si="36"/>
        <v>1169.8499999999999</v>
      </c>
      <c r="S426">
        <f>+banking_loan_data[[#This Row],[Loan Amount]]+banking_loan_data[[#This Row],[Interest earned]]</f>
        <v>8259.85</v>
      </c>
      <c r="T426" s="2">
        <f t="shared" si="37"/>
        <v>-2793.12</v>
      </c>
      <c r="U426" s="2">
        <f t="shared" si="38"/>
        <v>1</v>
      </c>
      <c r="V426" s="2" t="str">
        <f>IF(banking_loan_data[[#This Row],[Loan Status]]="FULLY PAID","GOOD",IF(banking_loan_data[[#This Row],[Loan Status]]="CURRENT","ACTIVE","BAD"))</f>
        <v>BAD</v>
      </c>
      <c r="W42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426" s="3">
        <f t="shared" si="39"/>
        <v>3249.5874352169303</v>
      </c>
      <c r="Y426" s="4">
        <f t="shared" si="40"/>
        <v>-0.39395204513399151</v>
      </c>
      <c r="Z426" s="2" t="str">
        <f t="shared" si="41"/>
        <v>High Risk</v>
      </c>
    </row>
    <row r="427" spans="1:26" x14ac:dyDescent="0.3">
      <c r="A427" t="s">
        <v>896</v>
      </c>
      <c r="B427" s="1">
        <v>44931</v>
      </c>
      <c r="C427" t="s">
        <v>897</v>
      </c>
      <c r="D427" t="s">
        <v>50</v>
      </c>
      <c r="E427">
        <v>39850</v>
      </c>
      <c r="F427">
        <v>24.3</v>
      </c>
      <c r="G427">
        <v>60</v>
      </c>
      <c r="H427" t="s">
        <v>19</v>
      </c>
      <c r="I427" t="s">
        <v>20</v>
      </c>
      <c r="J427" t="s">
        <v>47</v>
      </c>
      <c r="K427">
        <v>108768</v>
      </c>
      <c r="L427" t="s">
        <v>33</v>
      </c>
      <c r="M427">
        <v>0.28999999999999998</v>
      </c>
      <c r="N427">
        <v>0.84</v>
      </c>
      <c r="O427">
        <v>49533.55</v>
      </c>
      <c r="P427">
        <v>0</v>
      </c>
      <c r="Q427">
        <f ca="1">DATEDIF(banking_loan_data[[#This Row],[Issue Date]],TODAY(),"M")</f>
        <v>38</v>
      </c>
      <c r="R427">
        <f t="shared" si="36"/>
        <v>48417.75</v>
      </c>
      <c r="S427">
        <f>+banking_loan_data[[#This Row],[Loan Amount]]+banking_loan_data[[#This Row],[Interest earned]]</f>
        <v>88267.75</v>
      </c>
      <c r="T427" s="2">
        <f t="shared" si="37"/>
        <v>9683.5500000000029</v>
      </c>
      <c r="U427" s="2">
        <f t="shared" si="38"/>
        <v>0</v>
      </c>
      <c r="V427" s="2" t="str">
        <f>IF(banking_loan_data[[#This Row],[Loan Status]]="FULLY PAID","GOOD",IF(banking_loan_data[[#This Row],[Loan Status]]="CURRENT","ACTIVE","BAD"))</f>
        <v>GOOD</v>
      </c>
      <c r="W42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27" s="3">
        <f t="shared" si="39"/>
        <v>80696.25</v>
      </c>
      <c r="Y427" s="4">
        <f t="shared" si="40"/>
        <v>0.24300000000000008</v>
      </c>
      <c r="Z427" s="2" t="str">
        <f t="shared" si="41"/>
        <v>High Risk</v>
      </c>
    </row>
    <row r="428" spans="1:26" x14ac:dyDescent="0.3">
      <c r="A428" t="s">
        <v>898</v>
      </c>
      <c r="B428" s="1">
        <v>45047</v>
      </c>
      <c r="C428" t="s">
        <v>899</v>
      </c>
      <c r="D428" t="s">
        <v>56</v>
      </c>
      <c r="E428">
        <v>2925</v>
      </c>
      <c r="F428">
        <v>7.5</v>
      </c>
      <c r="G428">
        <v>60</v>
      </c>
      <c r="H428" t="s">
        <v>26</v>
      </c>
      <c r="I428" t="s">
        <v>73</v>
      </c>
      <c r="J428" t="s">
        <v>37</v>
      </c>
      <c r="K428">
        <v>148544</v>
      </c>
      <c r="L428" t="s">
        <v>22</v>
      </c>
      <c r="M428">
        <v>0.13</v>
      </c>
      <c r="N428">
        <v>0.81</v>
      </c>
      <c r="O428">
        <v>289.72000000000003</v>
      </c>
      <c r="P428">
        <v>0</v>
      </c>
      <c r="Q428">
        <f ca="1">DATEDIF(banking_loan_data[[#This Row],[Issue Date]],TODAY(),"M")</f>
        <v>34</v>
      </c>
      <c r="R428">
        <f t="shared" si="36"/>
        <v>1096.875</v>
      </c>
      <c r="S428">
        <f>+banking_loan_data[[#This Row],[Loan Amount]]+banking_loan_data[[#This Row],[Interest earned]]</f>
        <v>4021.875</v>
      </c>
      <c r="T428" s="2">
        <f t="shared" si="37"/>
        <v>-2635.2799999999997</v>
      </c>
      <c r="U428" s="2">
        <f t="shared" si="38"/>
        <v>0</v>
      </c>
      <c r="V428" s="2" t="str">
        <f>IF(banking_loan_data[[#This Row],[Loan Status]]="FULLY PAID","GOOD",IF(banking_loan_data[[#This Row],[Loan Status]]="CURRENT","ACTIVE","BAD"))</f>
        <v>ACTIVE</v>
      </c>
      <c r="W42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428" s="3">
        <f t="shared" si="39"/>
        <v>1828.1250000004081</v>
      </c>
      <c r="Y428" s="4">
        <f t="shared" si="40"/>
        <v>-0.9009504273504273</v>
      </c>
      <c r="Z428" s="2" t="str">
        <f t="shared" si="41"/>
        <v>High Risk</v>
      </c>
    </row>
    <row r="429" spans="1:26" x14ac:dyDescent="0.3">
      <c r="A429" t="s">
        <v>900</v>
      </c>
      <c r="B429" s="1">
        <v>44340</v>
      </c>
      <c r="C429" t="s">
        <v>901</v>
      </c>
      <c r="D429" t="s">
        <v>46</v>
      </c>
      <c r="E429">
        <v>19440</v>
      </c>
      <c r="F429">
        <v>19.2</v>
      </c>
      <c r="G429">
        <v>36</v>
      </c>
      <c r="H429" t="s">
        <v>19</v>
      </c>
      <c r="I429" t="s">
        <v>36</v>
      </c>
      <c r="J429" t="s">
        <v>47</v>
      </c>
      <c r="K429">
        <v>65903</v>
      </c>
      <c r="L429" t="s">
        <v>22</v>
      </c>
      <c r="M429">
        <v>0.17</v>
      </c>
      <c r="N429">
        <v>0.89</v>
      </c>
      <c r="O429">
        <v>23172.48</v>
      </c>
      <c r="P429">
        <v>0</v>
      </c>
      <c r="Q429">
        <f ca="1">DATEDIF(banking_loan_data[[#This Row],[Issue Date]],TODAY(),"M")</f>
        <v>57</v>
      </c>
      <c r="R429">
        <f t="shared" si="36"/>
        <v>11197.44</v>
      </c>
      <c r="S429">
        <f>+banking_loan_data[[#This Row],[Loan Amount]]+banking_loan_data[[#This Row],[Interest earned]]</f>
        <v>30637.440000000002</v>
      </c>
      <c r="T429" s="2">
        <f t="shared" si="37"/>
        <v>3732.4799999999996</v>
      </c>
      <c r="U429" s="2">
        <f t="shared" si="38"/>
        <v>0</v>
      </c>
      <c r="V429" s="2" t="str">
        <f>IF(banking_loan_data[[#This Row],[Loan Status]]="FULLY PAID","GOOD",IF(banking_loan_data[[#This Row],[Loan Status]]="CURRENT","ACTIVE","BAD"))</f>
        <v>GOOD</v>
      </c>
      <c r="W42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29" s="3">
        <f t="shared" si="39"/>
        <v>31104.000000000033</v>
      </c>
      <c r="Y429" s="4">
        <f t="shared" si="40"/>
        <v>0.19199999999999998</v>
      </c>
      <c r="Z429" s="2" t="str">
        <f t="shared" si="41"/>
        <v>High Risk</v>
      </c>
    </row>
    <row r="430" spans="1:26" x14ac:dyDescent="0.3">
      <c r="A430" t="s">
        <v>902</v>
      </c>
      <c r="B430" s="1">
        <v>45081</v>
      </c>
      <c r="C430" t="s">
        <v>903</v>
      </c>
      <c r="D430" t="s">
        <v>40</v>
      </c>
      <c r="E430">
        <v>27015</v>
      </c>
      <c r="F430">
        <v>24.5</v>
      </c>
      <c r="G430">
        <v>36</v>
      </c>
      <c r="H430" t="s">
        <v>19</v>
      </c>
      <c r="I430" t="s">
        <v>36</v>
      </c>
      <c r="J430" t="s">
        <v>32</v>
      </c>
      <c r="K430">
        <v>102489</v>
      </c>
      <c r="L430" t="s">
        <v>33</v>
      </c>
      <c r="M430">
        <v>0.12</v>
      </c>
      <c r="N430">
        <v>0.95</v>
      </c>
      <c r="O430">
        <v>33633.68</v>
      </c>
      <c r="P430">
        <v>0</v>
      </c>
      <c r="Q430">
        <f ca="1">DATEDIF(banking_loan_data[[#This Row],[Issue Date]],TODAY(),"M")</f>
        <v>33</v>
      </c>
      <c r="R430">
        <f t="shared" si="36"/>
        <v>19856.025000000001</v>
      </c>
      <c r="S430">
        <f>+banking_loan_data[[#This Row],[Loan Amount]]+banking_loan_data[[#This Row],[Interest earned]]</f>
        <v>46871.025000000001</v>
      </c>
      <c r="T430" s="2">
        <f t="shared" si="37"/>
        <v>6618.68</v>
      </c>
      <c r="U430" s="2">
        <f t="shared" si="38"/>
        <v>0</v>
      </c>
      <c r="V430" s="2" t="str">
        <f>IF(banking_loan_data[[#This Row],[Loan Status]]="FULLY PAID","GOOD",IF(banking_loan_data[[#This Row],[Loan Status]]="CURRENT","ACTIVE","BAD"))</f>
        <v>GOOD</v>
      </c>
      <c r="W43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30" s="3">
        <f t="shared" si="39"/>
        <v>55155.624999999993</v>
      </c>
      <c r="Y430" s="4">
        <f t="shared" si="40"/>
        <v>0.24500018508236165</v>
      </c>
      <c r="Z430" s="2" t="str">
        <f t="shared" si="41"/>
        <v>High Risk</v>
      </c>
    </row>
    <row r="431" spans="1:26" x14ac:dyDescent="0.3">
      <c r="A431" t="s">
        <v>904</v>
      </c>
      <c r="B431" s="1">
        <v>45289</v>
      </c>
      <c r="C431" t="s">
        <v>905</v>
      </c>
      <c r="D431" t="s">
        <v>25</v>
      </c>
      <c r="E431">
        <v>34320</v>
      </c>
      <c r="F431">
        <v>21.5</v>
      </c>
      <c r="G431">
        <v>60</v>
      </c>
      <c r="H431" t="s">
        <v>81</v>
      </c>
      <c r="I431" t="s">
        <v>20</v>
      </c>
      <c r="J431" t="s">
        <v>47</v>
      </c>
      <c r="K431">
        <v>62093</v>
      </c>
      <c r="L431" t="s">
        <v>33</v>
      </c>
      <c r="M431">
        <v>0.3</v>
      </c>
      <c r="N431">
        <v>0.69</v>
      </c>
      <c r="O431">
        <v>4545.24</v>
      </c>
      <c r="P431">
        <v>12356.63</v>
      </c>
      <c r="Q431">
        <f ca="1">DATEDIF(banking_loan_data[[#This Row],[Issue Date]],TODAY(),"M")</f>
        <v>26</v>
      </c>
      <c r="R431">
        <f t="shared" si="36"/>
        <v>36894</v>
      </c>
      <c r="S431">
        <f>+banking_loan_data[[#This Row],[Loan Amount]]+banking_loan_data[[#This Row],[Interest earned]]</f>
        <v>71214</v>
      </c>
      <c r="T431" s="2">
        <f t="shared" si="37"/>
        <v>-17418.13</v>
      </c>
      <c r="U431" s="2">
        <f t="shared" si="38"/>
        <v>1</v>
      </c>
      <c r="V431" s="2" t="str">
        <f>IF(banking_loan_data[[#This Row],[Loan Status]]="FULLY PAID","GOOD",IF(banking_loan_data[[#This Row],[Loan Status]]="CURRENT","ACTIVE","BAD"))</f>
        <v>BAD</v>
      </c>
      <c r="W43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31" s="3">
        <f t="shared" si="39"/>
        <v>61490</v>
      </c>
      <c r="Y431" s="4">
        <f t="shared" si="40"/>
        <v>-0.50752127039627037</v>
      </c>
      <c r="Z431" s="2" t="str">
        <f t="shared" si="41"/>
        <v>Normal</v>
      </c>
    </row>
    <row r="432" spans="1:26" x14ac:dyDescent="0.3">
      <c r="A432" t="s">
        <v>906</v>
      </c>
      <c r="B432" s="1">
        <v>44592</v>
      </c>
      <c r="C432" t="s">
        <v>907</v>
      </c>
      <c r="D432" t="s">
        <v>56</v>
      </c>
      <c r="E432">
        <v>26291</v>
      </c>
      <c r="F432">
        <v>19</v>
      </c>
      <c r="G432">
        <v>36</v>
      </c>
      <c r="H432" t="s">
        <v>19</v>
      </c>
      <c r="I432" t="s">
        <v>27</v>
      </c>
      <c r="J432" t="s">
        <v>21</v>
      </c>
      <c r="K432">
        <v>121036</v>
      </c>
      <c r="L432" t="s">
        <v>22</v>
      </c>
      <c r="M432">
        <v>0.14000000000000001</v>
      </c>
      <c r="N432">
        <v>0.55000000000000004</v>
      </c>
      <c r="O432">
        <v>31286.29</v>
      </c>
      <c r="P432">
        <v>0</v>
      </c>
      <c r="Q432">
        <f ca="1">DATEDIF(banking_loan_data[[#This Row],[Issue Date]],TODAY(),"M")</f>
        <v>49</v>
      </c>
      <c r="R432">
        <f t="shared" si="36"/>
        <v>14985.87</v>
      </c>
      <c r="S432">
        <f>+banking_loan_data[[#This Row],[Loan Amount]]+banking_loan_data[[#This Row],[Interest earned]]</f>
        <v>41276.870000000003</v>
      </c>
      <c r="T432" s="2">
        <f t="shared" si="37"/>
        <v>4995.2900000000009</v>
      </c>
      <c r="U432" s="2">
        <f t="shared" si="38"/>
        <v>0</v>
      </c>
      <c r="V432" s="2" t="str">
        <f>IF(banking_loan_data[[#This Row],[Loan Status]]="FULLY PAID","GOOD",IF(banking_loan_data[[#This Row],[Loan Status]]="CURRENT","ACTIVE","BAD"))</f>
        <v>GOOD</v>
      </c>
      <c r="W43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32" s="3">
        <f t="shared" si="39"/>
        <v>41627.416666666722</v>
      </c>
      <c r="Y432" s="4">
        <f t="shared" si="40"/>
        <v>0.19000000000000003</v>
      </c>
      <c r="Z432" s="2" t="str">
        <f t="shared" si="41"/>
        <v>Normal</v>
      </c>
    </row>
    <row r="433" spans="1:26" x14ac:dyDescent="0.3">
      <c r="A433" t="s">
        <v>908</v>
      </c>
      <c r="B433" s="1">
        <v>45245</v>
      </c>
      <c r="C433" t="s">
        <v>909</v>
      </c>
      <c r="D433" t="s">
        <v>72</v>
      </c>
      <c r="E433">
        <v>37679</v>
      </c>
      <c r="F433">
        <v>21.8</v>
      </c>
      <c r="G433">
        <v>60</v>
      </c>
      <c r="H433" t="s">
        <v>26</v>
      </c>
      <c r="I433" t="s">
        <v>84</v>
      </c>
      <c r="J433" t="s">
        <v>37</v>
      </c>
      <c r="K433">
        <v>117954</v>
      </c>
      <c r="L433" t="s">
        <v>33</v>
      </c>
      <c r="M433">
        <v>0.15</v>
      </c>
      <c r="N433">
        <v>0.51</v>
      </c>
      <c r="O433">
        <v>9138.7099999999991</v>
      </c>
      <c r="P433">
        <v>0</v>
      </c>
      <c r="Q433">
        <f ca="1">DATEDIF(banking_loan_data[[#This Row],[Issue Date]],TODAY(),"M")</f>
        <v>28</v>
      </c>
      <c r="R433">
        <f t="shared" si="36"/>
        <v>41070.110000000008</v>
      </c>
      <c r="S433">
        <f>+banking_loan_data[[#This Row],[Loan Amount]]+banking_loan_data[[#This Row],[Interest earned]]</f>
        <v>78749.110000000015</v>
      </c>
      <c r="T433" s="2">
        <f t="shared" si="37"/>
        <v>-28540.29</v>
      </c>
      <c r="U433" s="2">
        <f t="shared" si="38"/>
        <v>0</v>
      </c>
      <c r="V433" s="2" t="str">
        <f>IF(banking_loan_data[[#This Row],[Loan Status]]="FULLY PAID","GOOD",IF(banking_loan_data[[#This Row],[Loan Status]]="CURRENT","ACTIVE","BAD"))</f>
        <v>ACTIVE</v>
      </c>
      <c r="W43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33" s="3">
        <f t="shared" si="39"/>
        <v>68450.183333333334</v>
      </c>
      <c r="Y433" s="4">
        <f t="shared" si="40"/>
        <v>-0.75745879667719418</v>
      </c>
      <c r="Z433" s="2" t="str">
        <f t="shared" si="41"/>
        <v>Normal</v>
      </c>
    </row>
    <row r="434" spans="1:26" x14ac:dyDescent="0.3">
      <c r="A434" t="s">
        <v>910</v>
      </c>
      <c r="B434" s="1">
        <v>45144</v>
      </c>
      <c r="C434" t="s">
        <v>911</v>
      </c>
      <c r="D434" t="s">
        <v>76</v>
      </c>
      <c r="E434">
        <v>27289</v>
      </c>
      <c r="F434">
        <v>24.6</v>
      </c>
      <c r="G434">
        <v>36</v>
      </c>
      <c r="H434" t="s">
        <v>26</v>
      </c>
      <c r="I434" t="s">
        <v>57</v>
      </c>
      <c r="J434" t="s">
        <v>47</v>
      </c>
      <c r="K434">
        <v>149277</v>
      </c>
      <c r="L434" t="s">
        <v>22</v>
      </c>
      <c r="M434">
        <v>0.48</v>
      </c>
      <c r="N434">
        <v>0.83</v>
      </c>
      <c r="O434">
        <v>2575.9699999999998</v>
      </c>
      <c r="P434">
        <v>0</v>
      </c>
      <c r="Q434">
        <f ca="1">DATEDIF(banking_loan_data[[#This Row],[Issue Date]],TODAY(),"M")</f>
        <v>31</v>
      </c>
      <c r="R434">
        <f t="shared" si="36"/>
        <v>20139.281999999999</v>
      </c>
      <c r="S434">
        <f>+banking_loan_data[[#This Row],[Loan Amount]]+banking_loan_data[[#This Row],[Interest earned]]</f>
        <v>47428.281999999999</v>
      </c>
      <c r="T434" s="2">
        <f t="shared" si="37"/>
        <v>-24713.03</v>
      </c>
      <c r="U434" s="2">
        <f t="shared" si="38"/>
        <v>0</v>
      </c>
      <c r="V434" s="2" t="str">
        <f>IF(banking_loan_data[[#This Row],[Loan Status]]="FULLY PAID","GOOD",IF(banking_loan_data[[#This Row],[Loan Status]]="CURRENT","ACTIVE","BAD"))</f>
        <v>ACTIVE</v>
      </c>
      <c r="W43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34" s="3">
        <f t="shared" si="39"/>
        <v>55942.450000000004</v>
      </c>
      <c r="Y434" s="4">
        <f t="shared" si="40"/>
        <v>-0.90560408955989591</v>
      </c>
      <c r="Z434" s="2" t="str">
        <f t="shared" si="41"/>
        <v>High Risk</v>
      </c>
    </row>
    <row r="435" spans="1:26" x14ac:dyDescent="0.3">
      <c r="A435" t="s">
        <v>912</v>
      </c>
      <c r="B435" s="1">
        <v>45087</v>
      </c>
      <c r="C435" t="s">
        <v>913</v>
      </c>
      <c r="D435" t="s">
        <v>18</v>
      </c>
      <c r="E435">
        <v>4389</v>
      </c>
      <c r="F435">
        <v>17.399999999999999</v>
      </c>
      <c r="G435">
        <v>60</v>
      </c>
      <c r="H435" t="s">
        <v>26</v>
      </c>
      <c r="I435" t="s">
        <v>73</v>
      </c>
      <c r="J435" t="s">
        <v>37</v>
      </c>
      <c r="K435">
        <v>64314</v>
      </c>
      <c r="L435" t="s">
        <v>33</v>
      </c>
      <c r="M435">
        <v>0.45</v>
      </c>
      <c r="N435">
        <v>0.89</v>
      </c>
      <c r="O435">
        <v>1442.19</v>
      </c>
      <c r="P435">
        <v>0</v>
      </c>
      <c r="Q435">
        <f ca="1">DATEDIF(banking_loan_data[[#This Row],[Issue Date]],TODAY(),"M")</f>
        <v>33</v>
      </c>
      <c r="R435">
        <f t="shared" si="36"/>
        <v>3818.43</v>
      </c>
      <c r="S435">
        <f>+banking_loan_data[[#This Row],[Loan Amount]]+banking_loan_data[[#This Row],[Interest earned]]</f>
        <v>8207.43</v>
      </c>
      <c r="T435" s="2">
        <f t="shared" si="37"/>
        <v>-2946.81</v>
      </c>
      <c r="U435" s="2">
        <f t="shared" si="38"/>
        <v>0</v>
      </c>
      <c r="V435" s="2" t="str">
        <f>IF(banking_loan_data[[#This Row],[Loan Status]]="FULLY PAID","GOOD",IF(banking_loan_data[[#This Row],[Loan Status]]="CURRENT","ACTIVE","BAD"))</f>
        <v>ACTIVE</v>
      </c>
      <c r="W43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435" s="3">
        <f t="shared" si="39"/>
        <v>6364.05</v>
      </c>
      <c r="Y435" s="4">
        <f t="shared" si="40"/>
        <v>-0.6714080656185919</v>
      </c>
      <c r="Z435" s="2" t="str">
        <f t="shared" si="41"/>
        <v>High Risk</v>
      </c>
    </row>
    <row r="436" spans="1:26" x14ac:dyDescent="0.3">
      <c r="A436" t="s">
        <v>914</v>
      </c>
      <c r="B436" s="1">
        <v>44765</v>
      </c>
      <c r="C436" t="s">
        <v>915</v>
      </c>
      <c r="D436" t="s">
        <v>56</v>
      </c>
      <c r="E436">
        <v>26683</v>
      </c>
      <c r="F436">
        <v>16.2</v>
      </c>
      <c r="G436">
        <v>60</v>
      </c>
      <c r="H436" t="s">
        <v>19</v>
      </c>
      <c r="I436" t="s">
        <v>27</v>
      </c>
      <c r="J436" t="s">
        <v>21</v>
      </c>
      <c r="K436">
        <v>78225</v>
      </c>
      <c r="L436" t="s">
        <v>22</v>
      </c>
      <c r="M436">
        <v>0.28000000000000003</v>
      </c>
      <c r="N436">
        <v>0.6</v>
      </c>
      <c r="O436">
        <v>31005.65</v>
      </c>
      <c r="P436">
        <v>0</v>
      </c>
      <c r="Q436">
        <f ca="1">DATEDIF(banking_loan_data[[#This Row],[Issue Date]],TODAY(),"M")</f>
        <v>43</v>
      </c>
      <c r="R436">
        <f t="shared" si="36"/>
        <v>21613.23</v>
      </c>
      <c r="S436">
        <f>+banking_loan_data[[#This Row],[Loan Amount]]+banking_loan_data[[#This Row],[Interest earned]]</f>
        <v>48296.229999999996</v>
      </c>
      <c r="T436" s="2">
        <f t="shared" si="37"/>
        <v>4322.6500000000015</v>
      </c>
      <c r="U436" s="2">
        <f t="shared" si="38"/>
        <v>0</v>
      </c>
      <c r="V436" s="2" t="str">
        <f>IF(banking_loan_data[[#This Row],[Loan Status]]="FULLY PAID","GOOD",IF(banking_loan_data[[#This Row],[Loan Status]]="CURRENT","ACTIVE","BAD"))</f>
        <v>GOOD</v>
      </c>
      <c r="W43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36" s="3">
        <f t="shared" si="39"/>
        <v>36022.049999999996</v>
      </c>
      <c r="Y436" s="4">
        <f t="shared" si="40"/>
        <v>0.16200014990818129</v>
      </c>
      <c r="Z436" s="2" t="str">
        <f t="shared" si="41"/>
        <v>Normal</v>
      </c>
    </row>
    <row r="437" spans="1:26" x14ac:dyDescent="0.3">
      <c r="A437" t="s">
        <v>916</v>
      </c>
      <c r="B437" s="1">
        <v>45259</v>
      </c>
      <c r="C437" t="s">
        <v>917</v>
      </c>
      <c r="D437" t="s">
        <v>72</v>
      </c>
      <c r="E437">
        <v>14629</v>
      </c>
      <c r="F437">
        <v>17.600000000000001</v>
      </c>
      <c r="G437">
        <v>36</v>
      </c>
      <c r="H437" t="s">
        <v>19</v>
      </c>
      <c r="I437" t="s">
        <v>57</v>
      </c>
      <c r="J437" t="s">
        <v>47</v>
      </c>
      <c r="K437">
        <v>117985</v>
      </c>
      <c r="L437" t="s">
        <v>29</v>
      </c>
      <c r="M437">
        <v>0.49</v>
      </c>
      <c r="N437">
        <v>0.56999999999999995</v>
      </c>
      <c r="O437">
        <v>17203.7</v>
      </c>
      <c r="P437">
        <v>0</v>
      </c>
      <c r="Q437">
        <f ca="1">DATEDIF(banking_loan_data[[#This Row],[Issue Date]],TODAY(),"M")</f>
        <v>27</v>
      </c>
      <c r="R437">
        <f t="shared" si="36"/>
        <v>7724.112000000001</v>
      </c>
      <c r="S437">
        <f>+banking_loan_data[[#This Row],[Loan Amount]]+banking_loan_data[[#This Row],[Interest earned]]</f>
        <v>22353.112000000001</v>
      </c>
      <c r="T437" s="2">
        <f t="shared" si="37"/>
        <v>2574.7000000000007</v>
      </c>
      <c r="U437" s="2">
        <f t="shared" si="38"/>
        <v>0</v>
      </c>
      <c r="V437" s="2" t="str">
        <f>IF(banking_loan_data[[#This Row],[Loan Status]]="FULLY PAID","GOOD",IF(banking_loan_data[[#This Row],[Loan Status]]="CURRENT","ACTIVE","BAD"))</f>
        <v>GOOD</v>
      </c>
      <c r="W43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37" s="3">
        <f t="shared" si="39"/>
        <v>21455.866666666832</v>
      </c>
      <c r="Y437" s="4">
        <f t="shared" si="40"/>
        <v>0.17599972657051069</v>
      </c>
      <c r="Z437" s="2" t="str">
        <f t="shared" si="41"/>
        <v>High Risk</v>
      </c>
    </row>
    <row r="438" spans="1:26" x14ac:dyDescent="0.3">
      <c r="A438" t="s">
        <v>918</v>
      </c>
      <c r="B438" s="1">
        <v>44305</v>
      </c>
      <c r="C438" t="s">
        <v>919</v>
      </c>
      <c r="D438" t="s">
        <v>53</v>
      </c>
      <c r="E438">
        <v>25826</v>
      </c>
      <c r="F438">
        <v>15.7</v>
      </c>
      <c r="G438">
        <v>60</v>
      </c>
      <c r="H438" t="s">
        <v>26</v>
      </c>
      <c r="I438" t="s">
        <v>20</v>
      </c>
      <c r="J438" t="s">
        <v>47</v>
      </c>
      <c r="K438">
        <v>113014</v>
      </c>
      <c r="L438" t="s">
        <v>29</v>
      </c>
      <c r="M438">
        <v>0.1</v>
      </c>
      <c r="N438">
        <v>0.53</v>
      </c>
      <c r="O438">
        <v>2961.24</v>
      </c>
      <c r="P438">
        <v>0</v>
      </c>
      <c r="Q438">
        <f ca="1">DATEDIF(banking_loan_data[[#This Row],[Issue Date]],TODAY(),"M")</f>
        <v>59</v>
      </c>
      <c r="R438">
        <f t="shared" si="36"/>
        <v>20273.409999999996</v>
      </c>
      <c r="S438">
        <f>+banking_loan_data[[#This Row],[Loan Amount]]+banking_loan_data[[#This Row],[Interest earned]]</f>
        <v>46099.409999999996</v>
      </c>
      <c r="T438" s="2">
        <f t="shared" si="37"/>
        <v>-22864.760000000002</v>
      </c>
      <c r="U438" s="2">
        <f t="shared" si="38"/>
        <v>0</v>
      </c>
      <c r="V438" s="2" t="str">
        <f>IF(banking_loan_data[[#This Row],[Loan Status]]="FULLY PAID","GOOD",IF(banking_loan_data[[#This Row],[Loan Status]]="CURRENT","ACTIVE","BAD"))</f>
        <v>ACTIVE</v>
      </c>
      <c r="W43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38" s="3">
        <f t="shared" si="39"/>
        <v>33789.01666666667</v>
      </c>
      <c r="Y438" s="4">
        <f t="shared" si="40"/>
        <v>-0.88533880585456526</v>
      </c>
      <c r="Z438" s="2" t="str">
        <f t="shared" si="41"/>
        <v>Normal</v>
      </c>
    </row>
    <row r="439" spans="1:26" x14ac:dyDescent="0.3">
      <c r="A439" t="s">
        <v>920</v>
      </c>
      <c r="B439" s="1">
        <v>45262</v>
      </c>
      <c r="C439" t="s">
        <v>921</v>
      </c>
      <c r="D439" t="s">
        <v>50</v>
      </c>
      <c r="E439">
        <v>36198</v>
      </c>
      <c r="F439">
        <v>17.7</v>
      </c>
      <c r="G439">
        <v>60</v>
      </c>
      <c r="H439" t="s">
        <v>19</v>
      </c>
      <c r="I439" t="s">
        <v>27</v>
      </c>
      <c r="J439" t="s">
        <v>21</v>
      </c>
      <c r="K439">
        <v>65179</v>
      </c>
      <c r="L439" t="s">
        <v>22</v>
      </c>
      <c r="M439">
        <v>0.35</v>
      </c>
      <c r="N439">
        <v>0.87</v>
      </c>
      <c r="O439">
        <v>42605.05</v>
      </c>
      <c r="P439">
        <v>0</v>
      </c>
      <c r="Q439">
        <f ca="1">DATEDIF(banking_loan_data[[#This Row],[Issue Date]],TODAY(),"M")</f>
        <v>27</v>
      </c>
      <c r="R439">
        <f t="shared" si="36"/>
        <v>32035.229999999996</v>
      </c>
      <c r="S439">
        <f>+banking_loan_data[[#This Row],[Loan Amount]]+banking_loan_data[[#This Row],[Interest earned]]</f>
        <v>68233.23</v>
      </c>
      <c r="T439" s="2">
        <f t="shared" si="37"/>
        <v>6407.0500000000029</v>
      </c>
      <c r="U439" s="2">
        <f t="shared" si="38"/>
        <v>0</v>
      </c>
      <c r="V439" s="2" t="str">
        <f>IF(banking_loan_data[[#This Row],[Loan Status]]="FULLY PAID","GOOD",IF(banking_loan_data[[#This Row],[Loan Status]]="CURRENT","ACTIVE","BAD"))</f>
        <v>GOOD</v>
      </c>
      <c r="W43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39" s="3">
        <f t="shared" si="39"/>
        <v>53392.049999999996</v>
      </c>
      <c r="Y439" s="4">
        <f t="shared" si="40"/>
        <v>0.1770001105033428</v>
      </c>
      <c r="Z439" s="2" t="str">
        <f t="shared" si="41"/>
        <v>High Risk</v>
      </c>
    </row>
    <row r="440" spans="1:26" x14ac:dyDescent="0.3">
      <c r="A440" t="s">
        <v>922</v>
      </c>
      <c r="B440" s="1">
        <v>45131</v>
      </c>
      <c r="C440" t="s">
        <v>923</v>
      </c>
      <c r="D440" t="s">
        <v>50</v>
      </c>
      <c r="E440">
        <v>27630</v>
      </c>
      <c r="F440">
        <v>14</v>
      </c>
      <c r="G440">
        <v>60</v>
      </c>
      <c r="H440" t="s">
        <v>19</v>
      </c>
      <c r="I440" t="s">
        <v>36</v>
      </c>
      <c r="J440" t="s">
        <v>21</v>
      </c>
      <c r="K440">
        <v>147305</v>
      </c>
      <c r="L440" t="s">
        <v>29</v>
      </c>
      <c r="M440">
        <v>0.35</v>
      </c>
      <c r="N440">
        <v>0.64</v>
      </c>
      <c r="O440">
        <v>31498.2</v>
      </c>
      <c r="P440">
        <v>0</v>
      </c>
      <c r="Q440">
        <f ca="1">DATEDIF(banking_loan_data[[#This Row],[Issue Date]],TODAY(),"M")</f>
        <v>31</v>
      </c>
      <c r="R440">
        <f t="shared" si="36"/>
        <v>19341</v>
      </c>
      <c r="S440">
        <f>+banking_loan_data[[#This Row],[Loan Amount]]+banking_loan_data[[#This Row],[Interest earned]]</f>
        <v>46971</v>
      </c>
      <c r="T440" s="2">
        <f t="shared" si="37"/>
        <v>3868.2000000000007</v>
      </c>
      <c r="U440" s="2">
        <f t="shared" si="38"/>
        <v>0</v>
      </c>
      <c r="V440" s="2" t="str">
        <f>IF(banking_loan_data[[#This Row],[Loan Status]]="FULLY PAID","GOOD",IF(banking_loan_data[[#This Row],[Loan Status]]="CURRENT","ACTIVE","BAD"))</f>
        <v>GOOD</v>
      </c>
      <c r="W44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40" s="3">
        <f t="shared" si="39"/>
        <v>32235.000000000004</v>
      </c>
      <c r="Y440" s="4">
        <f t="shared" si="40"/>
        <v>0.14000000000000001</v>
      </c>
      <c r="Z440" s="2" t="str">
        <f t="shared" si="41"/>
        <v>Normal</v>
      </c>
    </row>
    <row r="441" spans="1:26" x14ac:dyDescent="0.3">
      <c r="A441" t="s">
        <v>924</v>
      </c>
      <c r="B441" s="1">
        <v>44594</v>
      </c>
      <c r="C441" t="s">
        <v>925</v>
      </c>
      <c r="D441" t="s">
        <v>40</v>
      </c>
      <c r="E441">
        <v>34226</v>
      </c>
      <c r="F441">
        <v>9.4</v>
      </c>
      <c r="G441">
        <v>36</v>
      </c>
      <c r="H441" t="s">
        <v>19</v>
      </c>
      <c r="I441" t="s">
        <v>27</v>
      </c>
      <c r="J441" t="s">
        <v>21</v>
      </c>
      <c r="K441">
        <v>142417</v>
      </c>
      <c r="L441" t="s">
        <v>33</v>
      </c>
      <c r="M441">
        <v>0.28000000000000003</v>
      </c>
      <c r="N441">
        <v>0.68</v>
      </c>
      <c r="O441">
        <v>37443.24</v>
      </c>
      <c r="P441">
        <v>0</v>
      </c>
      <c r="Q441">
        <f ca="1">DATEDIF(banking_loan_data[[#This Row],[Issue Date]],TODAY(),"M")</f>
        <v>49</v>
      </c>
      <c r="R441">
        <f t="shared" si="36"/>
        <v>9651.732</v>
      </c>
      <c r="S441">
        <f>+banking_loan_data[[#This Row],[Loan Amount]]+banking_loan_data[[#This Row],[Interest earned]]</f>
        <v>43877.732000000004</v>
      </c>
      <c r="T441" s="2">
        <f t="shared" si="37"/>
        <v>3217.239999999998</v>
      </c>
      <c r="U441" s="2">
        <f t="shared" si="38"/>
        <v>0</v>
      </c>
      <c r="V441" s="2" t="str">
        <f>IF(banking_loan_data[[#This Row],[Loan Status]]="FULLY PAID","GOOD",IF(banking_loan_data[[#This Row],[Loan Status]]="CURRENT","ACTIVE","BAD"))</f>
        <v>GOOD</v>
      </c>
      <c r="W44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41" s="3">
        <f t="shared" si="39"/>
        <v>26810.366690873157</v>
      </c>
      <c r="Y441" s="4">
        <f t="shared" si="40"/>
        <v>9.3999883129784315E-2</v>
      </c>
      <c r="Z441" s="2" t="str">
        <f t="shared" si="41"/>
        <v>Normal</v>
      </c>
    </row>
    <row r="442" spans="1:26" x14ac:dyDescent="0.3">
      <c r="A442" t="s">
        <v>926</v>
      </c>
      <c r="B442" s="1">
        <v>44830</v>
      </c>
      <c r="C442" t="s">
        <v>927</v>
      </c>
      <c r="D442" t="s">
        <v>40</v>
      </c>
      <c r="E442">
        <v>33975</v>
      </c>
      <c r="F442">
        <v>7.4</v>
      </c>
      <c r="G442">
        <v>36</v>
      </c>
      <c r="H442" t="s">
        <v>19</v>
      </c>
      <c r="I442" t="s">
        <v>27</v>
      </c>
      <c r="J442" t="s">
        <v>37</v>
      </c>
      <c r="K442">
        <v>55338</v>
      </c>
      <c r="L442" t="s">
        <v>22</v>
      </c>
      <c r="M442">
        <v>0.26</v>
      </c>
      <c r="N442">
        <v>0.73</v>
      </c>
      <c r="O442">
        <v>36489.15</v>
      </c>
      <c r="P442">
        <v>0</v>
      </c>
      <c r="Q442">
        <f ca="1">DATEDIF(banking_loan_data[[#This Row],[Issue Date]],TODAY(),"M")</f>
        <v>41</v>
      </c>
      <c r="R442">
        <f t="shared" si="36"/>
        <v>7542.4500000000007</v>
      </c>
      <c r="S442">
        <f>+banking_loan_data[[#This Row],[Loan Amount]]+banking_loan_data[[#This Row],[Interest earned]]</f>
        <v>41517.449999999997</v>
      </c>
      <c r="T442" s="2">
        <f t="shared" si="37"/>
        <v>2514.1500000000015</v>
      </c>
      <c r="U442" s="2">
        <f t="shared" si="38"/>
        <v>0</v>
      </c>
      <c r="V442" s="2" t="str">
        <f>IF(banking_loan_data[[#This Row],[Loan Status]]="FULLY PAID","GOOD",IF(banking_loan_data[[#This Row],[Loan Status]]="CURRENT","ACTIVE","BAD"))</f>
        <v>GOOD</v>
      </c>
      <c r="W44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42" s="3">
        <f t="shared" si="39"/>
        <v>20951.250646952703</v>
      </c>
      <c r="Y442" s="4">
        <f t="shared" si="40"/>
        <v>7.4000000000000038E-2</v>
      </c>
      <c r="Z442" s="2" t="str">
        <f t="shared" si="41"/>
        <v>Normal</v>
      </c>
    </row>
    <row r="443" spans="1:26" x14ac:dyDescent="0.3">
      <c r="A443" t="s">
        <v>928</v>
      </c>
      <c r="B443" s="1">
        <v>44929</v>
      </c>
      <c r="C443" t="s">
        <v>929</v>
      </c>
      <c r="D443" t="s">
        <v>56</v>
      </c>
      <c r="E443">
        <v>1899</v>
      </c>
      <c r="F443">
        <v>6.4</v>
      </c>
      <c r="G443">
        <v>36</v>
      </c>
      <c r="H443" t="s">
        <v>81</v>
      </c>
      <c r="I443" t="s">
        <v>57</v>
      </c>
      <c r="J443" t="s">
        <v>21</v>
      </c>
      <c r="K443">
        <v>122435</v>
      </c>
      <c r="L443" t="s">
        <v>22</v>
      </c>
      <c r="M443">
        <v>0.28000000000000003</v>
      </c>
      <c r="N443">
        <v>0.88</v>
      </c>
      <c r="O443">
        <v>487.5</v>
      </c>
      <c r="P443">
        <v>737.8</v>
      </c>
      <c r="Q443">
        <f ca="1">DATEDIF(banking_loan_data[[#This Row],[Issue Date]],TODAY(),"M")</f>
        <v>38</v>
      </c>
      <c r="R443">
        <f t="shared" si="36"/>
        <v>364.608</v>
      </c>
      <c r="S443">
        <f>+banking_loan_data[[#This Row],[Loan Amount]]+banking_loan_data[[#This Row],[Interest earned]]</f>
        <v>2263.6080000000002</v>
      </c>
      <c r="T443" s="2">
        <f t="shared" si="37"/>
        <v>-673.7</v>
      </c>
      <c r="U443" s="2">
        <f t="shared" si="38"/>
        <v>1</v>
      </c>
      <c r="V443" s="2" t="str">
        <f>IF(banking_loan_data[[#This Row],[Loan Status]]="FULLY PAID","GOOD",IF(banking_loan_data[[#This Row],[Loan Status]]="CURRENT","ACTIVE","BAD"))</f>
        <v>BAD</v>
      </c>
      <c r="W44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43" s="3">
        <f t="shared" si="39"/>
        <v>1012.8002101875617</v>
      </c>
      <c r="Y443" s="4">
        <f t="shared" si="40"/>
        <v>-0.35476566614007377</v>
      </c>
      <c r="Z443" s="2" t="str">
        <f t="shared" si="41"/>
        <v>High Risk</v>
      </c>
    </row>
    <row r="444" spans="1:26" x14ac:dyDescent="0.3">
      <c r="A444" t="s">
        <v>930</v>
      </c>
      <c r="B444" s="1">
        <v>44431</v>
      </c>
      <c r="C444" t="s">
        <v>931</v>
      </c>
      <c r="D444" t="s">
        <v>56</v>
      </c>
      <c r="E444">
        <v>12653</v>
      </c>
      <c r="F444">
        <v>10.3</v>
      </c>
      <c r="G444">
        <v>60</v>
      </c>
      <c r="H444" t="s">
        <v>19</v>
      </c>
      <c r="I444" t="s">
        <v>20</v>
      </c>
      <c r="J444" t="s">
        <v>37</v>
      </c>
      <c r="K444">
        <v>99681</v>
      </c>
      <c r="L444" t="s">
        <v>33</v>
      </c>
      <c r="M444">
        <v>0.27</v>
      </c>
      <c r="N444">
        <v>0.79</v>
      </c>
      <c r="O444">
        <v>13956.26</v>
      </c>
      <c r="P444">
        <v>0</v>
      </c>
      <c r="Q444">
        <f ca="1">DATEDIF(banking_loan_data[[#This Row],[Issue Date]],TODAY(),"M")</f>
        <v>54</v>
      </c>
      <c r="R444">
        <f t="shared" si="36"/>
        <v>6516.295000000001</v>
      </c>
      <c r="S444">
        <f>+banking_loan_data[[#This Row],[Loan Amount]]+banking_loan_data[[#This Row],[Interest earned]]</f>
        <v>19169.295000000002</v>
      </c>
      <c r="T444" s="2">
        <f t="shared" si="37"/>
        <v>1303.2600000000002</v>
      </c>
      <c r="U444" s="2">
        <f t="shared" si="38"/>
        <v>0</v>
      </c>
      <c r="V444" s="2" t="str">
        <f>IF(banking_loan_data[[#This Row],[Loan Status]]="FULLY PAID","GOOD",IF(banking_loan_data[[#This Row],[Loan Status]]="CURRENT","ACTIVE","BAD"))</f>
        <v>GOOD</v>
      </c>
      <c r="W44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44" s="3">
        <f t="shared" si="39"/>
        <v>10860.491666666669</v>
      </c>
      <c r="Y444" s="4">
        <f t="shared" si="40"/>
        <v>0.1030000790326405</v>
      </c>
      <c r="Z444" s="2" t="str">
        <f t="shared" si="41"/>
        <v>Normal</v>
      </c>
    </row>
    <row r="445" spans="1:26" x14ac:dyDescent="0.3">
      <c r="A445" t="s">
        <v>932</v>
      </c>
      <c r="B445" s="1">
        <v>44854</v>
      </c>
      <c r="C445" t="s">
        <v>933</v>
      </c>
      <c r="D445" t="s">
        <v>46</v>
      </c>
      <c r="E445">
        <v>28961</v>
      </c>
      <c r="F445">
        <v>5.9</v>
      </c>
      <c r="G445">
        <v>36</v>
      </c>
      <c r="H445" t="s">
        <v>26</v>
      </c>
      <c r="I445" t="s">
        <v>27</v>
      </c>
      <c r="J445" t="s">
        <v>32</v>
      </c>
      <c r="K445">
        <v>62101</v>
      </c>
      <c r="L445" t="s">
        <v>33</v>
      </c>
      <c r="M445">
        <v>0.39</v>
      </c>
      <c r="N445">
        <v>0.78</v>
      </c>
      <c r="O445">
        <v>1542.14</v>
      </c>
      <c r="P445">
        <v>0</v>
      </c>
      <c r="Q445">
        <f ca="1">DATEDIF(banking_loan_data[[#This Row],[Issue Date]],TODAY(),"M")</f>
        <v>40</v>
      </c>
      <c r="R445">
        <f t="shared" si="36"/>
        <v>5126.0970000000007</v>
      </c>
      <c r="S445">
        <f>+banking_loan_data[[#This Row],[Loan Amount]]+banking_loan_data[[#This Row],[Interest earned]]</f>
        <v>34087.097000000002</v>
      </c>
      <c r="T445" s="2">
        <f t="shared" si="37"/>
        <v>-27418.86</v>
      </c>
      <c r="U445" s="2">
        <f t="shared" si="38"/>
        <v>0</v>
      </c>
      <c r="V445" s="2" t="str">
        <f>IF(banking_loan_data[[#This Row],[Loan Status]]="FULLY PAID","GOOD",IF(banking_loan_data[[#This Row],[Loan Status]]="CURRENT","ACTIVE","BAD"))</f>
        <v>ACTIVE</v>
      </c>
      <c r="W44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45" s="3">
        <f t="shared" si="39"/>
        <v>14239.166300434001</v>
      </c>
      <c r="Y445" s="4">
        <f t="shared" si="40"/>
        <v>-0.94675114809571492</v>
      </c>
      <c r="Z445" s="2" t="str">
        <f t="shared" si="41"/>
        <v>Normal</v>
      </c>
    </row>
    <row r="446" spans="1:26" x14ac:dyDescent="0.3">
      <c r="A446" t="s">
        <v>934</v>
      </c>
      <c r="B446" s="1">
        <v>44947</v>
      </c>
      <c r="C446" t="s">
        <v>935</v>
      </c>
      <c r="D446" t="s">
        <v>76</v>
      </c>
      <c r="E446">
        <v>17405</v>
      </c>
      <c r="F446">
        <v>16.3</v>
      </c>
      <c r="G446">
        <v>60</v>
      </c>
      <c r="H446" t="s">
        <v>19</v>
      </c>
      <c r="I446" t="s">
        <v>57</v>
      </c>
      <c r="J446" t="s">
        <v>47</v>
      </c>
      <c r="K446">
        <v>32775</v>
      </c>
      <c r="L446" t="s">
        <v>22</v>
      </c>
      <c r="M446">
        <v>0.15</v>
      </c>
      <c r="N446">
        <v>0.57999999999999996</v>
      </c>
      <c r="O446">
        <v>20242.02</v>
      </c>
      <c r="P446">
        <v>0</v>
      </c>
      <c r="Q446">
        <f ca="1">DATEDIF(banking_loan_data[[#This Row],[Issue Date]],TODAY(),"M")</f>
        <v>37</v>
      </c>
      <c r="R446">
        <f t="shared" si="36"/>
        <v>14185.074999999999</v>
      </c>
      <c r="S446">
        <f>+banking_loan_data[[#This Row],[Loan Amount]]+banking_loan_data[[#This Row],[Interest earned]]</f>
        <v>31590.074999999997</v>
      </c>
      <c r="T446" s="2">
        <f t="shared" si="37"/>
        <v>2837.0200000000004</v>
      </c>
      <c r="U446" s="2">
        <f t="shared" si="38"/>
        <v>0</v>
      </c>
      <c r="V446" s="2" t="str">
        <f>IF(banking_loan_data[[#This Row],[Loan Status]]="FULLY PAID","GOOD",IF(banking_loan_data[[#This Row],[Loan Status]]="CURRENT","ACTIVE","BAD"))</f>
        <v>GOOD</v>
      </c>
      <c r="W44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46" s="3">
        <f t="shared" si="39"/>
        <v>23641.791666666668</v>
      </c>
      <c r="Y446" s="4">
        <f t="shared" si="40"/>
        <v>0.16300028727377194</v>
      </c>
      <c r="Z446" s="2" t="str">
        <f t="shared" si="41"/>
        <v>Normal</v>
      </c>
    </row>
    <row r="447" spans="1:26" x14ac:dyDescent="0.3">
      <c r="A447" t="s">
        <v>936</v>
      </c>
      <c r="B447" s="1">
        <v>44784</v>
      </c>
      <c r="C447" t="s">
        <v>937</v>
      </c>
      <c r="D447" t="s">
        <v>65</v>
      </c>
      <c r="E447">
        <v>9601</v>
      </c>
      <c r="F447">
        <v>10.7</v>
      </c>
      <c r="G447">
        <v>60</v>
      </c>
      <c r="H447" t="s">
        <v>19</v>
      </c>
      <c r="I447" t="s">
        <v>84</v>
      </c>
      <c r="J447" t="s">
        <v>47</v>
      </c>
      <c r="K447">
        <v>141497</v>
      </c>
      <c r="L447" t="s">
        <v>33</v>
      </c>
      <c r="M447">
        <v>0.18</v>
      </c>
      <c r="N447">
        <v>0.73</v>
      </c>
      <c r="O447">
        <v>10628.31</v>
      </c>
      <c r="P447">
        <v>0</v>
      </c>
      <c r="Q447">
        <f ca="1">DATEDIF(banking_loan_data[[#This Row],[Issue Date]],TODAY(),"M")</f>
        <v>43</v>
      </c>
      <c r="R447">
        <f t="shared" si="36"/>
        <v>5136.5349999999999</v>
      </c>
      <c r="S447">
        <f>+banking_loan_data[[#This Row],[Loan Amount]]+banking_loan_data[[#This Row],[Interest earned]]</f>
        <v>14737.535</v>
      </c>
      <c r="T447" s="2">
        <f t="shared" si="37"/>
        <v>1027.3099999999995</v>
      </c>
      <c r="U447" s="2">
        <f t="shared" si="38"/>
        <v>0</v>
      </c>
      <c r="V447" s="2" t="str">
        <f>IF(banking_loan_data[[#This Row],[Loan Status]]="FULLY PAID","GOOD",IF(banking_loan_data[[#This Row],[Loan Status]]="CURRENT","ACTIVE","BAD"))</f>
        <v>GOOD</v>
      </c>
      <c r="W44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47" s="3">
        <f t="shared" si="39"/>
        <v>8560.8916666666664</v>
      </c>
      <c r="Y447" s="4">
        <f t="shared" si="40"/>
        <v>0.10700031246745126</v>
      </c>
      <c r="Z447" s="2" t="str">
        <f t="shared" si="41"/>
        <v>Normal</v>
      </c>
    </row>
    <row r="448" spans="1:26" x14ac:dyDescent="0.3">
      <c r="A448" t="s">
        <v>938</v>
      </c>
      <c r="B448" s="1">
        <v>45229</v>
      </c>
      <c r="C448" t="s">
        <v>939</v>
      </c>
      <c r="D448" t="s">
        <v>53</v>
      </c>
      <c r="E448">
        <v>34662</v>
      </c>
      <c r="F448">
        <v>21.5</v>
      </c>
      <c r="G448">
        <v>36</v>
      </c>
      <c r="H448" t="s">
        <v>19</v>
      </c>
      <c r="I448" t="s">
        <v>20</v>
      </c>
      <c r="J448" t="s">
        <v>28</v>
      </c>
      <c r="K448">
        <v>127183</v>
      </c>
      <c r="L448" t="s">
        <v>22</v>
      </c>
      <c r="M448">
        <v>0.17</v>
      </c>
      <c r="N448">
        <v>0.82</v>
      </c>
      <c r="O448">
        <v>42114.33</v>
      </c>
      <c r="P448">
        <v>0</v>
      </c>
      <c r="Q448">
        <f ca="1">DATEDIF(banking_loan_data[[#This Row],[Issue Date]],TODAY(),"M")</f>
        <v>28</v>
      </c>
      <c r="R448">
        <f t="shared" si="36"/>
        <v>22356.99</v>
      </c>
      <c r="S448">
        <f>+banking_loan_data[[#This Row],[Loan Amount]]+banking_loan_data[[#This Row],[Interest earned]]</f>
        <v>57018.990000000005</v>
      </c>
      <c r="T448" s="2">
        <f t="shared" si="37"/>
        <v>7452.3300000000017</v>
      </c>
      <c r="U448" s="2">
        <f t="shared" si="38"/>
        <v>0</v>
      </c>
      <c r="V448" s="2" t="str">
        <f>IF(banking_loan_data[[#This Row],[Loan Status]]="FULLY PAID","GOOD",IF(banking_loan_data[[#This Row],[Loan Status]]="CURRENT","ACTIVE","BAD"))</f>
        <v>GOOD</v>
      </c>
      <c r="W44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48" s="3">
        <f t="shared" si="39"/>
        <v>62102.750000000015</v>
      </c>
      <c r="Y448" s="4">
        <f t="shared" si="40"/>
        <v>0.21500000000000005</v>
      </c>
      <c r="Z448" s="2" t="str">
        <f t="shared" si="41"/>
        <v>High Risk</v>
      </c>
    </row>
    <row r="449" spans="1:26" x14ac:dyDescent="0.3">
      <c r="A449" t="s">
        <v>940</v>
      </c>
      <c r="B449" s="1">
        <v>45150</v>
      </c>
      <c r="C449" t="s">
        <v>941</v>
      </c>
      <c r="D449" t="s">
        <v>40</v>
      </c>
      <c r="E449">
        <v>34282</v>
      </c>
      <c r="F449">
        <v>6.5</v>
      </c>
      <c r="G449">
        <v>36</v>
      </c>
      <c r="H449" t="s">
        <v>19</v>
      </c>
      <c r="I449" t="s">
        <v>57</v>
      </c>
      <c r="J449" t="s">
        <v>32</v>
      </c>
      <c r="K449">
        <v>75619</v>
      </c>
      <c r="L449" t="s">
        <v>33</v>
      </c>
      <c r="M449">
        <v>0.2</v>
      </c>
      <c r="N449">
        <v>0.94</v>
      </c>
      <c r="O449">
        <v>36510.33</v>
      </c>
      <c r="P449">
        <v>0</v>
      </c>
      <c r="Q449">
        <f ca="1">DATEDIF(banking_loan_data[[#This Row],[Issue Date]],TODAY(),"M")</f>
        <v>31</v>
      </c>
      <c r="R449">
        <f t="shared" si="36"/>
        <v>6684.9900000000007</v>
      </c>
      <c r="S449">
        <f>+banking_loan_data[[#This Row],[Loan Amount]]+banking_loan_data[[#This Row],[Interest earned]]</f>
        <v>40966.99</v>
      </c>
      <c r="T449" s="2">
        <f t="shared" si="37"/>
        <v>2228.3300000000017</v>
      </c>
      <c r="U449" s="2">
        <f t="shared" si="38"/>
        <v>0</v>
      </c>
      <c r="V449" s="2" t="str">
        <f>IF(banking_loan_data[[#This Row],[Loan Status]]="FULLY PAID","GOOD",IF(banking_loan_data[[#This Row],[Loan Status]]="CURRENT","ACTIVE","BAD"))</f>
        <v>GOOD</v>
      </c>
      <c r="W44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49" s="3">
        <f t="shared" si="39"/>
        <v>18569.419837263129</v>
      </c>
      <c r="Y449" s="4">
        <f t="shared" si="40"/>
        <v>6.5000000000000058E-2</v>
      </c>
      <c r="Z449" s="2" t="str">
        <f t="shared" si="41"/>
        <v>High Risk</v>
      </c>
    </row>
    <row r="450" spans="1:26" x14ac:dyDescent="0.3">
      <c r="A450" t="s">
        <v>942</v>
      </c>
      <c r="B450" s="1">
        <v>44688</v>
      </c>
      <c r="C450" t="s">
        <v>943</v>
      </c>
      <c r="D450" t="s">
        <v>65</v>
      </c>
      <c r="E450">
        <v>22288</v>
      </c>
      <c r="F450">
        <v>9.5</v>
      </c>
      <c r="G450">
        <v>60</v>
      </c>
      <c r="H450" t="s">
        <v>19</v>
      </c>
      <c r="I450" t="s">
        <v>57</v>
      </c>
      <c r="J450" t="s">
        <v>21</v>
      </c>
      <c r="K450">
        <v>75838</v>
      </c>
      <c r="L450" t="s">
        <v>22</v>
      </c>
      <c r="M450">
        <v>0.31</v>
      </c>
      <c r="N450">
        <v>0.59</v>
      </c>
      <c r="O450">
        <v>24405.360000000001</v>
      </c>
      <c r="P450">
        <v>0</v>
      </c>
      <c r="Q450">
        <f ca="1">DATEDIF(banking_loan_data[[#This Row],[Issue Date]],TODAY(),"M")</f>
        <v>46</v>
      </c>
      <c r="R450">
        <f t="shared" ref="R450:R513" si="42">(((E450*F450)/100)*G450)/12</f>
        <v>10586.800000000001</v>
      </c>
      <c r="S450">
        <f>+banking_loan_data[[#This Row],[Loan Amount]]+banking_loan_data[[#This Row],[Interest earned]]</f>
        <v>32874.800000000003</v>
      </c>
      <c r="T450" s="2">
        <f t="shared" ref="T450:T513" si="43">O450 + P450 - E450</f>
        <v>2117.3600000000006</v>
      </c>
      <c r="U450" s="2">
        <f t="shared" ref="U450:U513" si="44">IF(H450="CHARGED OFF",1,0)</f>
        <v>0</v>
      </c>
      <c r="V450" s="2" t="str">
        <f>IF(banking_loan_data[[#This Row],[Loan Status]]="FULLY PAID","GOOD",IF(banking_loan_data[[#This Row],[Loan Status]]="CURRENT","ACTIVE","BAD"))</f>
        <v>GOOD</v>
      </c>
      <c r="W45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50" s="3">
        <f t="shared" ref="X450:X513" si="45">PMT(F450/12,G450,-E450)</f>
        <v>17644.666666666679</v>
      </c>
      <c r="Y450" s="4">
        <f t="shared" ref="Y450:Y513" si="46">IF(E450=0,0,T450/E450)</f>
        <v>9.5000000000000029E-2</v>
      </c>
      <c r="Z450" s="2" t="str">
        <f t="shared" ref="Z450:Z513" si="47">IF(OR(M450&gt;0.4,N450&gt;0.8),"High Risk","Normal")</f>
        <v>Normal</v>
      </c>
    </row>
    <row r="451" spans="1:26" x14ac:dyDescent="0.3">
      <c r="A451" t="s">
        <v>944</v>
      </c>
      <c r="B451" s="1">
        <v>45109</v>
      </c>
      <c r="C451" t="s">
        <v>945</v>
      </c>
      <c r="D451" t="s">
        <v>65</v>
      </c>
      <c r="E451">
        <v>30545</v>
      </c>
      <c r="F451">
        <v>19.600000000000001</v>
      </c>
      <c r="G451">
        <v>60</v>
      </c>
      <c r="H451" t="s">
        <v>26</v>
      </c>
      <c r="I451" t="s">
        <v>36</v>
      </c>
      <c r="J451" t="s">
        <v>21</v>
      </c>
      <c r="K451">
        <v>49539</v>
      </c>
      <c r="L451" t="s">
        <v>33</v>
      </c>
      <c r="M451">
        <v>0.14000000000000001</v>
      </c>
      <c r="N451">
        <v>0.5</v>
      </c>
      <c r="O451">
        <v>5878.95</v>
      </c>
      <c r="P451">
        <v>0</v>
      </c>
      <c r="Q451">
        <f ca="1">DATEDIF(banking_loan_data[[#This Row],[Issue Date]],TODAY(),"M")</f>
        <v>32</v>
      </c>
      <c r="R451">
        <f t="shared" si="42"/>
        <v>29934.099999999995</v>
      </c>
      <c r="S451">
        <f>+banking_loan_data[[#This Row],[Loan Amount]]+banking_loan_data[[#This Row],[Interest earned]]</f>
        <v>60479.099999999991</v>
      </c>
      <c r="T451" s="2">
        <f t="shared" si="43"/>
        <v>-24666.05</v>
      </c>
      <c r="U451" s="2">
        <f t="shared" si="44"/>
        <v>0</v>
      </c>
      <c r="V451" s="2" t="str">
        <f>IF(banking_loan_data[[#This Row],[Loan Status]]="FULLY PAID","GOOD",IF(banking_loan_data[[#This Row],[Loan Status]]="CURRENT","ACTIVE","BAD"))</f>
        <v>ACTIVE</v>
      </c>
      <c r="W45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51" s="3">
        <f t="shared" si="45"/>
        <v>49890.166666666672</v>
      </c>
      <c r="Y451" s="4">
        <f t="shared" si="46"/>
        <v>-0.80753151088557862</v>
      </c>
      <c r="Z451" s="2" t="str">
        <f t="shared" si="47"/>
        <v>Normal</v>
      </c>
    </row>
    <row r="452" spans="1:26" x14ac:dyDescent="0.3">
      <c r="A452" t="s">
        <v>946</v>
      </c>
      <c r="B452" s="1">
        <v>44366</v>
      </c>
      <c r="C452" t="s">
        <v>947</v>
      </c>
      <c r="D452" t="s">
        <v>76</v>
      </c>
      <c r="E452">
        <v>37877</v>
      </c>
      <c r="F452">
        <v>17</v>
      </c>
      <c r="G452">
        <v>36</v>
      </c>
      <c r="H452" t="s">
        <v>19</v>
      </c>
      <c r="I452" t="s">
        <v>20</v>
      </c>
      <c r="J452" t="s">
        <v>32</v>
      </c>
      <c r="K452">
        <v>132274</v>
      </c>
      <c r="L452" t="s">
        <v>33</v>
      </c>
      <c r="M452">
        <v>0.45</v>
      </c>
      <c r="N452">
        <v>0.53</v>
      </c>
      <c r="O452">
        <v>44316.09</v>
      </c>
      <c r="P452">
        <v>0</v>
      </c>
      <c r="Q452">
        <f ca="1">DATEDIF(banking_loan_data[[#This Row],[Issue Date]],TODAY(),"M")</f>
        <v>57</v>
      </c>
      <c r="R452">
        <f t="shared" si="42"/>
        <v>19317.27</v>
      </c>
      <c r="S452">
        <f>+banking_loan_data[[#This Row],[Loan Amount]]+banking_loan_data[[#This Row],[Interest earned]]</f>
        <v>57194.270000000004</v>
      </c>
      <c r="T452" s="2">
        <f t="shared" si="43"/>
        <v>6439.0899999999965</v>
      </c>
      <c r="U452" s="2">
        <f t="shared" si="44"/>
        <v>0</v>
      </c>
      <c r="V452" s="2" t="str">
        <f>IF(banking_loan_data[[#This Row],[Loan Status]]="FULLY PAID","GOOD",IF(banking_loan_data[[#This Row],[Loan Status]]="CURRENT","ACTIVE","BAD"))</f>
        <v>GOOD</v>
      </c>
      <c r="W45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52" s="3">
        <f t="shared" si="45"/>
        <v>53659.083333334194</v>
      </c>
      <c r="Y452" s="4">
        <f t="shared" si="46"/>
        <v>0.1699999999999999</v>
      </c>
      <c r="Z452" s="2" t="str">
        <f t="shared" si="47"/>
        <v>High Risk</v>
      </c>
    </row>
    <row r="453" spans="1:26" x14ac:dyDescent="0.3">
      <c r="A453" t="s">
        <v>948</v>
      </c>
      <c r="B453" s="1">
        <v>45142</v>
      </c>
      <c r="C453" t="s">
        <v>949</v>
      </c>
      <c r="D453" t="s">
        <v>25</v>
      </c>
      <c r="E453">
        <v>16313</v>
      </c>
      <c r="F453">
        <v>6.3</v>
      </c>
      <c r="G453">
        <v>36</v>
      </c>
      <c r="H453" t="s">
        <v>19</v>
      </c>
      <c r="I453" t="s">
        <v>20</v>
      </c>
      <c r="J453" t="s">
        <v>21</v>
      </c>
      <c r="K453">
        <v>87124</v>
      </c>
      <c r="L453" t="s">
        <v>29</v>
      </c>
      <c r="M453">
        <v>0.22</v>
      </c>
      <c r="N453">
        <v>0.67</v>
      </c>
      <c r="O453">
        <v>17340.72</v>
      </c>
      <c r="P453">
        <v>0</v>
      </c>
      <c r="Q453">
        <f ca="1">DATEDIF(banking_loan_data[[#This Row],[Issue Date]],TODAY(),"M")</f>
        <v>31</v>
      </c>
      <c r="R453">
        <f t="shared" si="42"/>
        <v>3083.1570000000006</v>
      </c>
      <c r="S453">
        <f>+banking_loan_data[[#This Row],[Loan Amount]]+banking_loan_data[[#This Row],[Interest earned]]</f>
        <v>19396.156999999999</v>
      </c>
      <c r="T453" s="2">
        <f t="shared" si="43"/>
        <v>1027.7200000000012</v>
      </c>
      <c r="U453" s="2">
        <f t="shared" si="44"/>
        <v>0</v>
      </c>
      <c r="V453" s="2" t="str">
        <f>IF(banking_loan_data[[#This Row],[Loan Status]]="FULLY PAID","GOOD",IF(banking_loan_data[[#This Row],[Loan Status]]="CURRENT","ACTIVE","BAD"))</f>
        <v>GOOD</v>
      </c>
      <c r="W45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53" s="3">
        <f t="shared" si="45"/>
        <v>8564.3271626133355</v>
      </c>
      <c r="Y453" s="4">
        <f t="shared" si="46"/>
        <v>6.3000061300803115E-2</v>
      </c>
      <c r="Z453" s="2" t="str">
        <f t="shared" si="47"/>
        <v>Normal</v>
      </c>
    </row>
    <row r="454" spans="1:26" x14ac:dyDescent="0.3">
      <c r="A454" t="s">
        <v>950</v>
      </c>
      <c r="B454" s="1">
        <v>44991</v>
      </c>
      <c r="C454" t="s">
        <v>951</v>
      </c>
      <c r="D454" t="s">
        <v>25</v>
      </c>
      <c r="E454">
        <v>16349</v>
      </c>
      <c r="F454">
        <v>22.5</v>
      </c>
      <c r="G454">
        <v>36</v>
      </c>
      <c r="H454" t="s">
        <v>19</v>
      </c>
      <c r="I454" t="s">
        <v>20</v>
      </c>
      <c r="J454" t="s">
        <v>28</v>
      </c>
      <c r="K454">
        <v>95149</v>
      </c>
      <c r="L454" t="s">
        <v>29</v>
      </c>
      <c r="M454">
        <v>0.17</v>
      </c>
      <c r="N454">
        <v>0.87</v>
      </c>
      <c r="O454">
        <v>20027.53</v>
      </c>
      <c r="P454">
        <v>0</v>
      </c>
      <c r="Q454">
        <f ca="1">DATEDIF(banking_loan_data[[#This Row],[Issue Date]],TODAY(),"M")</f>
        <v>36</v>
      </c>
      <c r="R454">
        <f t="shared" si="42"/>
        <v>11035.574999999999</v>
      </c>
      <c r="S454">
        <f>+banking_loan_data[[#This Row],[Loan Amount]]+banking_loan_data[[#This Row],[Interest earned]]</f>
        <v>27384.574999999997</v>
      </c>
      <c r="T454" s="2">
        <f t="shared" si="43"/>
        <v>3678.5299999999988</v>
      </c>
      <c r="U454" s="2">
        <f t="shared" si="44"/>
        <v>0</v>
      </c>
      <c r="V454" s="2" t="str">
        <f>IF(banking_loan_data[[#This Row],[Loan Status]]="FULLY PAID","GOOD",IF(banking_loan_data[[#This Row],[Loan Status]]="CURRENT","ACTIVE","BAD"))</f>
        <v>GOOD</v>
      </c>
      <c r="W45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54" s="3">
        <f t="shared" si="45"/>
        <v>30654.375</v>
      </c>
      <c r="Y454" s="4">
        <f t="shared" si="46"/>
        <v>0.22500030582910263</v>
      </c>
      <c r="Z454" s="2" t="str">
        <f t="shared" si="47"/>
        <v>High Risk</v>
      </c>
    </row>
    <row r="455" spans="1:26" x14ac:dyDescent="0.3">
      <c r="A455" t="s">
        <v>952</v>
      </c>
      <c r="B455" s="1">
        <v>44830</v>
      </c>
      <c r="C455" t="s">
        <v>953</v>
      </c>
      <c r="D455" t="s">
        <v>40</v>
      </c>
      <c r="E455">
        <v>8179</v>
      </c>
      <c r="F455">
        <v>22.5</v>
      </c>
      <c r="G455">
        <v>60</v>
      </c>
      <c r="H455" t="s">
        <v>19</v>
      </c>
      <c r="I455" t="s">
        <v>84</v>
      </c>
      <c r="J455" t="s">
        <v>37</v>
      </c>
      <c r="K455">
        <v>56616</v>
      </c>
      <c r="L455" t="s">
        <v>29</v>
      </c>
      <c r="M455">
        <v>0.37</v>
      </c>
      <c r="N455">
        <v>0.5</v>
      </c>
      <c r="O455">
        <v>10019.280000000001</v>
      </c>
      <c r="P455">
        <v>0</v>
      </c>
      <c r="Q455">
        <f ca="1">DATEDIF(banking_loan_data[[#This Row],[Issue Date]],TODAY(),"M")</f>
        <v>41</v>
      </c>
      <c r="R455">
        <f t="shared" si="42"/>
        <v>9201.375</v>
      </c>
      <c r="S455">
        <f>+banking_loan_data[[#This Row],[Loan Amount]]+banking_loan_data[[#This Row],[Interest earned]]</f>
        <v>17380.375</v>
      </c>
      <c r="T455" s="2">
        <f t="shared" si="43"/>
        <v>1840.2800000000007</v>
      </c>
      <c r="U455" s="2">
        <f t="shared" si="44"/>
        <v>0</v>
      </c>
      <c r="V455" s="2" t="str">
        <f>IF(banking_loan_data[[#This Row],[Loan Status]]="FULLY PAID","GOOD",IF(banking_loan_data[[#This Row],[Loan Status]]="CURRENT","ACTIVE","BAD"))</f>
        <v>GOOD</v>
      </c>
      <c r="W45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55" s="3">
        <f t="shared" si="45"/>
        <v>15335.625</v>
      </c>
      <c r="Y455" s="4">
        <f t="shared" si="46"/>
        <v>0.22500061132167753</v>
      </c>
      <c r="Z455" s="2" t="str">
        <f t="shared" si="47"/>
        <v>Normal</v>
      </c>
    </row>
    <row r="456" spans="1:26" x14ac:dyDescent="0.3">
      <c r="A456" t="s">
        <v>954</v>
      </c>
      <c r="B456" s="1">
        <v>44225</v>
      </c>
      <c r="C456" t="s">
        <v>955</v>
      </c>
      <c r="D456" t="s">
        <v>72</v>
      </c>
      <c r="E456">
        <v>11326</v>
      </c>
      <c r="F456">
        <v>11.6</v>
      </c>
      <c r="G456">
        <v>60</v>
      </c>
      <c r="H456" t="s">
        <v>81</v>
      </c>
      <c r="I456" t="s">
        <v>20</v>
      </c>
      <c r="J456" t="s">
        <v>47</v>
      </c>
      <c r="K456">
        <v>109655</v>
      </c>
      <c r="L456" t="s">
        <v>33</v>
      </c>
      <c r="M456">
        <v>0.12</v>
      </c>
      <c r="N456">
        <v>0.71</v>
      </c>
      <c r="O456">
        <v>3433.56</v>
      </c>
      <c r="P456">
        <v>1960.48</v>
      </c>
      <c r="Q456">
        <f ca="1">DATEDIF(banking_loan_data[[#This Row],[Issue Date]],TODAY(),"M")</f>
        <v>61</v>
      </c>
      <c r="R456">
        <f t="shared" si="42"/>
        <v>6569.0800000000008</v>
      </c>
      <c r="S456">
        <f>+banking_loan_data[[#This Row],[Loan Amount]]+banking_loan_data[[#This Row],[Interest earned]]</f>
        <v>17895.080000000002</v>
      </c>
      <c r="T456" s="2">
        <f t="shared" si="43"/>
        <v>-5931.96</v>
      </c>
      <c r="U456" s="2">
        <f t="shared" si="44"/>
        <v>1</v>
      </c>
      <c r="V456" s="2" t="str">
        <f>IF(banking_loan_data[[#This Row],[Loan Status]]="FULLY PAID","GOOD",IF(banking_loan_data[[#This Row],[Loan Status]]="CURRENT","ACTIVE","BAD"))</f>
        <v>BAD</v>
      </c>
      <c r="W45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56" s="3">
        <f t="shared" si="45"/>
        <v>10948.466666666667</v>
      </c>
      <c r="Y456" s="4">
        <f t="shared" si="46"/>
        <v>-0.52374713049620347</v>
      </c>
      <c r="Z456" s="2" t="str">
        <f t="shared" si="47"/>
        <v>Normal</v>
      </c>
    </row>
    <row r="457" spans="1:26" x14ac:dyDescent="0.3">
      <c r="A457" t="s">
        <v>956</v>
      </c>
      <c r="B457" s="1">
        <v>44535</v>
      </c>
      <c r="C457" t="s">
        <v>957</v>
      </c>
      <c r="D457" t="s">
        <v>76</v>
      </c>
      <c r="E457">
        <v>2560</v>
      </c>
      <c r="F457">
        <v>11.8</v>
      </c>
      <c r="G457">
        <v>60</v>
      </c>
      <c r="H457" t="s">
        <v>19</v>
      </c>
      <c r="I457" t="s">
        <v>20</v>
      </c>
      <c r="J457" t="s">
        <v>32</v>
      </c>
      <c r="K457">
        <v>120695</v>
      </c>
      <c r="L457" t="s">
        <v>22</v>
      </c>
      <c r="M457">
        <v>0.35</v>
      </c>
      <c r="N457">
        <v>0.65</v>
      </c>
      <c r="O457">
        <v>2862.08</v>
      </c>
      <c r="P457">
        <v>0</v>
      </c>
      <c r="Q457">
        <f ca="1">DATEDIF(banking_loan_data[[#This Row],[Issue Date]],TODAY(),"M")</f>
        <v>51</v>
      </c>
      <c r="R457">
        <f t="shared" si="42"/>
        <v>1510.3999999999999</v>
      </c>
      <c r="S457">
        <f>+banking_loan_data[[#This Row],[Loan Amount]]+banking_loan_data[[#This Row],[Interest earned]]</f>
        <v>4070.3999999999996</v>
      </c>
      <c r="T457" s="2">
        <f t="shared" si="43"/>
        <v>302.07999999999993</v>
      </c>
      <c r="U457" s="2">
        <f t="shared" si="44"/>
        <v>0</v>
      </c>
      <c r="V457" s="2" t="str">
        <f>IF(banking_loan_data[[#This Row],[Loan Status]]="FULLY PAID","GOOD",IF(banking_loan_data[[#This Row],[Loan Status]]="CURRENT","ACTIVE","BAD"))</f>
        <v>GOOD</v>
      </c>
      <c r="W45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57" s="3">
        <f t="shared" si="45"/>
        <v>2517.3333333333335</v>
      </c>
      <c r="Y457" s="4">
        <f t="shared" si="46"/>
        <v>0.11799999999999997</v>
      </c>
      <c r="Z457" s="2" t="str">
        <f t="shared" si="47"/>
        <v>Normal</v>
      </c>
    </row>
    <row r="458" spans="1:26" x14ac:dyDescent="0.3">
      <c r="A458" t="s">
        <v>958</v>
      </c>
      <c r="B458" s="1">
        <v>44696</v>
      </c>
      <c r="C458" t="s">
        <v>959</v>
      </c>
      <c r="D458" t="s">
        <v>76</v>
      </c>
      <c r="E458">
        <v>14612</v>
      </c>
      <c r="F458">
        <v>24.8</v>
      </c>
      <c r="G458">
        <v>60</v>
      </c>
      <c r="H458" t="s">
        <v>19</v>
      </c>
      <c r="I458" t="s">
        <v>20</v>
      </c>
      <c r="J458" t="s">
        <v>47</v>
      </c>
      <c r="K458">
        <v>84567</v>
      </c>
      <c r="L458" t="s">
        <v>33</v>
      </c>
      <c r="M458">
        <v>0.38</v>
      </c>
      <c r="N458">
        <v>0.52</v>
      </c>
      <c r="O458">
        <v>18235.78</v>
      </c>
      <c r="P458">
        <v>0</v>
      </c>
      <c r="Q458">
        <f ca="1">DATEDIF(banking_loan_data[[#This Row],[Issue Date]],TODAY(),"M")</f>
        <v>46</v>
      </c>
      <c r="R458">
        <f t="shared" si="42"/>
        <v>18118.88</v>
      </c>
      <c r="S458">
        <f>+banking_loan_data[[#This Row],[Loan Amount]]+banking_loan_data[[#This Row],[Interest earned]]</f>
        <v>32730.880000000001</v>
      </c>
      <c r="T458" s="2">
        <f t="shared" si="43"/>
        <v>3623.7799999999988</v>
      </c>
      <c r="U458" s="2">
        <f t="shared" si="44"/>
        <v>0</v>
      </c>
      <c r="V458" s="2" t="str">
        <f>IF(banking_loan_data[[#This Row],[Loan Status]]="FULLY PAID","GOOD",IF(banking_loan_data[[#This Row],[Loan Status]]="CURRENT","ACTIVE","BAD"))</f>
        <v>GOOD</v>
      </c>
      <c r="W45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58" s="3">
        <f t="shared" si="45"/>
        <v>30198.133333333335</v>
      </c>
      <c r="Y458" s="4">
        <f t="shared" si="46"/>
        <v>0.24800027374760464</v>
      </c>
      <c r="Z458" s="2" t="str">
        <f t="shared" si="47"/>
        <v>Normal</v>
      </c>
    </row>
    <row r="459" spans="1:26" x14ac:dyDescent="0.3">
      <c r="A459" t="s">
        <v>960</v>
      </c>
      <c r="B459" s="1">
        <v>44707</v>
      </c>
      <c r="C459" t="s">
        <v>961</v>
      </c>
      <c r="D459" t="s">
        <v>18</v>
      </c>
      <c r="E459">
        <v>18650</v>
      </c>
      <c r="F459">
        <v>17.5</v>
      </c>
      <c r="G459">
        <v>60</v>
      </c>
      <c r="H459" t="s">
        <v>19</v>
      </c>
      <c r="I459" t="s">
        <v>27</v>
      </c>
      <c r="J459" t="s">
        <v>37</v>
      </c>
      <c r="K459">
        <v>67099</v>
      </c>
      <c r="L459" t="s">
        <v>29</v>
      </c>
      <c r="M459">
        <v>0.19</v>
      </c>
      <c r="N459">
        <v>0.7</v>
      </c>
      <c r="O459">
        <v>21913.75</v>
      </c>
      <c r="P459">
        <v>0</v>
      </c>
      <c r="Q459">
        <f ca="1">DATEDIF(banking_loan_data[[#This Row],[Issue Date]],TODAY(),"M")</f>
        <v>45</v>
      </c>
      <c r="R459">
        <f t="shared" si="42"/>
        <v>16318.75</v>
      </c>
      <c r="S459">
        <f>+banking_loan_data[[#This Row],[Loan Amount]]+banking_loan_data[[#This Row],[Interest earned]]</f>
        <v>34968.75</v>
      </c>
      <c r="T459" s="2">
        <f t="shared" si="43"/>
        <v>3263.75</v>
      </c>
      <c r="U459" s="2">
        <f t="shared" si="44"/>
        <v>0</v>
      </c>
      <c r="V459" s="2" t="str">
        <f>IF(banking_loan_data[[#This Row],[Loan Status]]="FULLY PAID","GOOD",IF(banking_loan_data[[#This Row],[Loan Status]]="CURRENT","ACTIVE","BAD"))</f>
        <v>GOOD</v>
      </c>
      <c r="W45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59" s="3">
        <f t="shared" si="45"/>
        <v>27197.916666666664</v>
      </c>
      <c r="Y459" s="4">
        <f t="shared" si="46"/>
        <v>0.17499999999999999</v>
      </c>
      <c r="Z459" s="2" t="str">
        <f t="shared" si="47"/>
        <v>Normal</v>
      </c>
    </row>
    <row r="460" spans="1:26" x14ac:dyDescent="0.3">
      <c r="A460" t="s">
        <v>962</v>
      </c>
      <c r="B460" s="1">
        <v>44413</v>
      </c>
      <c r="C460" t="s">
        <v>963</v>
      </c>
      <c r="D460" t="s">
        <v>65</v>
      </c>
      <c r="E460">
        <v>27745</v>
      </c>
      <c r="F460">
        <v>15.6</v>
      </c>
      <c r="G460">
        <v>36</v>
      </c>
      <c r="H460" t="s">
        <v>60</v>
      </c>
      <c r="I460" t="s">
        <v>20</v>
      </c>
      <c r="J460" t="s">
        <v>32</v>
      </c>
      <c r="K460">
        <v>105831</v>
      </c>
      <c r="L460" t="s">
        <v>33</v>
      </c>
      <c r="M460">
        <v>0.12</v>
      </c>
      <c r="N460">
        <v>0.61</v>
      </c>
      <c r="O460">
        <v>0</v>
      </c>
      <c r="P460">
        <v>0</v>
      </c>
      <c r="Q460">
        <f ca="1">DATEDIF(banking_loan_data[[#This Row],[Issue Date]],TODAY(),"M")</f>
        <v>55</v>
      </c>
      <c r="R460">
        <f t="shared" si="42"/>
        <v>12984.660000000002</v>
      </c>
      <c r="S460">
        <f>+banking_loan_data[[#This Row],[Loan Amount]]+banking_loan_data[[#This Row],[Interest earned]]</f>
        <v>40729.660000000003</v>
      </c>
      <c r="T460" s="2">
        <f t="shared" si="43"/>
        <v>-27745</v>
      </c>
      <c r="U460" s="2">
        <f t="shared" si="44"/>
        <v>0</v>
      </c>
      <c r="V460" s="2" t="str">
        <f>IF(banking_loan_data[[#This Row],[Loan Status]]="FULLY PAID","GOOD",IF(banking_loan_data[[#This Row],[Loan Status]]="CURRENT","ACTIVE","BAD"))</f>
        <v>BAD</v>
      </c>
      <c r="W46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60" s="3">
        <f t="shared" si="45"/>
        <v>36068.500000003427</v>
      </c>
      <c r="Y460" s="4">
        <f t="shared" si="46"/>
        <v>-1</v>
      </c>
      <c r="Z460" s="2" t="str">
        <f t="shared" si="47"/>
        <v>Normal</v>
      </c>
    </row>
    <row r="461" spans="1:26" x14ac:dyDescent="0.3">
      <c r="A461" t="s">
        <v>964</v>
      </c>
      <c r="B461" s="1">
        <v>45290</v>
      </c>
      <c r="C461" t="s">
        <v>965</v>
      </c>
      <c r="D461" t="s">
        <v>18</v>
      </c>
      <c r="E461">
        <v>32890</v>
      </c>
      <c r="F461">
        <v>21.8</v>
      </c>
      <c r="G461">
        <v>36</v>
      </c>
      <c r="H461" t="s">
        <v>19</v>
      </c>
      <c r="I461" t="s">
        <v>57</v>
      </c>
      <c r="J461" t="s">
        <v>37</v>
      </c>
      <c r="K461">
        <v>130246</v>
      </c>
      <c r="L461" t="s">
        <v>29</v>
      </c>
      <c r="M461">
        <v>0.25</v>
      </c>
      <c r="N461">
        <v>0.66</v>
      </c>
      <c r="O461">
        <v>40060.019999999997</v>
      </c>
      <c r="P461">
        <v>0</v>
      </c>
      <c r="Q461">
        <f ca="1">DATEDIF(banking_loan_data[[#This Row],[Issue Date]],TODAY(),"M")</f>
        <v>26</v>
      </c>
      <c r="R461">
        <f t="shared" si="42"/>
        <v>21510.06</v>
      </c>
      <c r="S461">
        <f>+banking_loan_data[[#This Row],[Loan Amount]]+banking_loan_data[[#This Row],[Interest earned]]</f>
        <v>54400.06</v>
      </c>
      <c r="T461" s="2">
        <f t="shared" si="43"/>
        <v>7170.0199999999968</v>
      </c>
      <c r="U461" s="2">
        <f t="shared" si="44"/>
        <v>0</v>
      </c>
      <c r="V461" s="2" t="str">
        <f>IF(banking_loan_data[[#This Row],[Loan Status]]="FULLY PAID","GOOD",IF(banking_loan_data[[#This Row],[Loan Status]]="CURRENT","ACTIVE","BAD"))</f>
        <v>GOOD</v>
      </c>
      <c r="W46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61" s="3">
        <f t="shared" si="45"/>
        <v>59750.166666666679</v>
      </c>
      <c r="Y461" s="4">
        <f t="shared" si="46"/>
        <v>0.21799999999999992</v>
      </c>
      <c r="Z461" s="2" t="str">
        <f t="shared" si="47"/>
        <v>Normal</v>
      </c>
    </row>
    <row r="462" spans="1:26" x14ac:dyDescent="0.3">
      <c r="A462" t="s">
        <v>966</v>
      </c>
      <c r="B462" s="1">
        <v>44641</v>
      </c>
      <c r="C462" t="s">
        <v>967</v>
      </c>
      <c r="D462" t="s">
        <v>65</v>
      </c>
      <c r="E462">
        <v>21022</v>
      </c>
      <c r="F462">
        <v>10.7</v>
      </c>
      <c r="G462">
        <v>60</v>
      </c>
      <c r="H462" t="s">
        <v>26</v>
      </c>
      <c r="I462" t="s">
        <v>57</v>
      </c>
      <c r="J462" t="s">
        <v>21</v>
      </c>
      <c r="K462">
        <v>91799</v>
      </c>
      <c r="L462" t="s">
        <v>29</v>
      </c>
      <c r="M462">
        <v>0.14000000000000001</v>
      </c>
      <c r="N462">
        <v>0.82</v>
      </c>
      <c r="O462">
        <v>5630.06</v>
      </c>
      <c r="P462">
        <v>0</v>
      </c>
      <c r="Q462">
        <f ca="1">DATEDIF(banking_loan_data[[#This Row],[Issue Date]],TODAY(),"M")</f>
        <v>47</v>
      </c>
      <c r="R462">
        <f t="shared" si="42"/>
        <v>11246.769999999999</v>
      </c>
      <c r="S462">
        <f>+banking_loan_data[[#This Row],[Loan Amount]]+banking_loan_data[[#This Row],[Interest earned]]</f>
        <v>32268.769999999997</v>
      </c>
      <c r="T462" s="2">
        <f t="shared" si="43"/>
        <v>-15391.939999999999</v>
      </c>
      <c r="U462" s="2">
        <f t="shared" si="44"/>
        <v>0</v>
      </c>
      <c r="V462" s="2" t="str">
        <f>IF(banking_loan_data[[#This Row],[Loan Status]]="FULLY PAID","GOOD",IF(banking_loan_data[[#This Row],[Loan Status]]="CURRENT","ACTIVE","BAD"))</f>
        <v>ACTIVE</v>
      </c>
      <c r="W46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62" s="3">
        <f t="shared" si="45"/>
        <v>18744.616666666665</v>
      </c>
      <c r="Y462" s="4">
        <f t="shared" si="46"/>
        <v>-0.73218247550185511</v>
      </c>
      <c r="Z462" s="2" t="str">
        <f t="shared" si="47"/>
        <v>High Risk</v>
      </c>
    </row>
    <row r="463" spans="1:26" x14ac:dyDescent="0.3">
      <c r="A463" t="s">
        <v>968</v>
      </c>
      <c r="B463" s="1">
        <v>45072</v>
      </c>
      <c r="C463" t="s">
        <v>969</v>
      </c>
      <c r="D463" t="s">
        <v>25</v>
      </c>
      <c r="E463">
        <v>5780</v>
      </c>
      <c r="F463">
        <v>13.6</v>
      </c>
      <c r="G463">
        <v>60</v>
      </c>
      <c r="H463" t="s">
        <v>19</v>
      </c>
      <c r="I463" t="s">
        <v>73</v>
      </c>
      <c r="J463" t="s">
        <v>21</v>
      </c>
      <c r="K463">
        <v>120221</v>
      </c>
      <c r="L463" t="s">
        <v>22</v>
      </c>
      <c r="M463">
        <v>0.15</v>
      </c>
      <c r="N463">
        <v>0.73</v>
      </c>
      <c r="O463">
        <v>6566.08</v>
      </c>
      <c r="P463">
        <v>0</v>
      </c>
      <c r="Q463">
        <f ca="1">DATEDIF(banking_loan_data[[#This Row],[Issue Date]],TODAY(),"M")</f>
        <v>33</v>
      </c>
      <c r="R463">
        <f t="shared" si="42"/>
        <v>3930.4</v>
      </c>
      <c r="S463">
        <f>+banking_loan_data[[#This Row],[Loan Amount]]+banking_loan_data[[#This Row],[Interest earned]]</f>
        <v>9710.4</v>
      </c>
      <c r="T463" s="2">
        <f t="shared" si="43"/>
        <v>786.07999999999993</v>
      </c>
      <c r="U463" s="2">
        <f t="shared" si="44"/>
        <v>0</v>
      </c>
      <c r="V463" s="2" t="str">
        <f>IF(banking_loan_data[[#This Row],[Loan Status]]="FULLY PAID","GOOD",IF(banking_loan_data[[#This Row],[Loan Status]]="CURRENT","ACTIVE","BAD"))</f>
        <v>GOOD</v>
      </c>
      <c r="W46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463" s="3">
        <f t="shared" si="45"/>
        <v>6550.6666666666661</v>
      </c>
      <c r="Y463" s="4">
        <f t="shared" si="46"/>
        <v>0.13599999999999998</v>
      </c>
      <c r="Z463" s="2" t="str">
        <f t="shared" si="47"/>
        <v>Normal</v>
      </c>
    </row>
    <row r="464" spans="1:26" x14ac:dyDescent="0.3">
      <c r="A464" t="s">
        <v>970</v>
      </c>
      <c r="B464" s="1">
        <v>44363</v>
      </c>
      <c r="C464" t="s">
        <v>971</v>
      </c>
      <c r="D464" t="s">
        <v>40</v>
      </c>
      <c r="E464">
        <v>19311</v>
      </c>
      <c r="F464">
        <v>10.4</v>
      </c>
      <c r="G464">
        <v>36</v>
      </c>
      <c r="H464" t="s">
        <v>81</v>
      </c>
      <c r="I464" t="s">
        <v>27</v>
      </c>
      <c r="J464" t="s">
        <v>21</v>
      </c>
      <c r="K464">
        <v>144879</v>
      </c>
      <c r="L464" t="s">
        <v>22</v>
      </c>
      <c r="M464">
        <v>0.2</v>
      </c>
      <c r="N464">
        <v>0.56000000000000005</v>
      </c>
      <c r="O464">
        <v>7598.51</v>
      </c>
      <c r="P464">
        <v>3245.92</v>
      </c>
      <c r="Q464">
        <f ca="1">DATEDIF(banking_loan_data[[#This Row],[Issue Date]],TODAY(),"M")</f>
        <v>57</v>
      </c>
      <c r="R464">
        <f t="shared" si="42"/>
        <v>6025.0320000000002</v>
      </c>
      <c r="S464">
        <f>+banking_loan_data[[#This Row],[Loan Amount]]+banking_loan_data[[#This Row],[Interest earned]]</f>
        <v>25336.031999999999</v>
      </c>
      <c r="T464" s="2">
        <f t="shared" si="43"/>
        <v>-8466.57</v>
      </c>
      <c r="U464" s="2">
        <f t="shared" si="44"/>
        <v>1</v>
      </c>
      <c r="V464" s="2" t="str">
        <f>IF(banking_loan_data[[#This Row],[Loan Status]]="FULLY PAID","GOOD",IF(banking_loan_data[[#This Row],[Loan Status]]="CURRENT","ACTIVE","BAD"))</f>
        <v>BAD</v>
      </c>
      <c r="W46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64" s="3">
        <f t="shared" si="45"/>
        <v>16736.200002919126</v>
      </c>
      <c r="Y464" s="4">
        <f t="shared" si="46"/>
        <v>-0.43843249961162029</v>
      </c>
      <c r="Z464" s="2" t="str">
        <f t="shared" si="47"/>
        <v>Normal</v>
      </c>
    </row>
    <row r="465" spans="1:26" x14ac:dyDescent="0.3">
      <c r="A465" t="s">
        <v>972</v>
      </c>
      <c r="B465" s="1">
        <v>44287</v>
      </c>
      <c r="C465" t="s">
        <v>973</v>
      </c>
      <c r="D465" t="s">
        <v>53</v>
      </c>
      <c r="E465">
        <v>29380</v>
      </c>
      <c r="F465">
        <v>20.8</v>
      </c>
      <c r="G465">
        <v>36</v>
      </c>
      <c r="H465" t="s">
        <v>81</v>
      </c>
      <c r="I465" t="s">
        <v>73</v>
      </c>
      <c r="J465" t="s">
        <v>37</v>
      </c>
      <c r="K465">
        <v>55479</v>
      </c>
      <c r="L465" t="s">
        <v>29</v>
      </c>
      <c r="M465">
        <v>0.22</v>
      </c>
      <c r="N465">
        <v>0.93</v>
      </c>
      <c r="O465">
        <v>10642.35</v>
      </c>
      <c r="P465">
        <v>10361.469999999999</v>
      </c>
      <c r="Q465">
        <f ca="1">DATEDIF(banking_loan_data[[#This Row],[Issue Date]],TODAY(),"M")</f>
        <v>59</v>
      </c>
      <c r="R465">
        <f t="shared" si="42"/>
        <v>18333.12</v>
      </c>
      <c r="S465">
        <f>+banking_loan_data[[#This Row],[Loan Amount]]+banking_loan_data[[#This Row],[Interest earned]]</f>
        <v>47713.119999999995</v>
      </c>
      <c r="T465" s="2">
        <f t="shared" si="43"/>
        <v>-8376.18</v>
      </c>
      <c r="U465" s="2">
        <f t="shared" si="44"/>
        <v>1</v>
      </c>
      <c r="V465" s="2" t="str">
        <f>IF(banking_loan_data[[#This Row],[Loan Status]]="FULLY PAID","GOOD",IF(banking_loan_data[[#This Row],[Loan Status]]="CURRENT","ACTIVE","BAD"))</f>
        <v>BAD</v>
      </c>
      <c r="W46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465" s="3">
        <f t="shared" si="45"/>
        <v>50925.33333333335</v>
      </c>
      <c r="Y465" s="4">
        <f t="shared" si="46"/>
        <v>-0.28509802586793737</v>
      </c>
      <c r="Z465" s="2" t="str">
        <f t="shared" si="47"/>
        <v>High Risk</v>
      </c>
    </row>
    <row r="466" spans="1:26" x14ac:dyDescent="0.3">
      <c r="A466" t="s">
        <v>974</v>
      </c>
      <c r="B466" s="1">
        <v>44910</v>
      </c>
      <c r="C466" t="s">
        <v>975</v>
      </c>
      <c r="D466" t="s">
        <v>25</v>
      </c>
      <c r="E466">
        <v>3356</v>
      </c>
      <c r="F466">
        <v>16.5</v>
      </c>
      <c r="G466">
        <v>36</v>
      </c>
      <c r="H466" t="s">
        <v>26</v>
      </c>
      <c r="I466" t="s">
        <v>36</v>
      </c>
      <c r="J466" t="s">
        <v>37</v>
      </c>
      <c r="K466">
        <v>76172</v>
      </c>
      <c r="L466" t="s">
        <v>29</v>
      </c>
      <c r="M466">
        <v>0.31</v>
      </c>
      <c r="N466">
        <v>0.79</v>
      </c>
      <c r="O466">
        <v>710.07</v>
      </c>
      <c r="P466">
        <v>0</v>
      </c>
      <c r="Q466">
        <f ca="1">DATEDIF(banking_loan_data[[#This Row],[Issue Date]],TODAY(),"M")</f>
        <v>39</v>
      </c>
      <c r="R466">
        <f t="shared" si="42"/>
        <v>1661.22</v>
      </c>
      <c r="S466">
        <f>+banking_loan_data[[#This Row],[Loan Amount]]+banking_loan_data[[#This Row],[Interest earned]]</f>
        <v>5017.22</v>
      </c>
      <c r="T466" s="2">
        <f t="shared" si="43"/>
        <v>-2645.93</v>
      </c>
      <c r="U466" s="2">
        <f t="shared" si="44"/>
        <v>0</v>
      </c>
      <c r="V466" s="2" t="str">
        <f>IF(banking_loan_data[[#This Row],[Loan Status]]="FULLY PAID","GOOD",IF(banking_loan_data[[#This Row],[Loan Status]]="CURRENT","ACTIVE","BAD"))</f>
        <v>ACTIVE</v>
      </c>
      <c r="W46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66" s="3">
        <f t="shared" si="45"/>
        <v>4614.5000000001382</v>
      </c>
      <c r="Y466" s="4">
        <f t="shared" si="46"/>
        <v>-0.78841775923718704</v>
      </c>
      <c r="Z466" s="2" t="str">
        <f t="shared" si="47"/>
        <v>Normal</v>
      </c>
    </row>
    <row r="467" spans="1:26" x14ac:dyDescent="0.3">
      <c r="A467" t="s">
        <v>976</v>
      </c>
      <c r="B467" s="1">
        <v>44235</v>
      </c>
      <c r="C467" t="s">
        <v>977</v>
      </c>
      <c r="D467" t="s">
        <v>76</v>
      </c>
      <c r="E467">
        <v>5790</v>
      </c>
      <c r="F467">
        <v>18.2</v>
      </c>
      <c r="G467">
        <v>36</v>
      </c>
      <c r="H467" t="s">
        <v>19</v>
      </c>
      <c r="I467" t="s">
        <v>36</v>
      </c>
      <c r="J467" t="s">
        <v>37</v>
      </c>
      <c r="K467">
        <v>129165</v>
      </c>
      <c r="L467" t="s">
        <v>33</v>
      </c>
      <c r="M467">
        <v>0.37</v>
      </c>
      <c r="N467">
        <v>0.84</v>
      </c>
      <c r="O467">
        <v>6843.78</v>
      </c>
      <c r="P467">
        <v>0</v>
      </c>
      <c r="Q467">
        <f ca="1">DATEDIF(banking_loan_data[[#This Row],[Issue Date]],TODAY(),"M")</f>
        <v>61</v>
      </c>
      <c r="R467">
        <f t="shared" si="42"/>
        <v>3161.34</v>
      </c>
      <c r="S467">
        <f>+banking_loan_data[[#This Row],[Loan Amount]]+banking_loan_data[[#This Row],[Interest earned]]</f>
        <v>8951.34</v>
      </c>
      <c r="T467" s="2">
        <f t="shared" si="43"/>
        <v>1053.7799999999997</v>
      </c>
      <c r="U467" s="2">
        <f t="shared" si="44"/>
        <v>0</v>
      </c>
      <c r="V467" s="2" t="str">
        <f>IF(banking_loan_data[[#This Row],[Loan Status]]="FULLY PAID","GOOD",IF(banking_loan_data[[#This Row],[Loan Status]]="CURRENT","ACTIVE","BAD"))</f>
        <v>GOOD</v>
      </c>
      <c r="W46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67" s="3">
        <f t="shared" si="45"/>
        <v>8781.5000000000309</v>
      </c>
      <c r="Y467" s="4">
        <f t="shared" si="46"/>
        <v>0.18199999999999997</v>
      </c>
      <c r="Z467" s="2" t="str">
        <f t="shared" si="47"/>
        <v>High Risk</v>
      </c>
    </row>
    <row r="468" spans="1:26" x14ac:dyDescent="0.3">
      <c r="A468" t="s">
        <v>978</v>
      </c>
      <c r="B468" s="1">
        <v>44369</v>
      </c>
      <c r="C468" t="s">
        <v>979</v>
      </c>
      <c r="D468" t="s">
        <v>53</v>
      </c>
      <c r="E468">
        <v>27911</v>
      </c>
      <c r="F468">
        <v>10</v>
      </c>
      <c r="G468">
        <v>60</v>
      </c>
      <c r="H468" t="s">
        <v>19</v>
      </c>
      <c r="I468" t="s">
        <v>57</v>
      </c>
      <c r="J468" t="s">
        <v>47</v>
      </c>
      <c r="K468">
        <v>85863</v>
      </c>
      <c r="L468" t="s">
        <v>29</v>
      </c>
      <c r="M468">
        <v>0.34</v>
      </c>
      <c r="N468">
        <v>0.54</v>
      </c>
      <c r="O468">
        <v>30702.1</v>
      </c>
      <c r="P468">
        <v>0</v>
      </c>
      <c r="Q468">
        <f ca="1">DATEDIF(banking_loan_data[[#This Row],[Issue Date]],TODAY(),"M")</f>
        <v>56</v>
      </c>
      <c r="R468">
        <f t="shared" si="42"/>
        <v>13955.5</v>
      </c>
      <c r="S468">
        <f>+banking_loan_data[[#This Row],[Loan Amount]]+banking_loan_data[[#This Row],[Interest earned]]</f>
        <v>41866.5</v>
      </c>
      <c r="T468" s="2">
        <f t="shared" si="43"/>
        <v>2791.0999999999985</v>
      </c>
      <c r="U468" s="2">
        <f t="shared" si="44"/>
        <v>0</v>
      </c>
      <c r="V468" s="2" t="str">
        <f>IF(banking_loan_data[[#This Row],[Loan Status]]="FULLY PAID","GOOD",IF(banking_loan_data[[#This Row],[Loan Status]]="CURRENT","ACTIVE","BAD"))</f>
        <v>GOOD</v>
      </c>
      <c r="W46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68" s="3">
        <f t="shared" si="45"/>
        <v>23259.166666666672</v>
      </c>
      <c r="Y468" s="4">
        <f t="shared" si="46"/>
        <v>9.999999999999995E-2</v>
      </c>
      <c r="Z468" s="2" t="str">
        <f t="shared" si="47"/>
        <v>Normal</v>
      </c>
    </row>
    <row r="469" spans="1:26" x14ac:dyDescent="0.3">
      <c r="A469" t="s">
        <v>980</v>
      </c>
      <c r="B469" s="1">
        <v>44849</v>
      </c>
      <c r="C469" t="s">
        <v>981</v>
      </c>
      <c r="D469" t="s">
        <v>56</v>
      </c>
      <c r="E469">
        <v>25363</v>
      </c>
      <c r="F469">
        <v>9.4</v>
      </c>
      <c r="G469">
        <v>36</v>
      </c>
      <c r="H469" t="s">
        <v>19</v>
      </c>
      <c r="I469" t="s">
        <v>27</v>
      </c>
      <c r="J469" t="s">
        <v>37</v>
      </c>
      <c r="K469">
        <v>72043</v>
      </c>
      <c r="L469" t="s">
        <v>33</v>
      </c>
      <c r="M469">
        <v>0.16</v>
      </c>
      <c r="N469">
        <v>0.52</v>
      </c>
      <c r="O469">
        <v>27747.119999999999</v>
      </c>
      <c r="P469">
        <v>0</v>
      </c>
      <c r="Q469">
        <f ca="1">DATEDIF(banking_loan_data[[#This Row],[Issue Date]],TODAY(),"M")</f>
        <v>41</v>
      </c>
      <c r="R469">
        <f t="shared" si="42"/>
        <v>7152.3660000000009</v>
      </c>
      <c r="S469">
        <f>+banking_loan_data[[#This Row],[Loan Amount]]+banking_loan_data[[#This Row],[Interest earned]]</f>
        <v>32515.366000000002</v>
      </c>
      <c r="T469" s="2">
        <f t="shared" si="43"/>
        <v>2384.119999999999</v>
      </c>
      <c r="U469" s="2">
        <f t="shared" si="44"/>
        <v>0</v>
      </c>
      <c r="V469" s="2" t="str">
        <f>IF(banking_loan_data[[#This Row],[Loan Status]]="FULLY PAID","GOOD",IF(banking_loan_data[[#This Row],[Loan Status]]="CURRENT","ACTIVE","BAD"))</f>
        <v>GOOD</v>
      </c>
      <c r="W46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69" s="3">
        <f t="shared" si="45"/>
        <v>19867.683351271426</v>
      </c>
      <c r="Y469" s="4">
        <f t="shared" si="46"/>
        <v>9.3999921144974921E-2</v>
      </c>
      <c r="Z469" s="2" t="str">
        <f t="shared" si="47"/>
        <v>Normal</v>
      </c>
    </row>
    <row r="470" spans="1:26" x14ac:dyDescent="0.3">
      <c r="A470" t="s">
        <v>982</v>
      </c>
      <c r="B470" s="1">
        <v>44950</v>
      </c>
      <c r="C470" t="s">
        <v>983</v>
      </c>
      <c r="D470" t="s">
        <v>53</v>
      </c>
      <c r="E470">
        <v>21049</v>
      </c>
      <c r="F470">
        <v>14.8</v>
      </c>
      <c r="G470">
        <v>60</v>
      </c>
      <c r="H470" t="s">
        <v>19</v>
      </c>
      <c r="I470" t="s">
        <v>27</v>
      </c>
      <c r="J470" t="s">
        <v>21</v>
      </c>
      <c r="K470">
        <v>112569</v>
      </c>
      <c r="L470" t="s">
        <v>29</v>
      </c>
      <c r="M470">
        <v>0.17</v>
      </c>
      <c r="N470">
        <v>0.51</v>
      </c>
      <c r="O470">
        <v>24164.25</v>
      </c>
      <c r="P470">
        <v>0</v>
      </c>
      <c r="Q470">
        <f ca="1">DATEDIF(banking_loan_data[[#This Row],[Issue Date]],TODAY(),"M")</f>
        <v>37</v>
      </c>
      <c r="R470">
        <f t="shared" si="42"/>
        <v>15576.26</v>
      </c>
      <c r="S470">
        <f>+banking_loan_data[[#This Row],[Loan Amount]]+banking_loan_data[[#This Row],[Interest earned]]</f>
        <v>36625.26</v>
      </c>
      <c r="T470" s="2">
        <f t="shared" si="43"/>
        <v>3115.25</v>
      </c>
      <c r="U470" s="2">
        <f t="shared" si="44"/>
        <v>0</v>
      </c>
      <c r="V470" s="2" t="str">
        <f>IF(banking_loan_data[[#This Row],[Loan Status]]="FULLY PAID","GOOD",IF(banking_loan_data[[#This Row],[Loan Status]]="CURRENT","ACTIVE","BAD"))</f>
        <v>GOOD</v>
      </c>
      <c r="W47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70" s="3">
        <f t="shared" si="45"/>
        <v>25960.433333333334</v>
      </c>
      <c r="Y470" s="4">
        <f t="shared" si="46"/>
        <v>0.14799990498360968</v>
      </c>
      <c r="Z470" s="2" t="str">
        <f t="shared" si="47"/>
        <v>Normal</v>
      </c>
    </row>
    <row r="471" spans="1:26" x14ac:dyDescent="0.3">
      <c r="A471" t="s">
        <v>984</v>
      </c>
      <c r="B471" s="1">
        <v>45278</v>
      </c>
      <c r="C471" t="s">
        <v>985</v>
      </c>
      <c r="D471" t="s">
        <v>53</v>
      </c>
      <c r="E471">
        <v>11181</v>
      </c>
      <c r="F471">
        <v>19.8</v>
      </c>
      <c r="G471">
        <v>36</v>
      </c>
      <c r="H471" t="s">
        <v>19</v>
      </c>
      <c r="I471" t="s">
        <v>36</v>
      </c>
      <c r="J471" t="s">
        <v>28</v>
      </c>
      <c r="K471">
        <v>132438</v>
      </c>
      <c r="L471" t="s">
        <v>22</v>
      </c>
      <c r="M471">
        <v>0.45</v>
      </c>
      <c r="N471">
        <v>0.57999999999999996</v>
      </c>
      <c r="O471">
        <v>13394.84</v>
      </c>
      <c r="P471">
        <v>0</v>
      </c>
      <c r="Q471">
        <f ca="1">DATEDIF(banking_loan_data[[#This Row],[Issue Date]],TODAY(),"M")</f>
        <v>27</v>
      </c>
      <c r="R471">
        <f t="shared" si="42"/>
        <v>6641.5140000000001</v>
      </c>
      <c r="S471">
        <f>+banking_loan_data[[#This Row],[Loan Amount]]+banking_loan_data[[#This Row],[Interest earned]]</f>
        <v>17822.513999999999</v>
      </c>
      <c r="T471" s="2">
        <f t="shared" si="43"/>
        <v>2213.84</v>
      </c>
      <c r="U471" s="2">
        <f t="shared" si="44"/>
        <v>0</v>
      </c>
      <c r="V471" s="2" t="str">
        <f>IF(banking_loan_data[[#This Row],[Loan Status]]="FULLY PAID","GOOD",IF(banking_loan_data[[#This Row],[Loan Status]]="CURRENT","ACTIVE","BAD"))</f>
        <v>GOOD</v>
      </c>
      <c r="W47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71" s="3">
        <f t="shared" si="45"/>
        <v>18448.650000000009</v>
      </c>
      <c r="Y471" s="4">
        <f t="shared" si="46"/>
        <v>0.19800017887487703</v>
      </c>
      <c r="Z471" s="2" t="str">
        <f t="shared" si="47"/>
        <v>High Risk</v>
      </c>
    </row>
    <row r="472" spans="1:26" x14ac:dyDescent="0.3">
      <c r="A472" t="s">
        <v>986</v>
      </c>
      <c r="B472" s="1">
        <v>44672</v>
      </c>
      <c r="C472" t="s">
        <v>987</v>
      </c>
      <c r="D472" t="s">
        <v>25</v>
      </c>
      <c r="E472">
        <v>17082</v>
      </c>
      <c r="F472">
        <v>15.5</v>
      </c>
      <c r="G472">
        <v>36</v>
      </c>
      <c r="H472" t="s">
        <v>19</v>
      </c>
      <c r="I472" t="s">
        <v>57</v>
      </c>
      <c r="J472" t="s">
        <v>37</v>
      </c>
      <c r="K472">
        <v>140107</v>
      </c>
      <c r="L472" t="s">
        <v>22</v>
      </c>
      <c r="M472">
        <v>0.32</v>
      </c>
      <c r="N472">
        <v>0.69</v>
      </c>
      <c r="O472">
        <v>19729.71</v>
      </c>
      <c r="P472">
        <v>0</v>
      </c>
      <c r="Q472">
        <f ca="1">DATEDIF(banking_loan_data[[#This Row],[Issue Date]],TODAY(),"M")</f>
        <v>46</v>
      </c>
      <c r="R472">
        <f t="shared" si="42"/>
        <v>7943.13</v>
      </c>
      <c r="S472">
        <f>+banking_loan_data[[#This Row],[Loan Amount]]+banking_loan_data[[#This Row],[Interest earned]]</f>
        <v>25025.13</v>
      </c>
      <c r="T472" s="2">
        <f t="shared" si="43"/>
        <v>2647.7099999999991</v>
      </c>
      <c r="U472" s="2">
        <f t="shared" si="44"/>
        <v>0</v>
      </c>
      <c r="V472" s="2" t="str">
        <f>IF(banking_loan_data[[#This Row],[Loan Status]]="FULLY PAID","GOOD",IF(banking_loan_data[[#This Row],[Loan Status]]="CURRENT","ACTIVE","BAD"))</f>
        <v>GOOD</v>
      </c>
      <c r="W47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72" s="3">
        <f t="shared" si="45"/>
        <v>22064.25000000239</v>
      </c>
      <c r="Y472" s="4">
        <f t="shared" si="46"/>
        <v>0.15499999999999994</v>
      </c>
      <c r="Z472" s="2" t="str">
        <f t="shared" si="47"/>
        <v>Normal</v>
      </c>
    </row>
    <row r="473" spans="1:26" x14ac:dyDescent="0.3">
      <c r="A473" t="s">
        <v>988</v>
      </c>
      <c r="B473" s="1">
        <v>44652</v>
      </c>
      <c r="C473" t="s">
        <v>989</v>
      </c>
      <c r="D473" t="s">
        <v>76</v>
      </c>
      <c r="E473">
        <v>1661</v>
      </c>
      <c r="F473">
        <v>5.7</v>
      </c>
      <c r="G473">
        <v>36</v>
      </c>
      <c r="H473" t="s">
        <v>26</v>
      </c>
      <c r="I473" t="s">
        <v>73</v>
      </c>
      <c r="J473" t="s">
        <v>28</v>
      </c>
      <c r="K473">
        <v>45408</v>
      </c>
      <c r="L473" t="s">
        <v>29</v>
      </c>
      <c r="M473">
        <v>0.45</v>
      </c>
      <c r="N473">
        <v>0.92</v>
      </c>
      <c r="O473">
        <v>117.05</v>
      </c>
      <c r="P473">
        <v>0</v>
      </c>
      <c r="Q473">
        <f ca="1">DATEDIF(banking_loan_data[[#This Row],[Issue Date]],TODAY(),"M")</f>
        <v>47</v>
      </c>
      <c r="R473">
        <f t="shared" si="42"/>
        <v>284.03100000000001</v>
      </c>
      <c r="S473">
        <f>+banking_loan_data[[#This Row],[Loan Amount]]+banking_loan_data[[#This Row],[Interest earned]]</f>
        <v>1945.0309999999999</v>
      </c>
      <c r="T473" s="2">
        <f t="shared" si="43"/>
        <v>-1543.95</v>
      </c>
      <c r="U473" s="2">
        <f t="shared" si="44"/>
        <v>0</v>
      </c>
      <c r="V473" s="2" t="str">
        <f>IF(banking_loan_data[[#This Row],[Loan Status]]="FULLY PAID","GOOD",IF(banking_loan_data[[#This Row],[Loan Status]]="CURRENT","ACTIVE","BAD"))</f>
        <v>ACTIVE</v>
      </c>
      <c r="W47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473" s="3">
        <f t="shared" si="45"/>
        <v>788.9756615320274</v>
      </c>
      <c r="Y473" s="4">
        <f t="shared" si="46"/>
        <v>-0.92953040337146298</v>
      </c>
      <c r="Z473" s="2" t="str">
        <f t="shared" si="47"/>
        <v>High Risk</v>
      </c>
    </row>
    <row r="474" spans="1:26" x14ac:dyDescent="0.3">
      <c r="A474" t="s">
        <v>990</v>
      </c>
      <c r="B474" s="1">
        <v>45025</v>
      </c>
      <c r="C474" t="s">
        <v>991</v>
      </c>
      <c r="D474" t="s">
        <v>53</v>
      </c>
      <c r="E474">
        <v>38412</v>
      </c>
      <c r="F474">
        <v>22.4</v>
      </c>
      <c r="G474">
        <v>60</v>
      </c>
      <c r="H474" t="s">
        <v>19</v>
      </c>
      <c r="I474" t="s">
        <v>57</v>
      </c>
      <c r="J474" t="s">
        <v>21</v>
      </c>
      <c r="K474">
        <v>87980</v>
      </c>
      <c r="L474" t="s">
        <v>33</v>
      </c>
      <c r="M474">
        <v>0.25</v>
      </c>
      <c r="N474">
        <v>0.71</v>
      </c>
      <c r="O474">
        <v>47016.29</v>
      </c>
      <c r="P474">
        <v>0</v>
      </c>
      <c r="Q474">
        <f ca="1">DATEDIF(banking_loan_data[[#This Row],[Issue Date]],TODAY(),"M")</f>
        <v>35</v>
      </c>
      <c r="R474">
        <f t="shared" si="42"/>
        <v>43021.439999999995</v>
      </c>
      <c r="S474">
        <f>+banking_loan_data[[#This Row],[Loan Amount]]+banking_loan_data[[#This Row],[Interest earned]]</f>
        <v>81433.440000000002</v>
      </c>
      <c r="T474" s="2">
        <f t="shared" si="43"/>
        <v>8604.2900000000009</v>
      </c>
      <c r="U474" s="2">
        <f t="shared" si="44"/>
        <v>0</v>
      </c>
      <c r="V474" s="2" t="str">
        <f>IF(banking_loan_data[[#This Row],[Loan Status]]="FULLY PAID","GOOD",IF(banking_loan_data[[#This Row],[Loan Status]]="CURRENT","ACTIVE","BAD"))</f>
        <v>GOOD</v>
      </c>
      <c r="W47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74" s="3">
        <f t="shared" si="45"/>
        <v>71702.399999999994</v>
      </c>
      <c r="Y474" s="4">
        <f t="shared" si="46"/>
        <v>0.22400005206706239</v>
      </c>
      <c r="Z474" s="2" t="str">
        <f t="shared" si="47"/>
        <v>Normal</v>
      </c>
    </row>
    <row r="475" spans="1:26" x14ac:dyDescent="0.3">
      <c r="A475" t="s">
        <v>992</v>
      </c>
      <c r="B475" s="1">
        <v>45091</v>
      </c>
      <c r="C475" t="s">
        <v>993</v>
      </c>
      <c r="D475" t="s">
        <v>25</v>
      </c>
      <c r="E475">
        <v>3920</v>
      </c>
      <c r="F475">
        <v>6.3</v>
      </c>
      <c r="G475">
        <v>60</v>
      </c>
      <c r="H475" t="s">
        <v>19</v>
      </c>
      <c r="I475" t="s">
        <v>84</v>
      </c>
      <c r="J475" t="s">
        <v>37</v>
      </c>
      <c r="K475">
        <v>112956</v>
      </c>
      <c r="L475" t="s">
        <v>33</v>
      </c>
      <c r="M475">
        <v>0.35</v>
      </c>
      <c r="N475">
        <v>0.63</v>
      </c>
      <c r="O475">
        <v>4166.96</v>
      </c>
      <c r="P475">
        <v>0</v>
      </c>
      <c r="Q475">
        <f ca="1">DATEDIF(banking_loan_data[[#This Row],[Issue Date]],TODAY(),"M")</f>
        <v>33</v>
      </c>
      <c r="R475">
        <f t="shared" si="42"/>
        <v>1234.8</v>
      </c>
      <c r="S475">
        <f>+banking_loan_data[[#This Row],[Loan Amount]]+banking_loan_data[[#This Row],[Interest earned]]</f>
        <v>5154.8</v>
      </c>
      <c r="T475" s="2">
        <f t="shared" si="43"/>
        <v>246.96000000000004</v>
      </c>
      <c r="U475" s="2">
        <f t="shared" si="44"/>
        <v>0</v>
      </c>
      <c r="V475" s="2" t="str">
        <f>IF(banking_loan_data[[#This Row],[Loan Status]]="FULLY PAID","GOOD",IF(banking_loan_data[[#This Row],[Loan Status]]="CURRENT","ACTIVE","BAD"))</f>
        <v>GOOD</v>
      </c>
      <c r="W47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75" s="3">
        <f t="shared" si="45"/>
        <v>2058.0000000207615</v>
      </c>
      <c r="Y475" s="4">
        <f t="shared" si="46"/>
        <v>6.3000000000000014E-2</v>
      </c>
      <c r="Z475" s="2" t="str">
        <f t="shared" si="47"/>
        <v>Normal</v>
      </c>
    </row>
    <row r="476" spans="1:26" x14ac:dyDescent="0.3">
      <c r="A476" t="s">
        <v>994</v>
      </c>
      <c r="B476" s="1">
        <v>45221</v>
      </c>
      <c r="C476" t="s">
        <v>995</v>
      </c>
      <c r="D476" t="s">
        <v>25</v>
      </c>
      <c r="E476">
        <v>26658</v>
      </c>
      <c r="F476">
        <v>24.1</v>
      </c>
      <c r="G476">
        <v>36</v>
      </c>
      <c r="H476" t="s">
        <v>19</v>
      </c>
      <c r="I476" t="s">
        <v>20</v>
      </c>
      <c r="J476" t="s">
        <v>47</v>
      </c>
      <c r="K476">
        <v>46351</v>
      </c>
      <c r="L476" t="s">
        <v>33</v>
      </c>
      <c r="M476">
        <v>0.31</v>
      </c>
      <c r="N476">
        <v>0.75</v>
      </c>
      <c r="O476">
        <v>33082.58</v>
      </c>
      <c r="P476">
        <v>0</v>
      </c>
      <c r="Q476">
        <f ca="1">DATEDIF(banking_loan_data[[#This Row],[Issue Date]],TODAY(),"M")</f>
        <v>28</v>
      </c>
      <c r="R476">
        <f t="shared" si="42"/>
        <v>19273.734</v>
      </c>
      <c r="S476">
        <f>+banking_loan_data[[#This Row],[Loan Amount]]+banking_loan_data[[#This Row],[Interest earned]]</f>
        <v>45931.733999999997</v>
      </c>
      <c r="T476" s="2">
        <f t="shared" si="43"/>
        <v>6424.5800000000017</v>
      </c>
      <c r="U476" s="2">
        <f t="shared" si="44"/>
        <v>0</v>
      </c>
      <c r="V476" s="2" t="str">
        <f>IF(banking_loan_data[[#This Row],[Loan Status]]="FULLY PAID","GOOD",IF(banking_loan_data[[#This Row],[Loan Status]]="CURRENT","ACTIVE","BAD"))</f>
        <v>GOOD</v>
      </c>
      <c r="W47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76" s="3">
        <f t="shared" si="45"/>
        <v>53538.15</v>
      </c>
      <c r="Y476" s="4">
        <f t="shared" si="46"/>
        <v>0.241000075024383</v>
      </c>
      <c r="Z476" s="2" t="str">
        <f t="shared" si="47"/>
        <v>Normal</v>
      </c>
    </row>
    <row r="477" spans="1:26" x14ac:dyDescent="0.3">
      <c r="A477" t="s">
        <v>996</v>
      </c>
      <c r="B477" s="1">
        <v>44583</v>
      </c>
      <c r="C477" t="s">
        <v>997</v>
      </c>
      <c r="D477" t="s">
        <v>53</v>
      </c>
      <c r="E477">
        <v>15025</v>
      </c>
      <c r="F477">
        <v>5.5</v>
      </c>
      <c r="G477">
        <v>60</v>
      </c>
      <c r="H477" t="s">
        <v>315</v>
      </c>
      <c r="I477" t="s">
        <v>20</v>
      </c>
      <c r="J477" t="s">
        <v>47</v>
      </c>
      <c r="K477">
        <v>34131</v>
      </c>
      <c r="L477" t="s">
        <v>29</v>
      </c>
      <c r="M477">
        <v>0.23</v>
      </c>
      <c r="N477">
        <v>0.55000000000000004</v>
      </c>
      <c r="O477">
        <v>0</v>
      </c>
      <c r="P477">
        <v>0</v>
      </c>
      <c r="Q477">
        <f ca="1">DATEDIF(banking_loan_data[[#This Row],[Issue Date]],TODAY(),"M")</f>
        <v>49</v>
      </c>
      <c r="R477">
        <f t="shared" si="42"/>
        <v>4131.875</v>
      </c>
      <c r="S477">
        <f>+banking_loan_data[[#This Row],[Loan Amount]]+banking_loan_data[[#This Row],[Interest earned]]</f>
        <v>19156.875</v>
      </c>
      <c r="T477" s="2">
        <f t="shared" si="43"/>
        <v>-15025</v>
      </c>
      <c r="U477" s="2">
        <f t="shared" si="44"/>
        <v>0</v>
      </c>
      <c r="V477" s="2" t="str">
        <f>IF(banking_loan_data[[#This Row],[Loan Status]]="FULLY PAID","GOOD",IF(banking_loan_data[[#This Row],[Loan Status]]="CURRENT","ACTIVE","BAD"))</f>
        <v>BAD</v>
      </c>
      <c r="W47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77" s="3">
        <f t="shared" si="45"/>
        <v>6886.4583343486183</v>
      </c>
      <c r="Y477" s="4">
        <f t="shared" si="46"/>
        <v>-1</v>
      </c>
      <c r="Z477" s="2" t="str">
        <f t="shared" si="47"/>
        <v>Normal</v>
      </c>
    </row>
    <row r="478" spans="1:26" x14ac:dyDescent="0.3">
      <c r="A478" t="s">
        <v>998</v>
      </c>
      <c r="B478" s="1">
        <v>44544</v>
      </c>
      <c r="C478" t="s">
        <v>999</v>
      </c>
      <c r="D478" t="s">
        <v>65</v>
      </c>
      <c r="E478">
        <v>9946</v>
      </c>
      <c r="F478">
        <v>18.899999999999999</v>
      </c>
      <c r="G478">
        <v>60</v>
      </c>
      <c r="H478" t="s">
        <v>19</v>
      </c>
      <c r="I478" t="s">
        <v>57</v>
      </c>
      <c r="J478" t="s">
        <v>28</v>
      </c>
      <c r="K478">
        <v>146836</v>
      </c>
      <c r="L478" t="s">
        <v>29</v>
      </c>
      <c r="M478">
        <v>0.28999999999999998</v>
      </c>
      <c r="N478">
        <v>0.77</v>
      </c>
      <c r="O478">
        <v>11825.79</v>
      </c>
      <c r="P478">
        <v>0</v>
      </c>
      <c r="Q478">
        <f ca="1">DATEDIF(banking_loan_data[[#This Row],[Issue Date]],TODAY(),"M")</f>
        <v>51</v>
      </c>
      <c r="R478">
        <f t="shared" si="42"/>
        <v>9398.9699999999993</v>
      </c>
      <c r="S478">
        <f>+banking_loan_data[[#This Row],[Loan Amount]]+banking_loan_data[[#This Row],[Interest earned]]</f>
        <v>19344.97</v>
      </c>
      <c r="T478" s="2">
        <f t="shared" si="43"/>
        <v>1879.7900000000009</v>
      </c>
      <c r="U478" s="2">
        <f t="shared" si="44"/>
        <v>0</v>
      </c>
      <c r="V478" s="2" t="str">
        <f>IF(banking_loan_data[[#This Row],[Loan Status]]="FULLY PAID","GOOD",IF(banking_loan_data[[#This Row],[Loan Status]]="CURRENT","ACTIVE","BAD"))</f>
        <v>GOOD</v>
      </c>
      <c r="W47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78" s="3">
        <f t="shared" si="45"/>
        <v>15664.949999999999</v>
      </c>
      <c r="Y478" s="4">
        <f t="shared" si="46"/>
        <v>0.18899959782827275</v>
      </c>
      <c r="Z478" s="2" t="str">
        <f t="shared" si="47"/>
        <v>Normal</v>
      </c>
    </row>
    <row r="479" spans="1:26" x14ac:dyDescent="0.3">
      <c r="A479" t="s">
        <v>1000</v>
      </c>
      <c r="B479" s="1">
        <v>44386</v>
      </c>
      <c r="C479" t="s">
        <v>1001</v>
      </c>
      <c r="D479" t="s">
        <v>76</v>
      </c>
      <c r="E479">
        <v>29706</v>
      </c>
      <c r="F479">
        <v>6.6</v>
      </c>
      <c r="G479">
        <v>36</v>
      </c>
      <c r="H479" t="s">
        <v>26</v>
      </c>
      <c r="I479" t="s">
        <v>20</v>
      </c>
      <c r="J479" t="s">
        <v>47</v>
      </c>
      <c r="K479">
        <v>74825</v>
      </c>
      <c r="L479" t="s">
        <v>22</v>
      </c>
      <c r="M479">
        <v>0.3</v>
      </c>
      <c r="N479">
        <v>0.76</v>
      </c>
      <c r="O479">
        <v>12789.38</v>
      </c>
      <c r="P479">
        <v>0</v>
      </c>
      <c r="Q479">
        <f ca="1">DATEDIF(banking_loan_data[[#This Row],[Issue Date]],TODAY(),"M")</f>
        <v>56</v>
      </c>
      <c r="R479">
        <f t="shared" si="42"/>
        <v>5881.7879999999996</v>
      </c>
      <c r="S479">
        <f>+banking_loan_data[[#This Row],[Loan Amount]]+banking_loan_data[[#This Row],[Interest earned]]</f>
        <v>35587.788</v>
      </c>
      <c r="T479" s="2">
        <f t="shared" si="43"/>
        <v>-16916.620000000003</v>
      </c>
      <c r="U479" s="2">
        <f t="shared" si="44"/>
        <v>0</v>
      </c>
      <c r="V479" s="2" t="str">
        <f>IF(banking_loan_data[[#This Row],[Loan Status]]="FULLY PAID","GOOD",IF(banking_loan_data[[#This Row],[Loan Status]]="CURRENT","ACTIVE","BAD"))</f>
        <v>ACTIVE</v>
      </c>
      <c r="W47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79" s="3">
        <f t="shared" si="45"/>
        <v>16338.302297554346</v>
      </c>
      <c r="Y479" s="4">
        <f t="shared" si="46"/>
        <v>-0.5694681209183331</v>
      </c>
      <c r="Z479" s="2" t="str">
        <f t="shared" si="47"/>
        <v>Normal</v>
      </c>
    </row>
    <row r="480" spans="1:26" x14ac:dyDescent="0.3">
      <c r="A480" t="s">
        <v>1002</v>
      </c>
      <c r="B480" s="1">
        <v>44701</v>
      </c>
      <c r="C480" t="s">
        <v>1003</v>
      </c>
      <c r="D480" t="s">
        <v>50</v>
      </c>
      <c r="E480">
        <v>17309</v>
      </c>
      <c r="F480">
        <v>23.2</v>
      </c>
      <c r="G480">
        <v>36</v>
      </c>
      <c r="H480" t="s">
        <v>19</v>
      </c>
      <c r="I480" t="s">
        <v>73</v>
      </c>
      <c r="J480" t="s">
        <v>47</v>
      </c>
      <c r="K480">
        <v>41349</v>
      </c>
      <c r="L480" t="s">
        <v>22</v>
      </c>
      <c r="M480">
        <v>0.18</v>
      </c>
      <c r="N480">
        <v>0.86</v>
      </c>
      <c r="O480">
        <v>21324.69</v>
      </c>
      <c r="P480">
        <v>0</v>
      </c>
      <c r="Q480">
        <f ca="1">DATEDIF(banking_loan_data[[#This Row],[Issue Date]],TODAY(),"M")</f>
        <v>45</v>
      </c>
      <c r="R480">
        <f t="shared" si="42"/>
        <v>12047.064</v>
      </c>
      <c r="S480">
        <f>+banking_loan_data[[#This Row],[Loan Amount]]+banking_loan_data[[#This Row],[Interest earned]]</f>
        <v>29356.063999999998</v>
      </c>
      <c r="T480" s="2">
        <f t="shared" si="43"/>
        <v>4015.6899999999987</v>
      </c>
      <c r="U480" s="2">
        <f t="shared" si="44"/>
        <v>0</v>
      </c>
      <c r="V480" s="2" t="str">
        <f>IF(banking_loan_data[[#This Row],[Loan Status]]="FULLY PAID","GOOD",IF(banking_loan_data[[#This Row],[Loan Status]]="CURRENT","ACTIVE","BAD"))</f>
        <v>GOOD</v>
      </c>
      <c r="W48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480" s="3">
        <f t="shared" si="45"/>
        <v>33464.066666666666</v>
      </c>
      <c r="Y480" s="4">
        <f t="shared" si="46"/>
        <v>0.23200011554682529</v>
      </c>
      <c r="Z480" s="2" t="str">
        <f t="shared" si="47"/>
        <v>High Risk</v>
      </c>
    </row>
    <row r="481" spans="1:26" x14ac:dyDescent="0.3">
      <c r="A481" t="s">
        <v>1004</v>
      </c>
      <c r="B481" s="1">
        <v>45020</v>
      </c>
      <c r="C481" t="s">
        <v>1005</v>
      </c>
      <c r="D481" t="s">
        <v>53</v>
      </c>
      <c r="E481">
        <v>34120</v>
      </c>
      <c r="F481">
        <v>14.3</v>
      </c>
      <c r="G481">
        <v>60</v>
      </c>
      <c r="H481" t="s">
        <v>19</v>
      </c>
      <c r="I481" t="s">
        <v>20</v>
      </c>
      <c r="J481" t="s">
        <v>47</v>
      </c>
      <c r="K481">
        <v>90931</v>
      </c>
      <c r="L481" t="s">
        <v>29</v>
      </c>
      <c r="M481">
        <v>0.23</v>
      </c>
      <c r="N481">
        <v>0.94</v>
      </c>
      <c r="O481">
        <v>38999.160000000003</v>
      </c>
      <c r="P481">
        <v>0</v>
      </c>
      <c r="Q481">
        <f ca="1">DATEDIF(banking_loan_data[[#This Row],[Issue Date]],TODAY(),"M")</f>
        <v>35</v>
      </c>
      <c r="R481">
        <f t="shared" si="42"/>
        <v>24395.8</v>
      </c>
      <c r="S481">
        <f>+banking_loan_data[[#This Row],[Loan Amount]]+banking_loan_data[[#This Row],[Interest earned]]</f>
        <v>58515.8</v>
      </c>
      <c r="T481" s="2">
        <f t="shared" si="43"/>
        <v>4879.1600000000035</v>
      </c>
      <c r="U481" s="2">
        <f t="shared" si="44"/>
        <v>0</v>
      </c>
      <c r="V481" s="2" t="str">
        <f>IF(banking_loan_data[[#This Row],[Loan Status]]="FULLY PAID","GOOD",IF(banking_loan_data[[#This Row],[Loan Status]]="CURRENT","ACTIVE","BAD"))</f>
        <v>GOOD</v>
      </c>
      <c r="W48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81" s="3">
        <f t="shared" si="45"/>
        <v>40659.666666666664</v>
      </c>
      <c r="Y481" s="4">
        <f t="shared" si="46"/>
        <v>0.1430000000000001</v>
      </c>
      <c r="Z481" s="2" t="str">
        <f t="shared" si="47"/>
        <v>High Risk</v>
      </c>
    </row>
    <row r="482" spans="1:26" x14ac:dyDescent="0.3">
      <c r="A482" t="s">
        <v>1006</v>
      </c>
      <c r="B482" s="1">
        <v>45125</v>
      </c>
      <c r="C482" t="s">
        <v>1007</v>
      </c>
      <c r="D482" t="s">
        <v>18</v>
      </c>
      <c r="E482">
        <v>31027</v>
      </c>
      <c r="F482">
        <v>7.8</v>
      </c>
      <c r="G482">
        <v>60</v>
      </c>
      <c r="H482" t="s">
        <v>19</v>
      </c>
      <c r="I482" t="s">
        <v>57</v>
      </c>
      <c r="J482" t="s">
        <v>21</v>
      </c>
      <c r="K482">
        <v>74254</v>
      </c>
      <c r="L482" t="s">
        <v>22</v>
      </c>
      <c r="M482">
        <v>0.42</v>
      </c>
      <c r="N482">
        <v>0.61</v>
      </c>
      <c r="O482">
        <v>33447.11</v>
      </c>
      <c r="P482">
        <v>0</v>
      </c>
      <c r="Q482">
        <f ca="1">DATEDIF(banking_loan_data[[#This Row],[Issue Date]],TODAY(),"M")</f>
        <v>32</v>
      </c>
      <c r="R482">
        <f t="shared" si="42"/>
        <v>12100.53</v>
      </c>
      <c r="S482">
        <f>+banking_loan_data[[#This Row],[Loan Amount]]+banking_loan_data[[#This Row],[Interest earned]]</f>
        <v>43127.53</v>
      </c>
      <c r="T482" s="2">
        <f t="shared" si="43"/>
        <v>2420.1100000000006</v>
      </c>
      <c r="U482" s="2">
        <f t="shared" si="44"/>
        <v>0</v>
      </c>
      <c r="V482" s="2" t="str">
        <f>IF(banking_loan_data[[#This Row],[Loan Status]]="FULLY PAID","GOOD",IF(banking_loan_data[[#This Row],[Loan Status]]="CURRENT","ACTIVE","BAD"))</f>
        <v>GOOD</v>
      </c>
      <c r="W48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82" s="3">
        <f t="shared" si="45"/>
        <v>20167.550000001804</v>
      </c>
      <c r="Y482" s="4">
        <f t="shared" si="46"/>
        <v>7.8000128919972947E-2</v>
      </c>
      <c r="Z482" s="2" t="str">
        <f t="shared" si="47"/>
        <v>High Risk</v>
      </c>
    </row>
    <row r="483" spans="1:26" x14ac:dyDescent="0.3">
      <c r="A483" t="s">
        <v>1008</v>
      </c>
      <c r="B483" s="1">
        <v>45130</v>
      </c>
      <c r="C483" t="s">
        <v>1009</v>
      </c>
      <c r="D483" t="s">
        <v>18</v>
      </c>
      <c r="E483">
        <v>8005</v>
      </c>
      <c r="F483">
        <v>11.8</v>
      </c>
      <c r="G483">
        <v>60</v>
      </c>
      <c r="H483" t="s">
        <v>19</v>
      </c>
      <c r="I483" t="s">
        <v>36</v>
      </c>
      <c r="J483" t="s">
        <v>47</v>
      </c>
      <c r="K483">
        <v>68225</v>
      </c>
      <c r="L483" t="s">
        <v>33</v>
      </c>
      <c r="M483">
        <v>0.47</v>
      </c>
      <c r="N483">
        <v>0.73</v>
      </c>
      <c r="O483">
        <v>8949.59</v>
      </c>
      <c r="P483">
        <v>0</v>
      </c>
      <c r="Q483">
        <f ca="1">DATEDIF(banking_loan_data[[#This Row],[Issue Date]],TODAY(),"M")</f>
        <v>31</v>
      </c>
      <c r="R483">
        <f t="shared" si="42"/>
        <v>4722.95</v>
      </c>
      <c r="S483">
        <f>+banking_loan_data[[#This Row],[Loan Amount]]+banking_loan_data[[#This Row],[Interest earned]]</f>
        <v>12727.95</v>
      </c>
      <c r="T483" s="2">
        <f t="shared" si="43"/>
        <v>944.59000000000015</v>
      </c>
      <c r="U483" s="2">
        <f t="shared" si="44"/>
        <v>0</v>
      </c>
      <c r="V483" s="2" t="str">
        <f>IF(banking_loan_data[[#This Row],[Loan Status]]="FULLY PAID","GOOD",IF(banking_loan_data[[#This Row],[Loan Status]]="CURRENT","ACTIVE","BAD"))</f>
        <v>GOOD</v>
      </c>
      <c r="W48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83" s="3">
        <f t="shared" si="45"/>
        <v>7871.5833333333339</v>
      </c>
      <c r="Y483" s="4">
        <f t="shared" si="46"/>
        <v>0.11800000000000002</v>
      </c>
      <c r="Z483" s="2" t="str">
        <f t="shared" si="47"/>
        <v>High Risk</v>
      </c>
    </row>
    <row r="484" spans="1:26" x14ac:dyDescent="0.3">
      <c r="A484" t="s">
        <v>1010</v>
      </c>
      <c r="B484" s="1">
        <v>44330</v>
      </c>
      <c r="C484" t="s">
        <v>1011</v>
      </c>
      <c r="D484" t="s">
        <v>56</v>
      </c>
      <c r="E484">
        <v>1956</v>
      </c>
      <c r="F484">
        <v>8.3000000000000007</v>
      </c>
      <c r="G484">
        <v>36</v>
      </c>
      <c r="H484" t="s">
        <v>26</v>
      </c>
      <c r="I484" t="s">
        <v>57</v>
      </c>
      <c r="J484" t="s">
        <v>32</v>
      </c>
      <c r="K484">
        <v>134383</v>
      </c>
      <c r="L484" t="s">
        <v>33</v>
      </c>
      <c r="M484">
        <v>0.24</v>
      </c>
      <c r="N484">
        <v>0.91</v>
      </c>
      <c r="O484">
        <v>899.87</v>
      </c>
      <c r="P484">
        <v>0</v>
      </c>
      <c r="Q484">
        <f ca="1">DATEDIF(banking_loan_data[[#This Row],[Issue Date]],TODAY(),"M")</f>
        <v>58</v>
      </c>
      <c r="R484">
        <f t="shared" si="42"/>
        <v>487.04400000000004</v>
      </c>
      <c r="S484">
        <f>+banking_loan_data[[#This Row],[Loan Amount]]+banking_loan_data[[#This Row],[Interest earned]]</f>
        <v>2443.0439999999999</v>
      </c>
      <c r="T484" s="2">
        <f t="shared" si="43"/>
        <v>-1056.1300000000001</v>
      </c>
      <c r="U484" s="2">
        <f t="shared" si="44"/>
        <v>0</v>
      </c>
      <c r="V484" s="2" t="str">
        <f>IF(banking_loan_data[[#This Row],[Loan Status]]="FULLY PAID","GOOD",IF(banking_loan_data[[#This Row],[Loan Status]]="CURRENT","ACTIVE","BAD"))</f>
        <v>ACTIVE</v>
      </c>
      <c r="W48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84" s="3">
        <f t="shared" si="45"/>
        <v>1352.9000081645679</v>
      </c>
      <c r="Y484" s="4">
        <f t="shared" si="46"/>
        <v>-0.53994376278118617</v>
      </c>
      <c r="Z484" s="2" t="str">
        <f t="shared" si="47"/>
        <v>High Risk</v>
      </c>
    </row>
    <row r="485" spans="1:26" x14ac:dyDescent="0.3">
      <c r="A485" t="s">
        <v>1012</v>
      </c>
      <c r="B485" s="1">
        <v>44254</v>
      </c>
      <c r="C485" t="s">
        <v>1013</v>
      </c>
      <c r="D485" t="s">
        <v>76</v>
      </c>
      <c r="E485">
        <v>35839</v>
      </c>
      <c r="F485">
        <v>8.4</v>
      </c>
      <c r="G485">
        <v>36</v>
      </c>
      <c r="H485" t="s">
        <v>26</v>
      </c>
      <c r="I485" t="s">
        <v>27</v>
      </c>
      <c r="J485" t="s">
        <v>37</v>
      </c>
      <c r="K485">
        <v>42453</v>
      </c>
      <c r="L485" t="s">
        <v>29</v>
      </c>
      <c r="M485">
        <v>0.22</v>
      </c>
      <c r="N485">
        <v>0.85</v>
      </c>
      <c r="O485">
        <v>15026.66</v>
      </c>
      <c r="P485">
        <v>0</v>
      </c>
      <c r="Q485">
        <f ca="1">DATEDIF(banking_loan_data[[#This Row],[Issue Date]],TODAY(),"M")</f>
        <v>60</v>
      </c>
      <c r="R485">
        <f t="shared" si="42"/>
        <v>9031.4280000000017</v>
      </c>
      <c r="S485">
        <f>+banking_loan_data[[#This Row],[Loan Amount]]+banking_loan_data[[#This Row],[Interest earned]]</f>
        <v>44870.428</v>
      </c>
      <c r="T485" s="2">
        <f t="shared" si="43"/>
        <v>-20812.34</v>
      </c>
      <c r="U485" s="2">
        <f t="shared" si="44"/>
        <v>0</v>
      </c>
      <c r="V485" s="2" t="str">
        <f>IF(banking_loan_data[[#This Row],[Loan Status]]="FULLY PAID","GOOD",IF(banking_loan_data[[#This Row],[Loan Status]]="CURRENT","ACTIVE","BAD"))</f>
        <v>ACTIVE</v>
      </c>
      <c r="W48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85" s="3">
        <f t="shared" si="45"/>
        <v>25087.30012685067</v>
      </c>
      <c r="Y485" s="4">
        <f t="shared" si="46"/>
        <v>-0.58071765395239827</v>
      </c>
      <c r="Z485" s="2" t="str">
        <f t="shared" si="47"/>
        <v>High Risk</v>
      </c>
    </row>
    <row r="486" spans="1:26" x14ac:dyDescent="0.3">
      <c r="A486" t="s">
        <v>1014</v>
      </c>
      <c r="B486" s="1">
        <v>44881</v>
      </c>
      <c r="C486" t="s">
        <v>1015</v>
      </c>
      <c r="D486" t="s">
        <v>25</v>
      </c>
      <c r="E486">
        <v>9595</v>
      </c>
      <c r="F486">
        <v>24</v>
      </c>
      <c r="G486">
        <v>60</v>
      </c>
      <c r="H486" t="s">
        <v>19</v>
      </c>
      <c r="I486" t="s">
        <v>20</v>
      </c>
      <c r="J486" t="s">
        <v>47</v>
      </c>
      <c r="K486">
        <v>48814</v>
      </c>
      <c r="L486" t="s">
        <v>33</v>
      </c>
      <c r="M486">
        <v>0.18</v>
      </c>
      <c r="N486">
        <v>0.72</v>
      </c>
      <c r="O486">
        <v>11897.8</v>
      </c>
      <c r="P486">
        <v>0</v>
      </c>
      <c r="Q486">
        <f ca="1">DATEDIF(banking_loan_data[[#This Row],[Issue Date]],TODAY(),"M")</f>
        <v>40</v>
      </c>
      <c r="R486">
        <f t="shared" si="42"/>
        <v>11514</v>
      </c>
      <c r="S486">
        <f>+banking_loan_data[[#This Row],[Loan Amount]]+banking_loan_data[[#This Row],[Interest earned]]</f>
        <v>21109</v>
      </c>
      <c r="T486" s="2">
        <f t="shared" si="43"/>
        <v>2302.7999999999993</v>
      </c>
      <c r="U486" s="2">
        <f t="shared" si="44"/>
        <v>0</v>
      </c>
      <c r="V486" s="2" t="str">
        <f>IF(banking_loan_data[[#This Row],[Loan Status]]="FULLY PAID","GOOD",IF(banking_loan_data[[#This Row],[Loan Status]]="CURRENT","ACTIVE","BAD"))</f>
        <v>GOOD</v>
      </c>
      <c r="W48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86" s="3">
        <f t="shared" si="45"/>
        <v>19190</v>
      </c>
      <c r="Y486" s="4">
        <f t="shared" si="46"/>
        <v>0.23999999999999994</v>
      </c>
      <c r="Z486" s="2" t="str">
        <f t="shared" si="47"/>
        <v>Normal</v>
      </c>
    </row>
    <row r="487" spans="1:26" x14ac:dyDescent="0.3">
      <c r="A487" t="s">
        <v>1016</v>
      </c>
      <c r="B487" s="1">
        <v>44868</v>
      </c>
      <c r="C487" t="s">
        <v>1017</v>
      </c>
      <c r="D487" t="s">
        <v>46</v>
      </c>
      <c r="E487">
        <v>13803</v>
      </c>
      <c r="F487">
        <v>13.9</v>
      </c>
      <c r="G487">
        <v>36</v>
      </c>
      <c r="H487" t="s">
        <v>60</v>
      </c>
      <c r="I487" t="s">
        <v>20</v>
      </c>
      <c r="J487" t="s">
        <v>47</v>
      </c>
      <c r="K487">
        <v>48263</v>
      </c>
      <c r="L487" t="s">
        <v>29</v>
      </c>
      <c r="M487">
        <v>0.37</v>
      </c>
      <c r="N487">
        <v>0.93</v>
      </c>
      <c r="O487">
        <v>0</v>
      </c>
      <c r="P487">
        <v>0</v>
      </c>
      <c r="Q487">
        <f ca="1">DATEDIF(banking_loan_data[[#This Row],[Issue Date]],TODAY(),"M")</f>
        <v>40</v>
      </c>
      <c r="R487">
        <f t="shared" si="42"/>
        <v>5755.8509999999997</v>
      </c>
      <c r="S487">
        <f>+banking_loan_data[[#This Row],[Loan Amount]]+banking_loan_data[[#This Row],[Interest earned]]</f>
        <v>19558.850999999999</v>
      </c>
      <c r="T487" s="2">
        <f t="shared" si="43"/>
        <v>-13803</v>
      </c>
      <c r="U487" s="2">
        <f t="shared" si="44"/>
        <v>0</v>
      </c>
      <c r="V487" s="2" t="str">
        <f>IF(banking_loan_data[[#This Row],[Loan Status]]="FULLY PAID","GOOD",IF(banking_loan_data[[#This Row],[Loan Status]]="CURRENT","ACTIVE","BAD"))</f>
        <v>BAD</v>
      </c>
      <c r="W48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87" s="3">
        <f t="shared" si="45"/>
        <v>15988.475000014982</v>
      </c>
      <c r="Y487" s="4">
        <f t="shared" si="46"/>
        <v>-1</v>
      </c>
      <c r="Z487" s="2" t="str">
        <f t="shared" si="47"/>
        <v>High Risk</v>
      </c>
    </row>
    <row r="488" spans="1:26" x14ac:dyDescent="0.3">
      <c r="A488" t="s">
        <v>1018</v>
      </c>
      <c r="B488" s="1">
        <v>44369</v>
      </c>
      <c r="C488" t="s">
        <v>1019</v>
      </c>
      <c r="D488" t="s">
        <v>40</v>
      </c>
      <c r="E488">
        <v>26963</v>
      </c>
      <c r="F488">
        <v>20.8</v>
      </c>
      <c r="G488">
        <v>36</v>
      </c>
      <c r="H488" t="s">
        <v>19</v>
      </c>
      <c r="I488" t="s">
        <v>84</v>
      </c>
      <c r="J488" t="s">
        <v>47</v>
      </c>
      <c r="K488">
        <v>107694</v>
      </c>
      <c r="L488" t="s">
        <v>33</v>
      </c>
      <c r="M488">
        <v>0.23</v>
      </c>
      <c r="N488">
        <v>0.53</v>
      </c>
      <c r="O488">
        <v>32571.3</v>
      </c>
      <c r="P488">
        <v>0</v>
      </c>
      <c r="Q488">
        <f ca="1">DATEDIF(banking_loan_data[[#This Row],[Issue Date]],TODAY(),"M")</f>
        <v>56</v>
      </c>
      <c r="R488">
        <f t="shared" si="42"/>
        <v>16824.912</v>
      </c>
      <c r="S488">
        <f>+banking_loan_data[[#This Row],[Loan Amount]]+banking_loan_data[[#This Row],[Interest earned]]</f>
        <v>43787.911999999997</v>
      </c>
      <c r="T488" s="2">
        <f t="shared" si="43"/>
        <v>5608.2999999999993</v>
      </c>
      <c r="U488" s="2">
        <f t="shared" si="44"/>
        <v>0</v>
      </c>
      <c r="V488" s="2" t="str">
        <f>IF(banking_loan_data[[#This Row],[Loan Status]]="FULLY PAID","GOOD",IF(banking_loan_data[[#This Row],[Loan Status]]="CURRENT","ACTIVE","BAD"))</f>
        <v>GOOD</v>
      </c>
      <c r="W48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88" s="3">
        <f t="shared" si="45"/>
        <v>46735.866666666683</v>
      </c>
      <c r="Y488" s="4">
        <f t="shared" si="46"/>
        <v>0.20799985164855539</v>
      </c>
      <c r="Z488" s="2" t="str">
        <f t="shared" si="47"/>
        <v>Normal</v>
      </c>
    </row>
    <row r="489" spans="1:26" x14ac:dyDescent="0.3">
      <c r="A489" t="s">
        <v>1020</v>
      </c>
      <c r="B489" s="1">
        <v>45011</v>
      </c>
      <c r="C489" t="s">
        <v>1021</v>
      </c>
      <c r="D489" t="s">
        <v>72</v>
      </c>
      <c r="E489">
        <v>37221</v>
      </c>
      <c r="F489">
        <v>17.8</v>
      </c>
      <c r="G489">
        <v>60</v>
      </c>
      <c r="H489" t="s">
        <v>315</v>
      </c>
      <c r="I489" t="s">
        <v>27</v>
      </c>
      <c r="J489" t="s">
        <v>32</v>
      </c>
      <c r="K489">
        <v>45735</v>
      </c>
      <c r="L489" t="s">
        <v>29</v>
      </c>
      <c r="M489">
        <v>0.5</v>
      </c>
      <c r="N489">
        <v>0.92</v>
      </c>
      <c r="O489">
        <v>0</v>
      </c>
      <c r="P489">
        <v>0</v>
      </c>
      <c r="Q489">
        <f ca="1">DATEDIF(banking_loan_data[[#This Row],[Issue Date]],TODAY(),"M")</f>
        <v>35</v>
      </c>
      <c r="R489">
        <f t="shared" si="42"/>
        <v>33126.69</v>
      </c>
      <c r="S489">
        <f>+banking_loan_data[[#This Row],[Loan Amount]]+banking_loan_data[[#This Row],[Interest earned]]</f>
        <v>70347.69</v>
      </c>
      <c r="T489" s="2">
        <f t="shared" si="43"/>
        <v>-37221</v>
      </c>
      <c r="U489" s="2">
        <f t="shared" si="44"/>
        <v>0</v>
      </c>
      <c r="V489" s="2" t="str">
        <f>IF(banking_loan_data[[#This Row],[Loan Status]]="FULLY PAID","GOOD",IF(banking_loan_data[[#This Row],[Loan Status]]="CURRENT","ACTIVE","BAD"))</f>
        <v>BAD</v>
      </c>
      <c r="W48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89" s="3">
        <f t="shared" si="45"/>
        <v>55211.15</v>
      </c>
      <c r="Y489" s="4">
        <f t="shared" si="46"/>
        <v>-1</v>
      </c>
      <c r="Z489" s="2" t="str">
        <f t="shared" si="47"/>
        <v>High Risk</v>
      </c>
    </row>
    <row r="490" spans="1:26" x14ac:dyDescent="0.3">
      <c r="A490" t="s">
        <v>1022</v>
      </c>
      <c r="B490" s="1">
        <v>44276</v>
      </c>
      <c r="C490" t="s">
        <v>1023</v>
      </c>
      <c r="D490" t="s">
        <v>46</v>
      </c>
      <c r="E490">
        <v>34723</v>
      </c>
      <c r="F490">
        <v>18.5</v>
      </c>
      <c r="G490">
        <v>60</v>
      </c>
      <c r="H490" t="s">
        <v>315</v>
      </c>
      <c r="I490" t="s">
        <v>57</v>
      </c>
      <c r="J490" t="s">
        <v>47</v>
      </c>
      <c r="K490">
        <v>45830</v>
      </c>
      <c r="L490" t="s">
        <v>33</v>
      </c>
      <c r="M490">
        <v>0.23</v>
      </c>
      <c r="N490">
        <v>0.52</v>
      </c>
      <c r="O490">
        <v>0</v>
      </c>
      <c r="P490">
        <v>0</v>
      </c>
      <c r="Q490">
        <f ca="1">DATEDIF(banking_loan_data[[#This Row],[Issue Date]],TODAY(),"M")</f>
        <v>59</v>
      </c>
      <c r="R490">
        <f t="shared" si="42"/>
        <v>32118.774999999998</v>
      </c>
      <c r="S490">
        <f>+banking_loan_data[[#This Row],[Loan Amount]]+banking_loan_data[[#This Row],[Interest earned]]</f>
        <v>66841.774999999994</v>
      </c>
      <c r="T490" s="2">
        <f t="shared" si="43"/>
        <v>-34723</v>
      </c>
      <c r="U490" s="2">
        <f t="shared" si="44"/>
        <v>0</v>
      </c>
      <c r="V490" s="2" t="str">
        <f>IF(banking_loan_data[[#This Row],[Loan Status]]="FULLY PAID","GOOD",IF(banking_loan_data[[#This Row],[Loan Status]]="CURRENT","ACTIVE","BAD"))</f>
        <v>BAD</v>
      </c>
      <c r="W49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90" s="3">
        <f t="shared" si="45"/>
        <v>53531.291666666672</v>
      </c>
      <c r="Y490" s="4">
        <f t="shared" si="46"/>
        <v>-1</v>
      </c>
      <c r="Z490" s="2" t="str">
        <f t="shared" si="47"/>
        <v>Normal</v>
      </c>
    </row>
    <row r="491" spans="1:26" x14ac:dyDescent="0.3">
      <c r="A491" t="s">
        <v>1024</v>
      </c>
      <c r="B491" s="1">
        <v>45082</v>
      </c>
      <c r="C491" t="s">
        <v>1025</v>
      </c>
      <c r="D491" t="s">
        <v>76</v>
      </c>
      <c r="E491">
        <v>16282</v>
      </c>
      <c r="F491">
        <v>7.6</v>
      </c>
      <c r="G491">
        <v>36</v>
      </c>
      <c r="H491" t="s">
        <v>19</v>
      </c>
      <c r="I491" t="s">
        <v>36</v>
      </c>
      <c r="J491" t="s">
        <v>47</v>
      </c>
      <c r="K491">
        <v>77893</v>
      </c>
      <c r="L491" t="s">
        <v>33</v>
      </c>
      <c r="M491">
        <v>0.26</v>
      </c>
      <c r="N491">
        <v>0.75</v>
      </c>
      <c r="O491">
        <v>17519.43</v>
      </c>
      <c r="P491">
        <v>0</v>
      </c>
      <c r="Q491">
        <f ca="1">DATEDIF(banking_loan_data[[#This Row],[Issue Date]],TODAY(),"M")</f>
        <v>33</v>
      </c>
      <c r="R491">
        <f t="shared" si="42"/>
        <v>3712.2960000000003</v>
      </c>
      <c r="S491">
        <f>+banking_loan_data[[#This Row],[Loan Amount]]+banking_loan_data[[#This Row],[Interest earned]]</f>
        <v>19994.296000000002</v>
      </c>
      <c r="T491" s="2">
        <f t="shared" si="43"/>
        <v>1237.4300000000003</v>
      </c>
      <c r="U491" s="2">
        <f t="shared" si="44"/>
        <v>0</v>
      </c>
      <c r="V491" s="2" t="str">
        <f>IF(banking_loan_data[[#This Row],[Loan Status]]="FULLY PAID","GOOD",IF(banking_loan_data[[#This Row],[Loan Status]]="CURRENT","ACTIVE","BAD"))</f>
        <v>GOOD</v>
      </c>
      <c r="W49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91" s="3">
        <f t="shared" si="45"/>
        <v>10311.933553446688</v>
      </c>
      <c r="Y491" s="4">
        <f t="shared" si="46"/>
        <v>7.5999877164967464E-2</v>
      </c>
      <c r="Z491" s="2" t="str">
        <f t="shared" si="47"/>
        <v>Normal</v>
      </c>
    </row>
    <row r="492" spans="1:26" x14ac:dyDescent="0.3">
      <c r="A492" t="s">
        <v>1026</v>
      </c>
      <c r="B492" s="1">
        <v>44399</v>
      </c>
      <c r="C492" t="s">
        <v>1027</v>
      </c>
      <c r="D492" t="s">
        <v>76</v>
      </c>
      <c r="E492">
        <v>5703</v>
      </c>
      <c r="F492">
        <v>9.6999999999999993</v>
      </c>
      <c r="G492">
        <v>36</v>
      </c>
      <c r="H492" t="s">
        <v>19</v>
      </c>
      <c r="I492" t="s">
        <v>36</v>
      </c>
      <c r="J492" t="s">
        <v>37</v>
      </c>
      <c r="K492">
        <v>74673</v>
      </c>
      <c r="L492" t="s">
        <v>22</v>
      </c>
      <c r="M492">
        <v>0.34</v>
      </c>
      <c r="N492">
        <v>0.9</v>
      </c>
      <c r="O492">
        <v>6256.19</v>
      </c>
      <c r="P492">
        <v>0</v>
      </c>
      <c r="Q492">
        <f ca="1">DATEDIF(banking_loan_data[[#This Row],[Issue Date]],TODAY(),"M")</f>
        <v>55</v>
      </c>
      <c r="R492">
        <f t="shared" si="42"/>
        <v>1659.5730000000001</v>
      </c>
      <c r="S492">
        <f>+banking_loan_data[[#This Row],[Loan Amount]]+banking_loan_data[[#This Row],[Interest earned]]</f>
        <v>7362.5730000000003</v>
      </c>
      <c r="T492" s="2">
        <f t="shared" si="43"/>
        <v>553.1899999999996</v>
      </c>
      <c r="U492" s="2">
        <f t="shared" si="44"/>
        <v>0</v>
      </c>
      <c r="V492" s="2" t="str">
        <f>IF(banking_loan_data[[#This Row],[Loan Status]]="FULLY PAID","GOOD",IF(banking_loan_data[[#This Row],[Loan Status]]="CURRENT","ACTIVE","BAD"))</f>
        <v>GOOD</v>
      </c>
      <c r="W49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92" s="3">
        <f t="shared" si="45"/>
        <v>4609.9250025215533</v>
      </c>
      <c r="Y492" s="4">
        <f t="shared" si="46"/>
        <v>9.6999824653690975E-2</v>
      </c>
      <c r="Z492" s="2" t="str">
        <f t="shared" si="47"/>
        <v>High Risk</v>
      </c>
    </row>
    <row r="493" spans="1:26" x14ac:dyDescent="0.3">
      <c r="A493" t="s">
        <v>1028</v>
      </c>
      <c r="B493" s="1">
        <v>44960</v>
      </c>
      <c r="C493" t="s">
        <v>1029</v>
      </c>
      <c r="D493" t="s">
        <v>53</v>
      </c>
      <c r="E493">
        <v>7563</v>
      </c>
      <c r="F493">
        <v>20.7</v>
      </c>
      <c r="G493">
        <v>60</v>
      </c>
      <c r="H493" t="s">
        <v>19</v>
      </c>
      <c r="I493" t="s">
        <v>41</v>
      </c>
      <c r="J493" t="s">
        <v>32</v>
      </c>
      <c r="K493">
        <v>119462</v>
      </c>
      <c r="L493" t="s">
        <v>22</v>
      </c>
      <c r="M493">
        <v>0.42</v>
      </c>
      <c r="N493">
        <v>0.62</v>
      </c>
      <c r="O493">
        <v>9128.5400000000009</v>
      </c>
      <c r="P493">
        <v>0</v>
      </c>
      <c r="Q493">
        <f ca="1">DATEDIF(banking_loan_data[[#This Row],[Issue Date]],TODAY(),"M")</f>
        <v>37</v>
      </c>
      <c r="R493">
        <f t="shared" si="42"/>
        <v>7827.7050000000008</v>
      </c>
      <c r="S493">
        <f>+banking_loan_data[[#This Row],[Loan Amount]]+banking_loan_data[[#This Row],[Interest earned]]</f>
        <v>15390.705000000002</v>
      </c>
      <c r="T493" s="2">
        <f t="shared" si="43"/>
        <v>1565.5400000000009</v>
      </c>
      <c r="U493" s="2">
        <f t="shared" si="44"/>
        <v>0</v>
      </c>
      <c r="V493" s="2" t="str">
        <f>IF(banking_loan_data[[#This Row],[Loan Status]]="FULLY PAID","GOOD",IF(banking_loan_data[[#This Row],[Loan Status]]="CURRENT","ACTIVE","BAD"))</f>
        <v>GOOD</v>
      </c>
      <c r="W49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93" s="3">
        <f t="shared" si="45"/>
        <v>13046.174999999999</v>
      </c>
      <c r="Y493" s="4">
        <f t="shared" si="46"/>
        <v>0.20699986777733714</v>
      </c>
      <c r="Z493" s="2" t="str">
        <f t="shared" si="47"/>
        <v>High Risk</v>
      </c>
    </row>
    <row r="494" spans="1:26" x14ac:dyDescent="0.3">
      <c r="A494" t="s">
        <v>1030</v>
      </c>
      <c r="B494" s="1">
        <v>44243</v>
      </c>
      <c r="C494" t="s">
        <v>1031</v>
      </c>
      <c r="D494" t="s">
        <v>53</v>
      </c>
      <c r="E494">
        <v>26849</v>
      </c>
      <c r="F494">
        <v>24.4</v>
      </c>
      <c r="G494">
        <v>36</v>
      </c>
      <c r="H494" t="s">
        <v>26</v>
      </c>
      <c r="I494" t="s">
        <v>57</v>
      </c>
      <c r="J494" t="s">
        <v>32</v>
      </c>
      <c r="K494">
        <v>75066</v>
      </c>
      <c r="L494" t="s">
        <v>22</v>
      </c>
      <c r="M494">
        <v>0.28999999999999998</v>
      </c>
      <c r="N494">
        <v>0.71</v>
      </c>
      <c r="O494">
        <v>2888.35</v>
      </c>
      <c r="P494">
        <v>0</v>
      </c>
      <c r="Q494">
        <f ca="1">DATEDIF(banking_loan_data[[#This Row],[Issue Date]],TODAY(),"M")</f>
        <v>61</v>
      </c>
      <c r="R494">
        <f t="shared" si="42"/>
        <v>19653.468000000001</v>
      </c>
      <c r="S494">
        <f>+banking_loan_data[[#This Row],[Loan Amount]]+banking_loan_data[[#This Row],[Interest earned]]</f>
        <v>46502.468000000001</v>
      </c>
      <c r="T494" s="2">
        <f t="shared" si="43"/>
        <v>-23960.65</v>
      </c>
      <c r="U494" s="2">
        <f t="shared" si="44"/>
        <v>0</v>
      </c>
      <c r="V494" s="2" t="str">
        <f>IF(banking_loan_data[[#This Row],[Loan Status]]="FULLY PAID","GOOD",IF(banking_loan_data[[#This Row],[Loan Status]]="CURRENT","ACTIVE","BAD"))</f>
        <v>ACTIVE</v>
      </c>
      <c r="W49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94" s="3">
        <f t="shared" si="45"/>
        <v>54592.96666666666</v>
      </c>
      <c r="Y494" s="4">
        <f t="shared" si="46"/>
        <v>-0.89242243658981713</v>
      </c>
      <c r="Z494" s="2" t="str">
        <f t="shared" si="47"/>
        <v>Normal</v>
      </c>
    </row>
    <row r="495" spans="1:26" x14ac:dyDescent="0.3">
      <c r="A495" t="s">
        <v>1032</v>
      </c>
      <c r="B495" s="1">
        <v>44852</v>
      </c>
      <c r="C495" t="s">
        <v>1033</v>
      </c>
      <c r="D495" t="s">
        <v>46</v>
      </c>
      <c r="E495">
        <v>32860</v>
      </c>
      <c r="F495">
        <v>10.3</v>
      </c>
      <c r="G495">
        <v>36</v>
      </c>
      <c r="H495" t="s">
        <v>19</v>
      </c>
      <c r="I495" t="s">
        <v>20</v>
      </c>
      <c r="J495" t="s">
        <v>47</v>
      </c>
      <c r="K495">
        <v>130315</v>
      </c>
      <c r="L495" t="s">
        <v>22</v>
      </c>
      <c r="M495">
        <v>0.27</v>
      </c>
      <c r="N495">
        <v>0.65</v>
      </c>
      <c r="O495">
        <v>36244.58</v>
      </c>
      <c r="P495">
        <v>0</v>
      </c>
      <c r="Q495">
        <f ca="1">DATEDIF(banking_loan_data[[#This Row],[Issue Date]],TODAY(),"M")</f>
        <v>41</v>
      </c>
      <c r="R495">
        <f t="shared" si="42"/>
        <v>10153.74</v>
      </c>
      <c r="S495">
        <f>+banking_loan_data[[#This Row],[Loan Amount]]+banking_loan_data[[#This Row],[Interest earned]]</f>
        <v>43013.74</v>
      </c>
      <c r="T495" s="2">
        <f t="shared" si="43"/>
        <v>3384.5800000000017</v>
      </c>
      <c r="U495" s="2">
        <f t="shared" si="44"/>
        <v>0</v>
      </c>
      <c r="V495" s="2" t="str">
        <f>IF(banking_loan_data[[#This Row],[Loan Status]]="FULLY PAID","GOOD",IF(banking_loan_data[[#This Row],[Loan Status]]="CURRENT","ACTIVE","BAD"))</f>
        <v>GOOD</v>
      </c>
      <c r="W49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95" s="3">
        <f t="shared" si="45"/>
        <v>28204.833339112611</v>
      </c>
      <c r="Y495" s="4">
        <f t="shared" si="46"/>
        <v>0.10300000000000005</v>
      </c>
      <c r="Z495" s="2" t="str">
        <f t="shared" si="47"/>
        <v>Normal</v>
      </c>
    </row>
    <row r="496" spans="1:26" x14ac:dyDescent="0.3">
      <c r="A496" t="s">
        <v>1034</v>
      </c>
      <c r="B496" s="1">
        <v>44667</v>
      </c>
      <c r="C496" t="s">
        <v>1035</v>
      </c>
      <c r="D496" t="s">
        <v>25</v>
      </c>
      <c r="E496">
        <v>32585</v>
      </c>
      <c r="F496">
        <v>10.4</v>
      </c>
      <c r="G496">
        <v>60</v>
      </c>
      <c r="H496" t="s">
        <v>60</v>
      </c>
      <c r="I496" t="s">
        <v>73</v>
      </c>
      <c r="J496" t="s">
        <v>32</v>
      </c>
      <c r="K496">
        <v>33373</v>
      </c>
      <c r="L496" t="s">
        <v>22</v>
      </c>
      <c r="M496">
        <v>0.5</v>
      </c>
      <c r="N496">
        <v>0.93</v>
      </c>
      <c r="O496">
        <v>0</v>
      </c>
      <c r="P496">
        <v>0</v>
      </c>
      <c r="Q496">
        <f ca="1">DATEDIF(banking_loan_data[[#This Row],[Issue Date]],TODAY(),"M")</f>
        <v>47</v>
      </c>
      <c r="R496">
        <f t="shared" si="42"/>
        <v>16944.2</v>
      </c>
      <c r="S496">
        <f>+banking_loan_data[[#This Row],[Loan Amount]]+banking_loan_data[[#This Row],[Interest earned]]</f>
        <v>49529.2</v>
      </c>
      <c r="T496" s="2">
        <f t="shared" si="43"/>
        <v>-32585</v>
      </c>
      <c r="U496" s="2">
        <f t="shared" si="44"/>
        <v>0</v>
      </c>
      <c r="V496" s="2" t="str">
        <f>IF(banking_loan_data[[#This Row],[Loan Status]]="FULLY PAID","GOOD",IF(banking_loan_data[[#This Row],[Loan Status]]="CURRENT","ACTIVE","BAD"))</f>
        <v>BAD</v>
      </c>
      <c r="W49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496" s="3">
        <f t="shared" si="45"/>
        <v>28240.333333333336</v>
      </c>
      <c r="Y496" s="4">
        <f t="shared" si="46"/>
        <v>-1</v>
      </c>
      <c r="Z496" s="2" t="str">
        <f t="shared" si="47"/>
        <v>High Risk</v>
      </c>
    </row>
    <row r="497" spans="1:26" x14ac:dyDescent="0.3">
      <c r="A497" t="s">
        <v>1036</v>
      </c>
      <c r="B497" s="1">
        <v>45167</v>
      </c>
      <c r="C497" t="s">
        <v>1037</v>
      </c>
      <c r="D497" t="s">
        <v>56</v>
      </c>
      <c r="E497">
        <v>23015</v>
      </c>
      <c r="F497">
        <v>14.5</v>
      </c>
      <c r="G497">
        <v>60</v>
      </c>
      <c r="H497" t="s">
        <v>26</v>
      </c>
      <c r="I497" t="s">
        <v>27</v>
      </c>
      <c r="J497" t="s">
        <v>28</v>
      </c>
      <c r="K497">
        <v>40335</v>
      </c>
      <c r="L497" t="s">
        <v>22</v>
      </c>
      <c r="M497">
        <v>0.1</v>
      </c>
      <c r="N497">
        <v>0.87</v>
      </c>
      <c r="O497">
        <v>11485.91</v>
      </c>
      <c r="P497">
        <v>0</v>
      </c>
      <c r="Q497">
        <f ca="1">DATEDIF(banking_loan_data[[#This Row],[Issue Date]],TODAY(),"M")</f>
        <v>30</v>
      </c>
      <c r="R497">
        <f t="shared" si="42"/>
        <v>16685.875</v>
      </c>
      <c r="S497">
        <f>+banking_loan_data[[#This Row],[Loan Amount]]+banking_loan_data[[#This Row],[Interest earned]]</f>
        <v>39700.875</v>
      </c>
      <c r="T497" s="2">
        <f t="shared" si="43"/>
        <v>-11529.09</v>
      </c>
      <c r="U497" s="2">
        <f t="shared" si="44"/>
        <v>0</v>
      </c>
      <c r="V497" s="2" t="str">
        <f>IF(banking_loan_data[[#This Row],[Loan Status]]="FULLY PAID","GOOD",IF(banking_loan_data[[#This Row],[Loan Status]]="CURRENT","ACTIVE","BAD"))</f>
        <v>ACTIVE</v>
      </c>
      <c r="W49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497" s="3">
        <f t="shared" si="45"/>
        <v>27809.791666666664</v>
      </c>
      <c r="Y497" s="4">
        <f t="shared" si="46"/>
        <v>-0.50093808385835326</v>
      </c>
      <c r="Z497" s="2" t="str">
        <f t="shared" si="47"/>
        <v>High Risk</v>
      </c>
    </row>
    <row r="498" spans="1:26" x14ac:dyDescent="0.3">
      <c r="A498" t="s">
        <v>1038</v>
      </c>
      <c r="B498" s="1">
        <v>45232</v>
      </c>
      <c r="C498" t="s">
        <v>1039</v>
      </c>
      <c r="D498" t="s">
        <v>53</v>
      </c>
      <c r="E498">
        <v>13003</v>
      </c>
      <c r="F498">
        <v>24.7</v>
      </c>
      <c r="G498">
        <v>36</v>
      </c>
      <c r="H498" t="s">
        <v>19</v>
      </c>
      <c r="I498" t="s">
        <v>20</v>
      </c>
      <c r="J498" t="s">
        <v>32</v>
      </c>
      <c r="K498">
        <v>53741</v>
      </c>
      <c r="L498" t="s">
        <v>29</v>
      </c>
      <c r="M498">
        <v>0.46</v>
      </c>
      <c r="N498">
        <v>0.82</v>
      </c>
      <c r="O498">
        <v>16214.74</v>
      </c>
      <c r="P498">
        <v>0</v>
      </c>
      <c r="Q498">
        <f ca="1">DATEDIF(banking_loan_data[[#This Row],[Issue Date]],TODAY(),"M")</f>
        <v>28</v>
      </c>
      <c r="R498">
        <f t="shared" si="42"/>
        <v>9635.223</v>
      </c>
      <c r="S498">
        <f>+banking_loan_data[[#This Row],[Loan Amount]]+banking_loan_data[[#This Row],[Interest earned]]</f>
        <v>22638.222999999998</v>
      </c>
      <c r="T498" s="2">
        <f t="shared" si="43"/>
        <v>3211.74</v>
      </c>
      <c r="U498" s="2">
        <f t="shared" si="44"/>
        <v>0</v>
      </c>
      <c r="V498" s="2" t="str">
        <f>IF(banking_loan_data[[#This Row],[Loan Status]]="FULLY PAID","GOOD",IF(banking_loan_data[[#This Row],[Loan Status]]="CURRENT","ACTIVE","BAD"))</f>
        <v>GOOD</v>
      </c>
      <c r="W49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498" s="3">
        <f t="shared" si="45"/>
        <v>26764.508333333331</v>
      </c>
      <c r="Y498" s="4">
        <f t="shared" si="46"/>
        <v>0.24699992309467045</v>
      </c>
      <c r="Z498" s="2" t="str">
        <f t="shared" si="47"/>
        <v>High Risk</v>
      </c>
    </row>
    <row r="499" spans="1:26" x14ac:dyDescent="0.3">
      <c r="A499" t="s">
        <v>1040</v>
      </c>
      <c r="B499" s="1">
        <v>44932</v>
      </c>
      <c r="C499" t="s">
        <v>1041</v>
      </c>
      <c r="D499" t="s">
        <v>72</v>
      </c>
      <c r="E499">
        <v>27958</v>
      </c>
      <c r="F499">
        <v>10.4</v>
      </c>
      <c r="G499">
        <v>36</v>
      </c>
      <c r="H499" t="s">
        <v>19</v>
      </c>
      <c r="I499" t="s">
        <v>84</v>
      </c>
      <c r="J499" t="s">
        <v>32</v>
      </c>
      <c r="K499">
        <v>40692</v>
      </c>
      <c r="L499" t="s">
        <v>29</v>
      </c>
      <c r="M499">
        <v>0.16</v>
      </c>
      <c r="N499">
        <v>0.76</v>
      </c>
      <c r="O499">
        <v>30865.63</v>
      </c>
      <c r="P499">
        <v>0</v>
      </c>
      <c r="Q499">
        <f ca="1">DATEDIF(banking_loan_data[[#This Row],[Issue Date]],TODAY(),"M")</f>
        <v>38</v>
      </c>
      <c r="R499">
        <f t="shared" si="42"/>
        <v>8722.8960000000006</v>
      </c>
      <c r="S499">
        <f>+banking_loan_data[[#This Row],[Loan Amount]]+banking_loan_data[[#This Row],[Interest earned]]</f>
        <v>36680.896000000001</v>
      </c>
      <c r="T499" s="2">
        <f t="shared" si="43"/>
        <v>2907.630000000001</v>
      </c>
      <c r="U499" s="2">
        <f t="shared" si="44"/>
        <v>0</v>
      </c>
      <c r="V499" s="2" t="str">
        <f>IF(banking_loan_data[[#This Row],[Loan Status]]="FULLY PAID","GOOD",IF(banking_loan_data[[#This Row],[Loan Status]]="CURRENT","ACTIVE","BAD"))</f>
        <v>GOOD</v>
      </c>
      <c r="W49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499" s="3">
        <f t="shared" si="45"/>
        <v>24230.266670892906</v>
      </c>
      <c r="Y499" s="4">
        <f t="shared" si="46"/>
        <v>0.1039999284641248</v>
      </c>
      <c r="Z499" s="2" t="str">
        <f t="shared" si="47"/>
        <v>Normal</v>
      </c>
    </row>
    <row r="500" spans="1:26" x14ac:dyDescent="0.3">
      <c r="A500" t="s">
        <v>1042</v>
      </c>
      <c r="B500" s="1">
        <v>44980</v>
      </c>
      <c r="C500" t="s">
        <v>1043</v>
      </c>
      <c r="D500" t="s">
        <v>72</v>
      </c>
      <c r="E500">
        <v>27017</v>
      </c>
      <c r="F500">
        <v>13.1</v>
      </c>
      <c r="G500">
        <v>36</v>
      </c>
      <c r="H500" t="s">
        <v>26</v>
      </c>
      <c r="I500" t="s">
        <v>20</v>
      </c>
      <c r="J500" t="s">
        <v>32</v>
      </c>
      <c r="K500">
        <v>77295</v>
      </c>
      <c r="L500" t="s">
        <v>22</v>
      </c>
      <c r="M500">
        <v>0.41</v>
      </c>
      <c r="N500">
        <v>0.87</v>
      </c>
      <c r="O500">
        <v>4494.63</v>
      </c>
      <c r="P500">
        <v>0</v>
      </c>
      <c r="Q500">
        <f ca="1">DATEDIF(banking_loan_data[[#This Row],[Issue Date]],TODAY(),"M")</f>
        <v>36</v>
      </c>
      <c r="R500">
        <f t="shared" si="42"/>
        <v>10617.681</v>
      </c>
      <c r="S500">
        <f>+banking_loan_data[[#This Row],[Loan Amount]]+banking_loan_data[[#This Row],[Interest earned]]</f>
        <v>37634.680999999997</v>
      </c>
      <c r="T500" s="2">
        <f t="shared" si="43"/>
        <v>-22522.37</v>
      </c>
      <c r="U500" s="2">
        <f t="shared" si="44"/>
        <v>0</v>
      </c>
      <c r="V500" s="2" t="str">
        <f>IF(banking_loan_data[[#This Row],[Loan Status]]="FULLY PAID","GOOD",IF(banking_loan_data[[#This Row],[Loan Status]]="CURRENT","ACTIVE","BAD"))</f>
        <v>ACTIVE</v>
      </c>
      <c r="W50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00" s="3">
        <f t="shared" si="45"/>
        <v>29493.558333418838</v>
      </c>
      <c r="Y500" s="4">
        <f t="shared" si="46"/>
        <v>-0.83363696931561604</v>
      </c>
      <c r="Z500" s="2" t="str">
        <f t="shared" si="47"/>
        <v>High Risk</v>
      </c>
    </row>
    <row r="501" spans="1:26" x14ac:dyDescent="0.3">
      <c r="A501" t="s">
        <v>1044</v>
      </c>
      <c r="B501" s="1">
        <v>45164</v>
      </c>
      <c r="C501" t="s">
        <v>1045</v>
      </c>
      <c r="D501" t="s">
        <v>56</v>
      </c>
      <c r="E501">
        <v>12171</v>
      </c>
      <c r="F501">
        <v>22.8</v>
      </c>
      <c r="G501">
        <v>60</v>
      </c>
      <c r="H501" t="s">
        <v>19</v>
      </c>
      <c r="I501" t="s">
        <v>73</v>
      </c>
      <c r="J501" t="s">
        <v>21</v>
      </c>
      <c r="K501">
        <v>75541</v>
      </c>
      <c r="L501" t="s">
        <v>29</v>
      </c>
      <c r="M501">
        <v>0.35</v>
      </c>
      <c r="N501">
        <v>0.68</v>
      </c>
      <c r="O501">
        <v>14945.99</v>
      </c>
      <c r="P501">
        <v>0</v>
      </c>
      <c r="Q501">
        <f ca="1">DATEDIF(banking_loan_data[[#This Row],[Issue Date]],TODAY(),"M")</f>
        <v>30</v>
      </c>
      <c r="R501">
        <f t="shared" si="42"/>
        <v>13874.94</v>
      </c>
      <c r="S501">
        <f>+banking_loan_data[[#This Row],[Loan Amount]]+banking_loan_data[[#This Row],[Interest earned]]</f>
        <v>26045.940000000002</v>
      </c>
      <c r="T501" s="2">
        <f t="shared" si="43"/>
        <v>2774.99</v>
      </c>
      <c r="U501" s="2">
        <f t="shared" si="44"/>
        <v>0</v>
      </c>
      <c r="V501" s="2" t="str">
        <f>IF(banking_loan_data[[#This Row],[Loan Status]]="FULLY PAID","GOOD",IF(banking_loan_data[[#This Row],[Loan Status]]="CURRENT","ACTIVE","BAD"))</f>
        <v>GOOD</v>
      </c>
      <c r="W50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01" s="3">
        <f t="shared" si="45"/>
        <v>23124.9</v>
      </c>
      <c r="Y501" s="4">
        <f t="shared" si="46"/>
        <v>0.22800016432503489</v>
      </c>
      <c r="Z501" s="2" t="str">
        <f t="shared" si="47"/>
        <v>Normal</v>
      </c>
    </row>
    <row r="502" spans="1:26" x14ac:dyDescent="0.3">
      <c r="A502" t="s">
        <v>1046</v>
      </c>
      <c r="B502" s="1">
        <v>44554</v>
      </c>
      <c r="C502" t="s">
        <v>1047</v>
      </c>
      <c r="D502" t="s">
        <v>65</v>
      </c>
      <c r="E502">
        <v>13201</v>
      </c>
      <c r="F502">
        <v>5.0999999999999996</v>
      </c>
      <c r="G502">
        <v>36</v>
      </c>
      <c r="H502" t="s">
        <v>26</v>
      </c>
      <c r="I502" t="s">
        <v>57</v>
      </c>
      <c r="J502" t="s">
        <v>21</v>
      </c>
      <c r="K502">
        <v>64057</v>
      </c>
      <c r="L502" t="s">
        <v>22</v>
      </c>
      <c r="M502">
        <v>0.24</v>
      </c>
      <c r="N502">
        <v>0.7</v>
      </c>
      <c r="O502">
        <v>4962.1499999999996</v>
      </c>
      <c r="P502">
        <v>0</v>
      </c>
      <c r="Q502">
        <f ca="1">DATEDIF(banking_loan_data[[#This Row],[Issue Date]],TODAY(),"M")</f>
        <v>50</v>
      </c>
      <c r="R502">
        <f t="shared" si="42"/>
        <v>2019.7529999999997</v>
      </c>
      <c r="S502">
        <f>+banking_loan_data[[#This Row],[Loan Amount]]+banking_loan_data[[#This Row],[Interest earned]]</f>
        <v>15220.753000000001</v>
      </c>
      <c r="T502" s="2">
        <f t="shared" si="43"/>
        <v>-8238.85</v>
      </c>
      <c r="U502" s="2">
        <f t="shared" si="44"/>
        <v>0</v>
      </c>
      <c r="V502" s="2" t="str">
        <f>IF(banking_loan_data[[#This Row],[Loan Status]]="FULLY PAID","GOOD",IF(banking_loan_data[[#This Row],[Loan Status]]="CURRENT","ACTIVE","BAD"))</f>
        <v>ACTIVE</v>
      </c>
      <c r="W50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02" s="3">
        <f t="shared" si="45"/>
        <v>5610.4412802813122</v>
      </c>
      <c r="Y502" s="4">
        <f t="shared" si="46"/>
        <v>-0.62410802211953642</v>
      </c>
      <c r="Z502" s="2" t="str">
        <f t="shared" si="47"/>
        <v>Normal</v>
      </c>
    </row>
    <row r="503" spans="1:26" x14ac:dyDescent="0.3">
      <c r="A503" t="s">
        <v>1048</v>
      </c>
      <c r="B503" s="1">
        <v>45168</v>
      </c>
      <c r="C503" t="s">
        <v>1049</v>
      </c>
      <c r="D503" t="s">
        <v>65</v>
      </c>
      <c r="E503">
        <v>30426</v>
      </c>
      <c r="F503">
        <v>5.8</v>
      </c>
      <c r="G503">
        <v>36</v>
      </c>
      <c r="H503" t="s">
        <v>19</v>
      </c>
      <c r="I503" t="s">
        <v>27</v>
      </c>
      <c r="J503" t="s">
        <v>21</v>
      </c>
      <c r="K503">
        <v>96983</v>
      </c>
      <c r="L503" t="s">
        <v>29</v>
      </c>
      <c r="M503">
        <v>0.45</v>
      </c>
      <c r="N503">
        <v>0.83</v>
      </c>
      <c r="O503">
        <v>32190.71</v>
      </c>
      <c r="P503">
        <v>0</v>
      </c>
      <c r="Q503">
        <f ca="1">DATEDIF(banking_loan_data[[#This Row],[Issue Date]],TODAY(),"M")</f>
        <v>30</v>
      </c>
      <c r="R503">
        <f t="shared" si="42"/>
        <v>5294.1239999999998</v>
      </c>
      <c r="S503">
        <f>+banking_loan_data[[#This Row],[Loan Amount]]+banking_loan_data[[#This Row],[Interest earned]]</f>
        <v>35720.123999999996</v>
      </c>
      <c r="T503" s="2">
        <f t="shared" si="43"/>
        <v>1764.7099999999991</v>
      </c>
      <c r="U503" s="2">
        <f t="shared" si="44"/>
        <v>0</v>
      </c>
      <c r="V503" s="2" t="str">
        <f>IF(banking_loan_data[[#This Row],[Loan Status]]="FULLY PAID","GOOD",IF(banking_loan_data[[#This Row],[Loan Status]]="CURRENT","ACTIVE","BAD"))</f>
        <v>GOOD</v>
      </c>
      <c r="W50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03" s="3">
        <f t="shared" si="45"/>
        <v>14705.910066921459</v>
      </c>
      <c r="Y503" s="4">
        <f t="shared" si="46"/>
        <v>5.8000065733254426E-2</v>
      </c>
      <c r="Z503" s="2" t="str">
        <f t="shared" si="47"/>
        <v>High Risk</v>
      </c>
    </row>
    <row r="504" spans="1:26" x14ac:dyDescent="0.3">
      <c r="A504" t="s">
        <v>1050</v>
      </c>
      <c r="B504" s="1">
        <v>44864</v>
      </c>
      <c r="C504" t="s">
        <v>1051</v>
      </c>
      <c r="D504" t="s">
        <v>76</v>
      </c>
      <c r="E504">
        <v>18778</v>
      </c>
      <c r="F504">
        <v>17.100000000000001</v>
      </c>
      <c r="G504">
        <v>60</v>
      </c>
      <c r="H504" t="s">
        <v>19</v>
      </c>
      <c r="I504" t="s">
        <v>57</v>
      </c>
      <c r="J504" t="s">
        <v>32</v>
      </c>
      <c r="K504">
        <v>49583</v>
      </c>
      <c r="L504" t="s">
        <v>33</v>
      </c>
      <c r="M504">
        <v>0.11</v>
      </c>
      <c r="N504">
        <v>0.66</v>
      </c>
      <c r="O504">
        <v>21989.040000000001</v>
      </c>
      <c r="P504">
        <v>0</v>
      </c>
      <c r="Q504">
        <f ca="1">DATEDIF(banking_loan_data[[#This Row],[Issue Date]],TODAY(),"M")</f>
        <v>40</v>
      </c>
      <c r="R504">
        <f t="shared" si="42"/>
        <v>16055.190000000002</v>
      </c>
      <c r="S504">
        <f>+banking_loan_data[[#This Row],[Loan Amount]]+banking_loan_data[[#This Row],[Interest earned]]</f>
        <v>34833.19</v>
      </c>
      <c r="T504" s="2">
        <f t="shared" si="43"/>
        <v>3211.0400000000009</v>
      </c>
      <c r="U504" s="2">
        <f t="shared" si="44"/>
        <v>0</v>
      </c>
      <c r="V504" s="2" t="str">
        <f>IF(banking_loan_data[[#This Row],[Loan Status]]="FULLY PAID","GOOD",IF(banking_loan_data[[#This Row],[Loan Status]]="CURRENT","ACTIVE","BAD"))</f>
        <v>GOOD</v>
      </c>
      <c r="W50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04" s="3">
        <f t="shared" si="45"/>
        <v>26758.65</v>
      </c>
      <c r="Y504" s="4">
        <f t="shared" si="46"/>
        <v>0.17100010650761535</v>
      </c>
      <c r="Z504" s="2" t="str">
        <f t="shared" si="47"/>
        <v>Normal</v>
      </c>
    </row>
    <row r="505" spans="1:26" x14ac:dyDescent="0.3">
      <c r="A505" t="s">
        <v>1052</v>
      </c>
      <c r="B505" s="1">
        <v>44569</v>
      </c>
      <c r="C505" t="s">
        <v>1053</v>
      </c>
      <c r="D505" t="s">
        <v>53</v>
      </c>
      <c r="E505">
        <v>22116</v>
      </c>
      <c r="F505">
        <v>23.1</v>
      </c>
      <c r="G505">
        <v>60</v>
      </c>
      <c r="H505" t="s">
        <v>19</v>
      </c>
      <c r="I505" t="s">
        <v>84</v>
      </c>
      <c r="J505" t="s">
        <v>28</v>
      </c>
      <c r="K505">
        <v>52765</v>
      </c>
      <c r="L505" t="s">
        <v>29</v>
      </c>
      <c r="M505">
        <v>0.19</v>
      </c>
      <c r="N505">
        <v>0.53</v>
      </c>
      <c r="O505">
        <v>27224.799999999999</v>
      </c>
      <c r="P505">
        <v>0</v>
      </c>
      <c r="Q505">
        <f ca="1">DATEDIF(banking_loan_data[[#This Row],[Issue Date]],TODAY(),"M")</f>
        <v>50</v>
      </c>
      <c r="R505">
        <f t="shared" si="42"/>
        <v>25543.98</v>
      </c>
      <c r="S505">
        <f>+banking_loan_data[[#This Row],[Loan Amount]]+banking_loan_data[[#This Row],[Interest earned]]</f>
        <v>47659.979999999996</v>
      </c>
      <c r="T505" s="2">
        <f t="shared" si="43"/>
        <v>5108.7999999999993</v>
      </c>
      <c r="U505" s="2">
        <f t="shared" si="44"/>
        <v>0</v>
      </c>
      <c r="V505" s="2" t="str">
        <f>IF(banking_loan_data[[#This Row],[Loan Status]]="FULLY PAID","GOOD",IF(banking_loan_data[[#This Row],[Loan Status]]="CURRENT","ACTIVE","BAD"))</f>
        <v>GOOD</v>
      </c>
      <c r="W50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05" s="3">
        <f t="shared" si="45"/>
        <v>42573.3</v>
      </c>
      <c r="Y505" s="4">
        <f t="shared" si="46"/>
        <v>0.23100018086453245</v>
      </c>
      <c r="Z505" s="2" t="str">
        <f t="shared" si="47"/>
        <v>Normal</v>
      </c>
    </row>
    <row r="506" spans="1:26" x14ac:dyDescent="0.3">
      <c r="A506" t="s">
        <v>1054</v>
      </c>
      <c r="B506" s="1">
        <v>45228</v>
      </c>
      <c r="C506" t="s">
        <v>1055</v>
      </c>
      <c r="D506" t="s">
        <v>18</v>
      </c>
      <c r="E506">
        <v>34297</v>
      </c>
      <c r="F506">
        <v>9.8000000000000007</v>
      </c>
      <c r="G506">
        <v>36</v>
      </c>
      <c r="H506" t="s">
        <v>26</v>
      </c>
      <c r="I506" t="s">
        <v>73</v>
      </c>
      <c r="J506" t="s">
        <v>32</v>
      </c>
      <c r="K506">
        <v>89287</v>
      </c>
      <c r="L506" t="s">
        <v>29</v>
      </c>
      <c r="M506">
        <v>0.33</v>
      </c>
      <c r="N506">
        <v>0.53</v>
      </c>
      <c r="O506">
        <v>15729.14</v>
      </c>
      <c r="P506">
        <v>0</v>
      </c>
      <c r="Q506">
        <f ca="1">DATEDIF(banking_loan_data[[#This Row],[Issue Date]],TODAY(),"M")</f>
        <v>28</v>
      </c>
      <c r="R506">
        <f t="shared" si="42"/>
        <v>10083.318000000001</v>
      </c>
      <c r="S506">
        <f>+banking_loan_data[[#This Row],[Loan Amount]]+banking_loan_data[[#This Row],[Interest earned]]</f>
        <v>44380.317999999999</v>
      </c>
      <c r="T506" s="2">
        <f t="shared" si="43"/>
        <v>-18567.86</v>
      </c>
      <c r="U506" s="2">
        <f t="shared" si="44"/>
        <v>0</v>
      </c>
      <c r="V506" s="2" t="str">
        <f>IF(banking_loan_data[[#This Row],[Loan Status]]="FULLY PAID","GOOD",IF(banking_loan_data[[#This Row],[Loan Status]]="CURRENT","ACTIVE","BAD"))</f>
        <v>ACTIVE</v>
      </c>
      <c r="W50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06" s="3">
        <f t="shared" si="45"/>
        <v>28009.216679650177</v>
      </c>
      <c r="Y506" s="4">
        <f t="shared" si="46"/>
        <v>-0.54138437764235936</v>
      </c>
      <c r="Z506" s="2" t="str">
        <f t="shared" si="47"/>
        <v>Normal</v>
      </c>
    </row>
    <row r="507" spans="1:26" x14ac:dyDescent="0.3">
      <c r="A507" t="s">
        <v>1056</v>
      </c>
      <c r="B507" s="1">
        <v>44872</v>
      </c>
      <c r="C507" t="s">
        <v>1057</v>
      </c>
      <c r="D507" t="s">
        <v>46</v>
      </c>
      <c r="E507">
        <v>20342</v>
      </c>
      <c r="F507">
        <v>14.4</v>
      </c>
      <c r="G507">
        <v>60</v>
      </c>
      <c r="H507" t="s">
        <v>19</v>
      </c>
      <c r="I507" t="s">
        <v>84</v>
      </c>
      <c r="J507" t="s">
        <v>47</v>
      </c>
      <c r="K507">
        <v>53906</v>
      </c>
      <c r="L507" t="s">
        <v>29</v>
      </c>
      <c r="M507">
        <v>0.24</v>
      </c>
      <c r="N507">
        <v>0.55000000000000004</v>
      </c>
      <c r="O507">
        <v>23271.25</v>
      </c>
      <c r="P507">
        <v>0</v>
      </c>
      <c r="Q507">
        <f ca="1">DATEDIF(banking_loan_data[[#This Row],[Issue Date]],TODAY(),"M")</f>
        <v>40</v>
      </c>
      <c r="R507">
        <f t="shared" si="42"/>
        <v>14646.24</v>
      </c>
      <c r="S507">
        <f>+banking_loan_data[[#This Row],[Loan Amount]]+banking_loan_data[[#This Row],[Interest earned]]</f>
        <v>34988.239999999998</v>
      </c>
      <c r="T507" s="2">
        <f t="shared" si="43"/>
        <v>2929.25</v>
      </c>
      <c r="U507" s="2">
        <f t="shared" si="44"/>
        <v>0</v>
      </c>
      <c r="V507" s="2" t="str">
        <f>IF(banking_loan_data[[#This Row],[Loan Status]]="FULLY PAID","GOOD",IF(banking_loan_data[[#This Row],[Loan Status]]="CURRENT","ACTIVE","BAD"))</f>
        <v>GOOD</v>
      </c>
      <c r="W50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07" s="3">
        <f t="shared" si="45"/>
        <v>24410.399999999998</v>
      </c>
      <c r="Y507" s="4">
        <f t="shared" si="46"/>
        <v>0.14400009831874938</v>
      </c>
      <c r="Z507" s="2" t="str">
        <f t="shared" si="47"/>
        <v>Normal</v>
      </c>
    </row>
    <row r="508" spans="1:26" x14ac:dyDescent="0.3">
      <c r="A508" t="s">
        <v>1058</v>
      </c>
      <c r="B508" s="1">
        <v>44286</v>
      </c>
      <c r="C508" t="s">
        <v>1059</v>
      </c>
      <c r="D508" t="s">
        <v>50</v>
      </c>
      <c r="E508">
        <v>28490</v>
      </c>
      <c r="F508">
        <v>14</v>
      </c>
      <c r="G508">
        <v>60</v>
      </c>
      <c r="H508" t="s">
        <v>26</v>
      </c>
      <c r="I508" t="s">
        <v>41</v>
      </c>
      <c r="J508" t="s">
        <v>28</v>
      </c>
      <c r="K508">
        <v>115103</v>
      </c>
      <c r="L508" t="s">
        <v>33</v>
      </c>
      <c r="M508">
        <v>0.34</v>
      </c>
      <c r="N508">
        <v>0.89</v>
      </c>
      <c r="O508">
        <v>4446.13</v>
      </c>
      <c r="P508">
        <v>0</v>
      </c>
      <c r="Q508">
        <f ca="1">DATEDIF(banking_loan_data[[#This Row],[Issue Date]],TODAY(),"M")</f>
        <v>59</v>
      </c>
      <c r="R508">
        <f t="shared" si="42"/>
        <v>19943</v>
      </c>
      <c r="S508">
        <f>+banking_loan_data[[#This Row],[Loan Amount]]+banking_loan_data[[#This Row],[Interest earned]]</f>
        <v>48433</v>
      </c>
      <c r="T508" s="2">
        <f t="shared" si="43"/>
        <v>-24043.87</v>
      </c>
      <c r="U508" s="2">
        <f t="shared" si="44"/>
        <v>0</v>
      </c>
      <c r="V508" s="2" t="str">
        <f>IF(banking_loan_data[[#This Row],[Loan Status]]="FULLY PAID","GOOD",IF(banking_loan_data[[#This Row],[Loan Status]]="CURRENT","ACTIVE","BAD"))</f>
        <v>ACTIVE</v>
      </c>
      <c r="W50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08" s="3">
        <f t="shared" si="45"/>
        <v>33238.333333333336</v>
      </c>
      <c r="Y508" s="4">
        <f t="shared" si="46"/>
        <v>-0.84394068094068087</v>
      </c>
      <c r="Z508" s="2" t="str">
        <f t="shared" si="47"/>
        <v>High Risk</v>
      </c>
    </row>
    <row r="509" spans="1:26" x14ac:dyDescent="0.3">
      <c r="A509" t="s">
        <v>1060</v>
      </c>
      <c r="B509" s="1">
        <v>44894</v>
      </c>
      <c r="C509" t="s">
        <v>1061</v>
      </c>
      <c r="D509" t="s">
        <v>56</v>
      </c>
      <c r="E509">
        <v>20975</v>
      </c>
      <c r="F509">
        <v>14.5</v>
      </c>
      <c r="G509">
        <v>36</v>
      </c>
      <c r="H509" t="s">
        <v>19</v>
      </c>
      <c r="I509" t="s">
        <v>27</v>
      </c>
      <c r="J509" t="s">
        <v>21</v>
      </c>
      <c r="K509">
        <v>109675</v>
      </c>
      <c r="L509" t="s">
        <v>22</v>
      </c>
      <c r="M509">
        <v>0.11</v>
      </c>
      <c r="N509">
        <v>0.71</v>
      </c>
      <c r="O509">
        <v>24016.38</v>
      </c>
      <c r="P509">
        <v>0</v>
      </c>
      <c r="Q509">
        <f ca="1">DATEDIF(banking_loan_data[[#This Row],[Issue Date]],TODAY(),"M")</f>
        <v>39</v>
      </c>
      <c r="R509">
        <f t="shared" si="42"/>
        <v>9124.125</v>
      </c>
      <c r="S509">
        <f>+banking_loan_data[[#This Row],[Loan Amount]]+banking_loan_data[[#This Row],[Interest earned]]</f>
        <v>30099.125</v>
      </c>
      <c r="T509" s="2">
        <f t="shared" si="43"/>
        <v>3041.380000000001</v>
      </c>
      <c r="U509" s="2">
        <f t="shared" si="44"/>
        <v>0</v>
      </c>
      <c r="V509" s="2" t="str">
        <f>IF(banking_loan_data[[#This Row],[Loan Status]]="FULLY PAID","GOOD",IF(banking_loan_data[[#This Row],[Loan Status]]="CURRENT","ACTIVE","BAD"))</f>
        <v>GOOD</v>
      </c>
      <c r="W50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09" s="3">
        <f t="shared" si="45"/>
        <v>25344.79166667708</v>
      </c>
      <c r="Y509" s="4">
        <f t="shared" si="46"/>
        <v>0.14500023837902271</v>
      </c>
      <c r="Z509" s="2" t="str">
        <f t="shared" si="47"/>
        <v>Normal</v>
      </c>
    </row>
    <row r="510" spans="1:26" x14ac:dyDescent="0.3">
      <c r="A510" t="s">
        <v>1062</v>
      </c>
      <c r="B510" s="1">
        <v>44736</v>
      </c>
      <c r="C510" t="s">
        <v>1063</v>
      </c>
      <c r="D510" t="s">
        <v>76</v>
      </c>
      <c r="E510">
        <v>27723</v>
      </c>
      <c r="F510">
        <v>17.5</v>
      </c>
      <c r="G510">
        <v>60</v>
      </c>
      <c r="H510" t="s">
        <v>26</v>
      </c>
      <c r="I510" t="s">
        <v>41</v>
      </c>
      <c r="J510" t="s">
        <v>37</v>
      </c>
      <c r="K510">
        <v>76525</v>
      </c>
      <c r="L510" t="s">
        <v>29</v>
      </c>
      <c r="M510">
        <v>0.15</v>
      </c>
      <c r="N510">
        <v>0.82</v>
      </c>
      <c r="O510">
        <v>12716.99</v>
      </c>
      <c r="P510">
        <v>0</v>
      </c>
      <c r="Q510">
        <f ca="1">DATEDIF(banking_loan_data[[#This Row],[Issue Date]],TODAY(),"M")</f>
        <v>44</v>
      </c>
      <c r="R510">
        <f t="shared" si="42"/>
        <v>24257.625</v>
      </c>
      <c r="S510">
        <f>+banking_loan_data[[#This Row],[Loan Amount]]+banking_loan_data[[#This Row],[Interest earned]]</f>
        <v>51980.625</v>
      </c>
      <c r="T510" s="2">
        <f t="shared" si="43"/>
        <v>-15006.01</v>
      </c>
      <c r="U510" s="2">
        <f t="shared" si="44"/>
        <v>0</v>
      </c>
      <c r="V510" s="2" t="str">
        <f>IF(banking_loan_data[[#This Row],[Loan Status]]="FULLY PAID","GOOD",IF(banking_loan_data[[#This Row],[Loan Status]]="CURRENT","ACTIVE","BAD"))</f>
        <v>ACTIVE</v>
      </c>
      <c r="W51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10" s="3">
        <f t="shared" si="45"/>
        <v>40429.375</v>
      </c>
      <c r="Y510" s="4">
        <f t="shared" si="46"/>
        <v>-0.54128377159759045</v>
      </c>
      <c r="Z510" s="2" t="str">
        <f t="shared" si="47"/>
        <v>High Risk</v>
      </c>
    </row>
    <row r="511" spans="1:26" x14ac:dyDescent="0.3">
      <c r="A511" t="s">
        <v>1064</v>
      </c>
      <c r="B511" s="1">
        <v>44928</v>
      </c>
      <c r="C511" t="s">
        <v>1065</v>
      </c>
      <c r="D511" t="s">
        <v>18</v>
      </c>
      <c r="E511">
        <v>24279</v>
      </c>
      <c r="F511">
        <v>14.4</v>
      </c>
      <c r="G511">
        <v>60</v>
      </c>
      <c r="H511" t="s">
        <v>26</v>
      </c>
      <c r="I511" t="s">
        <v>20</v>
      </c>
      <c r="J511" t="s">
        <v>28</v>
      </c>
      <c r="K511">
        <v>68230</v>
      </c>
      <c r="L511" t="s">
        <v>29</v>
      </c>
      <c r="M511">
        <v>0.15</v>
      </c>
      <c r="N511">
        <v>0.68</v>
      </c>
      <c r="O511">
        <v>4595.21</v>
      </c>
      <c r="P511">
        <v>0</v>
      </c>
      <c r="Q511">
        <f ca="1">DATEDIF(banking_loan_data[[#This Row],[Issue Date]],TODAY(),"M")</f>
        <v>38</v>
      </c>
      <c r="R511">
        <f t="shared" si="42"/>
        <v>17480.88</v>
      </c>
      <c r="S511">
        <f>+banking_loan_data[[#This Row],[Loan Amount]]+banking_loan_data[[#This Row],[Interest earned]]</f>
        <v>41759.880000000005</v>
      </c>
      <c r="T511" s="2">
        <f t="shared" si="43"/>
        <v>-19683.79</v>
      </c>
      <c r="U511" s="2">
        <f t="shared" si="44"/>
        <v>0</v>
      </c>
      <c r="V511" s="2" t="str">
        <f>IF(banking_loan_data[[#This Row],[Loan Status]]="FULLY PAID","GOOD",IF(banking_loan_data[[#This Row],[Loan Status]]="CURRENT","ACTIVE","BAD"))</f>
        <v>ACTIVE</v>
      </c>
      <c r="W51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11" s="3">
        <f t="shared" si="45"/>
        <v>29134.799999999999</v>
      </c>
      <c r="Y511" s="4">
        <f t="shared" si="46"/>
        <v>-0.81073314386918738</v>
      </c>
      <c r="Z511" s="2" t="str">
        <f t="shared" si="47"/>
        <v>Normal</v>
      </c>
    </row>
    <row r="512" spans="1:26" x14ac:dyDescent="0.3">
      <c r="A512" t="s">
        <v>1066</v>
      </c>
      <c r="B512" s="1">
        <v>45065</v>
      </c>
      <c r="C512" t="s">
        <v>1067</v>
      </c>
      <c r="D512" t="s">
        <v>53</v>
      </c>
      <c r="E512">
        <v>13765</v>
      </c>
      <c r="F512">
        <v>13.9</v>
      </c>
      <c r="G512">
        <v>36</v>
      </c>
      <c r="H512" t="s">
        <v>19</v>
      </c>
      <c r="I512" t="s">
        <v>57</v>
      </c>
      <c r="J512" t="s">
        <v>21</v>
      </c>
      <c r="K512">
        <v>147904</v>
      </c>
      <c r="L512" t="s">
        <v>33</v>
      </c>
      <c r="M512">
        <v>0.18</v>
      </c>
      <c r="N512">
        <v>0.62</v>
      </c>
      <c r="O512">
        <v>15678.34</v>
      </c>
      <c r="P512">
        <v>0</v>
      </c>
      <c r="Q512">
        <f ca="1">DATEDIF(banking_loan_data[[#This Row],[Issue Date]],TODAY(),"M")</f>
        <v>34</v>
      </c>
      <c r="R512">
        <f t="shared" si="42"/>
        <v>5740.0050000000001</v>
      </c>
      <c r="S512">
        <f>+banking_loan_data[[#This Row],[Loan Amount]]+banking_loan_data[[#This Row],[Interest earned]]</f>
        <v>19505.005000000001</v>
      </c>
      <c r="T512" s="2">
        <f t="shared" si="43"/>
        <v>1913.3400000000001</v>
      </c>
      <c r="U512" s="2">
        <f t="shared" si="44"/>
        <v>0</v>
      </c>
      <c r="V512" s="2" t="str">
        <f>IF(banking_loan_data[[#This Row],[Loan Status]]="FULLY PAID","GOOD",IF(banking_loan_data[[#This Row],[Loan Status]]="CURRENT","ACTIVE","BAD"))</f>
        <v>GOOD</v>
      </c>
      <c r="W51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12" s="3">
        <f t="shared" si="45"/>
        <v>15944.458333348275</v>
      </c>
      <c r="Y512" s="4">
        <f t="shared" si="46"/>
        <v>0.1390003632401017</v>
      </c>
      <c r="Z512" s="2" t="str">
        <f t="shared" si="47"/>
        <v>Normal</v>
      </c>
    </row>
    <row r="513" spans="1:26" x14ac:dyDescent="0.3">
      <c r="A513" t="s">
        <v>1068</v>
      </c>
      <c r="B513" s="1">
        <v>44237</v>
      </c>
      <c r="C513" t="s">
        <v>1069</v>
      </c>
      <c r="D513" t="s">
        <v>18</v>
      </c>
      <c r="E513">
        <v>12561</v>
      </c>
      <c r="F513">
        <v>14.5</v>
      </c>
      <c r="G513">
        <v>60</v>
      </c>
      <c r="H513" t="s">
        <v>26</v>
      </c>
      <c r="I513" t="s">
        <v>20</v>
      </c>
      <c r="J513" t="s">
        <v>28</v>
      </c>
      <c r="K513">
        <v>49520</v>
      </c>
      <c r="L513" t="s">
        <v>22</v>
      </c>
      <c r="M513">
        <v>0.28000000000000003</v>
      </c>
      <c r="N513">
        <v>0.66</v>
      </c>
      <c r="O513">
        <v>6147.18</v>
      </c>
      <c r="P513">
        <v>0</v>
      </c>
      <c r="Q513">
        <f ca="1">DATEDIF(banking_loan_data[[#This Row],[Issue Date]],TODAY(),"M")</f>
        <v>61</v>
      </c>
      <c r="R513">
        <f t="shared" si="42"/>
        <v>9106.7250000000004</v>
      </c>
      <c r="S513">
        <f>+banking_loan_data[[#This Row],[Loan Amount]]+banking_loan_data[[#This Row],[Interest earned]]</f>
        <v>21667.724999999999</v>
      </c>
      <c r="T513" s="2">
        <f t="shared" si="43"/>
        <v>-6413.82</v>
      </c>
      <c r="U513" s="2">
        <f t="shared" si="44"/>
        <v>0</v>
      </c>
      <c r="V513" s="2" t="str">
        <f>IF(banking_loan_data[[#This Row],[Loan Status]]="FULLY PAID","GOOD",IF(banking_loan_data[[#This Row],[Loan Status]]="CURRENT","ACTIVE","BAD"))</f>
        <v>ACTIVE</v>
      </c>
      <c r="W51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13" s="3">
        <f t="shared" si="45"/>
        <v>15177.874999999998</v>
      </c>
      <c r="Y513" s="4">
        <f t="shared" si="46"/>
        <v>-0.51061380463338901</v>
      </c>
      <c r="Z513" s="2" t="str">
        <f t="shared" si="47"/>
        <v>Normal</v>
      </c>
    </row>
    <row r="514" spans="1:26" x14ac:dyDescent="0.3">
      <c r="A514" t="s">
        <v>1070</v>
      </c>
      <c r="B514" s="1">
        <v>44936</v>
      </c>
      <c r="C514" t="s">
        <v>1071</v>
      </c>
      <c r="D514" t="s">
        <v>18</v>
      </c>
      <c r="E514">
        <v>1525</v>
      </c>
      <c r="F514">
        <v>16.8</v>
      </c>
      <c r="G514">
        <v>36</v>
      </c>
      <c r="H514" t="s">
        <v>19</v>
      </c>
      <c r="I514" t="s">
        <v>57</v>
      </c>
      <c r="J514" t="s">
        <v>28</v>
      </c>
      <c r="K514">
        <v>115238</v>
      </c>
      <c r="L514" t="s">
        <v>29</v>
      </c>
      <c r="M514">
        <v>0.4</v>
      </c>
      <c r="N514">
        <v>0.86</v>
      </c>
      <c r="O514">
        <v>1781.2</v>
      </c>
      <c r="P514">
        <v>0</v>
      </c>
      <c r="Q514">
        <f ca="1">DATEDIF(banking_loan_data[[#This Row],[Issue Date]],TODAY(),"M")</f>
        <v>38</v>
      </c>
      <c r="R514">
        <f t="shared" ref="R514:R577" si="48">(((E514*F514)/100)*G514)/12</f>
        <v>768.59999999999991</v>
      </c>
      <c r="S514">
        <f>+banking_loan_data[[#This Row],[Loan Amount]]+banking_loan_data[[#This Row],[Interest earned]]</f>
        <v>2293.6</v>
      </c>
      <c r="T514" s="2">
        <f t="shared" ref="T514:T577" si="49">O514 + P514 - E514</f>
        <v>256.20000000000005</v>
      </c>
      <c r="U514" s="2">
        <f t="shared" ref="U514:U577" si="50">IF(H514="CHARGED OFF",1,0)</f>
        <v>0</v>
      </c>
      <c r="V514" s="2" t="str">
        <f>IF(banking_loan_data[[#This Row],[Loan Status]]="FULLY PAID","GOOD",IF(banking_loan_data[[#This Row],[Loan Status]]="CURRENT","ACTIVE","BAD"))</f>
        <v>GOOD</v>
      </c>
      <c r="W51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14" s="3">
        <f t="shared" ref="X514:X577" si="51">PMT(F514/12,G514,-E514)</f>
        <v>2135.0000000000441</v>
      </c>
      <c r="Y514" s="4">
        <f t="shared" ref="Y514:Y577" si="52">IF(E514=0,0,T514/E514)</f>
        <v>0.16800000000000004</v>
      </c>
      <c r="Z514" s="2" t="str">
        <f t="shared" ref="Z514:Z577" si="53">IF(OR(M514&gt;0.4,N514&gt;0.8),"High Risk","Normal")</f>
        <v>High Risk</v>
      </c>
    </row>
    <row r="515" spans="1:26" x14ac:dyDescent="0.3">
      <c r="A515" t="s">
        <v>1072</v>
      </c>
      <c r="B515" s="1">
        <v>44698</v>
      </c>
      <c r="C515" t="s">
        <v>1073</v>
      </c>
      <c r="D515" t="s">
        <v>56</v>
      </c>
      <c r="E515">
        <v>23861</v>
      </c>
      <c r="F515">
        <v>15.7</v>
      </c>
      <c r="G515">
        <v>36</v>
      </c>
      <c r="H515" t="s">
        <v>19</v>
      </c>
      <c r="I515" t="s">
        <v>84</v>
      </c>
      <c r="J515" t="s">
        <v>32</v>
      </c>
      <c r="K515">
        <v>81934</v>
      </c>
      <c r="L515" t="s">
        <v>33</v>
      </c>
      <c r="M515">
        <v>0.46</v>
      </c>
      <c r="N515">
        <v>0.78</v>
      </c>
      <c r="O515">
        <v>27607.18</v>
      </c>
      <c r="P515">
        <v>0</v>
      </c>
      <c r="Q515">
        <f ca="1">DATEDIF(banking_loan_data[[#This Row],[Issue Date]],TODAY(),"M")</f>
        <v>46</v>
      </c>
      <c r="R515">
        <f t="shared" si="48"/>
        <v>11238.531000000001</v>
      </c>
      <c r="S515">
        <f>+banking_loan_data[[#This Row],[Loan Amount]]+banking_loan_data[[#This Row],[Interest earned]]</f>
        <v>35099.531000000003</v>
      </c>
      <c r="T515" s="2">
        <f t="shared" si="49"/>
        <v>3746.1800000000003</v>
      </c>
      <c r="U515" s="2">
        <f t="shared" si="50"/>
        <v>0</v>
      </c>
      <c r="V515" s="2" t="str">
        <f>IF(banking_loan_data[[#This Row],[Loan Status]]="FULLY PAID","GOOD",IF(banking_loan_data[[#This Row],[Loan Status]]="CURRENT","ACTIVE","BAD"))</f>
        <v>GOOD</v>
      </c>
      <c r="W51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15" s="3">
        <f t="shared" si="51"/>
        <v>31218.141666669271</v>
      </c>
      <c r="Y515" s="4">
        <f t="shared" si="52"/>
        <v>0.1570001257281757</v>
      </c>
      <c r="Z515" s="2" t="str">
        <f t="shared" si="53"/>
        <v>High Risk</v>
      </c>
    </row>
    <row r="516" spans="1:26" x14ac:dyDescent="0.3">
      <c r="A516" t="s">
        <v>1074</v>
      </c>
      <c r="B516" s="1">
        <v>45155</v>
      </c>
      <c r="C516" t="s">
        <v>1075</v>
      </c>
      <c r="D516" t="s">
        <v>76</v>
      </c>
      <c r="E516">
        <v>34142</v>
      </c>
      <c r="F516">
        <v>22.1</v>
      </c>
      <c r="G516">
        <v>60</v>
      </c>
      <c r="H516" t="s">
        <v>19</v>
      </c>
      <c r="I516" t="s">
        <v>20</v>
      </c>
      <c r="J516" t="s">
        <v>47</v>
      </c>
      <c r="K516">
        <v>55566</v>
      </c>
      <c r="L516" t="s">
        <v>22</v>
      </c>
      <c r="M516">
        <v>0.43</v>
      </c>
      <c r="N516">
        <v>0.92</v>
      </c>
      <c r="O516">
        <v>41687.379999999997</v>
      </c>
      <c r="P516">
        <v>0</v>
      </c>
      <c r="Q516">
        <f ca="1">DATEDIF(banking_loan_data[[#This Row],[Issue Date]],TODAY(),"M")</f>
        <v>31</v>
      </c>
      <c r="R516">
        <f t="shared" si="48"/>
        <v>37726.910000000003</v>
      </c>
      <c r="S516">
        <f>+banking_loan_data[[#This Row],[Loan Amount]]+banking_loan_data[[#This Row],[Interest earned]]</f>
        <v>71868.91</v>
      </c>
      <c r="T516" s="2">
        <f t="shared" si="49"/>
        <v>7545.3799999999974</v>
      </c>
      <c r="U516" s="2">
        <f t="shared" si="50"/>
        <v>0</v>
      </c>
      <c r="V516" s="2" t="str">
        <f>IF(banking_loan_data[[#This Row],[Loan Status]]="FULLY PAID","GOOD",IF(banking_loan_data[[#This Row],[Loan Status]]="CURRENT","ACTIVE","BAD"))</f>
        <v>GOOD</v>
      </c>
      <c r="W51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16" s="3">
        <f t="shared" si="51"/>
        <v>62878.183333333334</v>
      </c>
      <c r="Y516" s="4">
        <f t="shared" si="52"/>
        <v>0.22099994142112347</v>
      </c>
      <c r="Z516" s="2" t="str">
        <f t="shared" si="53"/>
        <v>High Risk</v>
      </c>
    </row>
    <row r="517" spans="1:26" x14ac:dyDescent="0.3">
      <c r="A517" t="s">
        <v>1076</v>
      </c>
      <c r="B517" s="1">
        <v>45125</v>
      </c>
      <c r="C517" t="s">
        <v>1077</v>
      </c>
      <c r="D517" t="s">
        <v>25</v>
      </c>
      <c r="E517">
        <v>27916</v>
      </c>
      <c r="F517">
        <v>6</v>
      </c>
      <c r="G517">
        <v>60</v>
      </c>
      <c r="H517" t="s">
        <v>26</v>
      </c>
      <c r="I517" t="s">
        <v>73</v>
      </c>
      <c r="J517" t="s">
        <v>37</v>
      </c>
      <c r="K517">
        <v>103193</v>
      </c>
      <c r="L517" t="s">
        <v>22</v>
      </c>
      <c r="M517">
        <v>0.18</v>
      </c>
      <c r="N517">
        <v>0.81</v>
      </c>
      <c r="O517">
        <v>4929.04</v>
      </c>
      <c r="P517">
        <v>0</v>
      </c>
      <c r="Q517">
        <f ca="1">DATEDIF(banking_loan_data[[#This Row],[Issue Date]],TODAY(),"M")</f>
        <v>32</v>
      </c>
      <c r="R517">
        <f t="shared" si="48"/>
        <v>8374.8000000000011</v>
      </c>
      <c r="S517">
        <f>+banking_loan_data[[#This Row],[Loan Amount]]+banking_loan_data[[#This Row],[Interest earned]]</f>
        <v>36290.800000000003</v>
      </c>
      <c r="T517" s="2">
        <f t="shared" si="49"/>
        <v>-22986.959999999999</v>
      </c>
      <c r="U517" s="2">
        <f t="shared" si="50"/>
        <v>0</v>
      </c>
      <c r="V517" s="2" t="str">
        <f>IF(banking_loan_data[[#This Row],[Loan Status]]="FULLY PAID","GOOD",IF(banking_loan_data[[#This Row],[Loan Status]]="CURRENT","ACTIVE","BAD"))</f>
        <v>ACTIVE</v>
      </c>
      <c r="W51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17" s="3">
        <f t="shared" si="51"/>
        <v>13958.000000379619</v>
      </c>
      <c r="Y517" s="4">
        <f t="shared" si="52"/>
        <v>-0.82343315661269523</v>
      </c>
      <c r="Z517" s="2" t="str">
        <f t="shared" si="53"/>
        <v>High Risk</v>
      </c>
    </row>
    <row r="518" spans="1:26" x14ac:dyDescent="0.3">
      <c r="A518" t="s">
        <v>1078</v>
      </c>
      <c r="B518" s="1">
        <v>44657</v>
      </c>
      <c r="C518" t="s">
        <v>1079</v>
      </c>
      <c r="D518" t="s">
        <v>72</v>
      </c>
      <c r="E518">
        <v>5648</v>
      </c>
      <c r="F518">
        <v>21.7</v>
      </c>
      <c r="G518">
        <v>60</v>
      </c>
      <c r="H518" t="s">
        <v>81</v>
      </c>
      <c r="I518" t="s">
        <v>73</v>
      </c>
      <c r="J518" t="s">
        <v>21</v>
      </c>
      <c r="K518">
        <v>133224</v>
      </c>
      <c r="L518" t="s">
        <v>29</v>
      </c>
      <c r="M518">
        <v>0.28000000000000003</v>
      </c>
      <c r="N518">
        <v>0.76</v>
      </c>
      <c r="O518">
        <v>2180.3000000000002</v>
      </c>
      <c r="P518">
        <v>1908.91</v>
      </c>
      <c r="Q518">
        <f ca="1">DATEDIF(banking_loan_data[[#This Row],[Issue Date]],TODAY(),"M")</f>
        <v>47</v>
      </c>
      <c r="R518">
        <f t="shared" si="48"/>
        <v>6128.079999999999</v>
      </c>
      <c r="S518">
        <f>+banking_loan_data[[#This Row],[Loan Amount]]+banking_loan_data[[#This Row],[Interest earned]]</f>
        <v>11776.079999999998</v>
      </c>
      <c r="T518" s="2">
        <f t="shared" si="49"/>
        <v>-1558.79</v>
      </c>
      <c r="U518" s="2">
        <f t="shared" si="50"/>
        <v>1</v>
      </c>
      <c r="V518" s="2" t="str">
        <f>IF(banking_loan_data[[#This Row],[Loan Status]]="FULLY PAID","GOOD",IF(banking_loan_data[[#This Row],[Loan Status]]="CURRENT","ACTIVE","BAD"))</f>
        <v>BAD</v>
      </c>
      <c r="W51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18" s="3">
        <f t="shared" si="51"/>
        <v>10213.466666666667</v>
      </c>
      <c r="Y518" s="4">
        <f t="shared" si="52"/>
        <v>-0.27598973087818696</v>
      </c>
      <c r="Z518" s="2" t="str">
        <f t="shared" si="53"/>
        <v>Normal</v>
      </c>
    </row>
    <row r="519" spans="1:26" x14ac:dyDescent="0.3">
      <c r="A519" t="s">
        <v>1080</v>
      </c>
      <c r="B519" s="1">
        <v>44928</v>
      </c>
      <c r="C519" t="s">
        <v>1081</v>
      </c>
      <c r="D519" t="s">
        <v>46</v>
      </c>
      <c r="E519">
        <v>36133</v>
      </c>
      <c r="F519">
        <v>21.9</v>
      </c>
      <c r="G519">
        <v>36</v>
      </c>
      <c r="H519" t="s">
        <v>26</v>
      </c>
      <c r="I519" t="s">
        <v>73</v>
      </c>
      <c r="J519" t="s">
        <v>28</v>
      </c>
      <c r="K519">
        <v>60134</v>
      </c>
      <c r="L519" t="s">
        <v>29</v>
      </c>
      <c r="M519">
        <v>0.18</v>
      </c>
      <c r="N519">
        <v>0.77</v>
      </c>
      <c r="O519">
        <v>2677.28</v>
      </c>
      <c r="P519">
        <v>0</v>
      </c>
      <c r="Q519">
        <f ca="1">DATEDIF(banking_loan_data[[#This Row],[Issue Date]],TODAY(),"M")</f>
        <v>38</v>
      </c>
      <c r="R519">
        <f t="shared" si="48"/>
        <v>23739.380999999998</v>
      </c>
      <c r="S519">
        <f>+banking_loan_data[[#This Row],[Loan Amount]]+banking_loan_data[[#This Row],[Interest earned]]</f>
        <v>59872.380999999994</v>
      </c>
      <c r="T519" s="2">
        <f t="shared" si="49"/>
        <v>-33455.72</v>
      </c>
      <c r="U519" s="2">
        <f t="shared" si="50"/>
        <v>0</v>
      </c>
      <c r="V519" s="2" t="str">
        <f>IF(banking_loan_data[[#This Row],[Loan Status]]="FULLY PAID","GOOD",IF(banking_loan_data[[#This Row],[Loan Status]]="CURRENT","ACTIVE","BAD"))</f>
        <v>ACTIVE</v>
      </c>
      <c r="W51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19" s="3">
        <f t="shared" si="51"/>
        <v>65942.725000000006</v>
      </c>
      <c r="Y519" s="4">
        <f t="shared" si="52"/>
        <v>-0.92590485152077051</v>
      </c>
      <c r="Z519" s="2" t="str">
        <f t="shared" si="53"/>
        <v>Normal</v>
      </c>
    </row>
    <row r="520" spans="1:26" x14ac:dyDescent="0.3">
      <c r="A520" t="s">
        <v>1082</v>
      </c>
      <c r="B520" s="1">
        <v>44948</v>
      </c>
      <c r="C520" t="s">
        <v>1083</v>
      </c>
      <c r="D520" t="s">
        <v>76</v>
      </c>
      <c r="E520">
        <v>31523</v>
      </c>
      <c r="F520">
        <v>10.7</v>
      </c>
      <c r="G520">
        <v>60</v>
      </c>
      <c r="H520" t="s">
        <v>19</v>
      </c>
      <c r="I520" t="s">
        <v>73</v>
      </c>
      <c r="J520" t="s">
        <v>37</v>
      </c>
      <c r="K520">
        <v>40345</v>
      </c>
      <c r="L520" t="s">
        <v>29</v>
      </c>
      <c r="M520">
        <v>0.21</v>
      </c>
      <c r="N520">
        <v>0.92</v>
      </c>
      <c r="O520">
        <v>34895.96</v>
      </c>
      <c r="P520">
        <v>0</v>
      </c>
      <c r="Q520">
        <f ca="1">DATEDIF(banking_loan_data[[#This Row],[Issue Date]],TODAY(),"M")</f>
        <v>37</v>
      </c>
      <c r="R520">
        <f t="shared" si="48"/>
        <v>16864.804999999997</v>
      </c>
      <c r="S520">
        <f>+banking_loan_data[[#This Row],[Loan Amount]]+banking_loan_data[[#This Row],[Interest earned]]</f>
        <v>48387.804999999993</v>
      </c>
      <c r="T520" s="2">
        <f t="shared" si="49"/>
        <v>3372.9599999999991</v>
      </c>
      <c r="U520" s="2">
        <f t="shared" si="50"/>
        <v>0</v>
      </c>
      <c r="V520" s="2" t="str">
        <f>IF(banking_loan_data[[#This Row],[Loan Status]]="FULLY PAID","GOOD",IF(banking_loan_data[[#This Row],[Loan Status]]="CURRENT","ACTIVE","BAD"))</f>
        <v>GOOD</v>
      </c>
      <c r="W52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20" s="3">
        <f t="shared" si="51"/>
        <v>28108.008333333331</v>
      </c>
      <c r="Y520" s="4">
        <f t="shared" si="52"/>
        <v>0.10699996827713096</v>
      </c>
      <c r="Z520" s="2" t="str">
        <f t="shared" si="53"/>
        <v>High Risk</v>
      </c>
    </row>
    <row r="521" spans="1:26" x14ac:dyDescent="0.3">
      <c r="A521" t="s">
        <v>1084</v>
      </c>
      <c r="B521" s="1">
        <v>45121</v>
      </c>
      <c r="C521" t="s">
        <v>1085</v>
      </c>
      <c r="D521" t="s">
        <v>50</v>
      </c>
      <c r="E521">
        <v>30052</v>
      </c>
      <c r="F521">
        <v>14.3</v>
      </c>
      <c r="G521">
        <v>36</v>
      </c>
      <c r="H521" t="s">
        <v>26</v>
      </c>
      <c r="I521" t="s">
        <v>84</v>
      </c>
      <c r="J521" t="s">
        <v>28</v>
      </c>
      <c r="K521">
        <v>71185</v>
      </c>
      <c r="L521" t="s">
        <v>29</v>
      </c>
      <c r="M521">
        <v>0.3</v>
      </c>
      <c r="N521">
        <v>0.85</v>
      </c>
      <c r="O521">
        <v>11094.37</v>
      </c>
      <c r="P521">
        <v>0</v>
      </c>
      <c r="Q521">
        <f ca="1">DATEDIF(banking_loan_data[[#This Row],[Issue Date]],TODAY(),"M")</f>
        <v>32</v>
      </c>
      <c r="R521">
        <f t="shared" si="48"/>
        <v>12892.308000000003</v>
      </c>
      <c r="S521">
        <f>+banking_loan_data[[#This Row],[Loan Amount]]+banking_loan_data[[#This Row],[Interest earned]]</f>
        <v>42944.308000000005</v>
      </c>
      <c r="T521" s="2">
        <f t="shared" si="49"/>
        <v>-18957.629999999997</v>
      </c>
      <c r="U521" s="2">
        <f t="shared" si="50"/>
        <v>0</v>
      </c>
      <c r="V521" s="2" t="str">
        <f>IF(banking_loan_data[[#This Row],[Loan Status]]="FULLY PAID","GOOD",IF(banking_loan_data[[#This Row],[Loan Status]]="CURRENT","ACTIVE","BAD"))</f>
        <v>ACTIVE</v>
      </c>
      <c r="W52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21" s="3">
        <f t="shared" si="51"/>
        <v>35811.966666685992</v>
      </c>
      <c r="Y521" s="4">
        <f t="shared" si="52"/>
        <v>-0.63082756555304131</v>
      </c>
      <c r="Z521" s="2" t="str">
        <f t="shared" si="53"/>
        <v>High Risk</v>
      </c>
    </row>
    <row r="522" spans="1:26" x14ac:dyDescent="0.3">
      <c r="A522" t="s">
        <v>1086</v>
      </c>
      <c r="B522" s="1">
        <v>45105</v>
      </c>
      <c r="C522" t="s">
        <v>1087</v>
      </c>
      <c r="D522" t="s">
        <v>18</v>
      </c>
      <c r="E522">
        <v>35414</v>
      </c>
      <c r="F522">
        <v>13.8</v>
      </c>
      <c r="G522">
        <v>60</v>
      </c>
      <c r="H522" t="s">
        <v>19</v>
      </c>
      <c r="I522" t="s">
        <v>20</v>
      </c>
      <c r="J522" t="s">
        <v>47</v>
      </c>
      <c r="K522">
        <v>145464</v>
      </c>
      <c r="L522" t="s">
        <v>33</v>
      </c>
      <c r="M522">
        <v>0.13</v>
      </c>
      <c r="N522">
        <v>0.51</v>
      </c>
      <c r="O522">
        <v>40301.129999999997</v>
      </c>
      <c r="P522">
        <v>0</v>
      </c>
      <c r="Q522">
        <f ca="1">DATEDIF(banking_loan_data[[#This Row],[Issue Date]],TODAY(),"M")</f>
        <v>32</v>
      </c>
      <c r="R522">
        <f t="shared" si="48"/>
        <v>24435.660000000003</v>
      </c>
      <c r="S522">
        <f>+banking_loan_data[[#This Row],[Loan Amount]]+banking_loan_data[[#This Row],[Interest earned]]</f>
        <v>59849.66</v>
      </c>
      <c r="T522" s="2">
        <f t="shared" si="49"/>
        <v>4887.1299999999974</v>
      </c>
      <c r="U522" s="2">
        <f t="shared" si="50"/>
        <v>0</v>
      </c>
      <c r="V522" s="2" t="str">
        <f>IF(banking_loan_data[[#This Row],[Loan Status]]="FULLY PAID","GOOD",IF(banking_loan_data[[#This Row],[Loan Status]]="CURRENT","ACTIVE","BAD"))</f>
        <v>GOOD</v>
      </c>
      <c r="W52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22" s="3">
        <f t="shared" si="51"/>
        <v>40726.100000000006</v>
      </c>
      <c r="Y522" s="4">
        <f t="shared" si="52"/>
        <v>0.13799994352515946</v>
      </c>
      <c r="Z522" s="2" t="str">
        <f t="shared" si="53"/>
        <v>Normal</v>
      </c>
    </row>
    <row r="523" spans="1:26" x14ac:dyDescent="0.3">
      <c r="A523" t="s">
        <v>1088</v>
      </c>
      <c r="B523" s="1">
        <v>44586</v>
      </c>
      <c r="C523" t="s">
        <v>1089</v>
      </c>
      <c r="D523" t="s">
        <v>25</v>
      </c>
      <c r="E523">
        <v>33781</v>
      </c>
      <c r="F523">
        <v>9.4</v>
      </c>
      <c r="G523">
        <v>60</v>
      </c>
      <c r="H523" t="s">
        <v>81</v>
      </c>
      <c r="I523" t="s">
        <v>57</v>
      </c>
      <c r="J523" t="s">
        <v>37</v>
      </c>
      <c r="K523">
        <v>122949</v>
      </c>
      <c r="L523" t="s">
        <v>33</v>
      </c>
      <c r="M523">
        <v>0.19</v>
      </c>
      <c r="N523">
        <v>0.74</v>
      </c>
      <c r="O523">
        <v>8770.67</v>
      </c>
      <c r="P523">
        <v>14712.11</v>
      </c>
      <c r="Q523">
        <f ca="1">DATEDIF(banking_loan_data[[#This Row],[Issue Date]],TODAY(),"M")</f>
        <v>49</v>
      </c>
      <c r="R523">
        <f t="shared" si="48"/>
        <v>15877.070000000002</v>
      </c>
      <c r="S523">
        <f>+banking_loan_data[[#This Row],[Loan Amount]]+banking_loan_data[[#This Row],[Interest earned]]</f>
        <v>49658.07</v>
      </c>
      <c r="T523" s="2">
        <f t="shared" si="49"/>
        <v>-10298.220000000001</v>
      </c>
      <c r="U523" s="2">
        <f t="shared" si="50"/>
        <v>1</v>
      </c>
      <c r="V523" s="2" t="str">
        <f>IF(banking_loan_data[[#This Row],[Loan Status]]="FULLY PAID","GOOD",IF(banking_loan_data[[#This Row],[Loan Status]]="CURRENT","ACTIVE","BAD"))</f>
        <v>BAD</v>
      </c>
      <c r="W52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23" s="3">
        <f t="shared" si="51"/>
        <v>26461.783333333355</v>
      </c>
      <c r="Y523" s="4">
        <f t="shared" si="52"/>
        <v>-0.30485243184038369</v>
      </c>
      <c r="Z523" s="2" t="str">
        <f t="shared" si="53"/>
        <v>Normal</v>
      </c>
    </row>
    <row r="524" spans="1:26" x14ac:dyDescent="0.3">
      <c r="A524" t="s">
        <v>1090</v>
      </c>
      <c r="B524" s="1">
        <v>45079</v>
      </c>
      <c r="C524" t="s">
        <v>1091</v>
      </c>
      <c r="D524" t="s">
        <v>56</v>
      </c>
      <c r="E524">
        <v>5599</v>
      </c>
      <c r="F524">
        <v>12.9</v>
      </c>
      <c r="G524">
        <v>60</v>
      </c>
      <c r="H524" t="s">
        <v>19</v>
      </c>
      <c r="I524" t="s">
        <v>73</v>
      </c>
      <c r="J524" t="s">
        <v>21</v>
      </c>
      <c r="K524">
        <v>100744</v>
      </c>
      <c r="L524" t="s">
        <v>29</v>
      </c>
      <c r="M524">
        <v>0.47</v>
      </c>
      <c r="N524">
        <v>0.81</v>
      </c>
      <c r="O524">
        <v>6321.27</v>
      </c>
      <c r="P524">
        <v>0</v>
      </c>
      <c r="Q524">
        <f ca="1">DATEDIF(banking_loan_data[[#This Row],[Issue Date]],TODAY(),"M")</f>
        <v>33</v>
      </c>
      <c r="R524">
        <f t="shared" si="48"/>
        <v>3611.355</v>
      </c>
      <c r="S524">
        <f>+banking_loan_data[[#This Row],[Loan Amount]]+banking_loan_data[[#This Row],[Interest earned]]</f>
        <v>9210.3549999999996</v>
      </c>
      <c r="T524" s="2">
        <f t="shared" si="49"/>
        <v>722.27000000000044</v>
      </c>
      <c r="U524" s="2">
        <f t="shared" si="50"/>
        <v>0</v>
      </c>
      <c r="V524" s="2" t="str">
        <f>IF(banking_loan_data[[#This Row],[Loan Status]]="FULLY PAID","GOOD",IF(banking_loan_data[[#This Row],[Loan Status]]="CURRENT","ACTIVE","BAD"))</f>
        <v>GOOD</v>
      </c>
      <c r="W52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24" s="3">
        <f t="shared" si="51"/>
        <v>6018.9250000000002</v>
      </c>
      <c r="Y524" s="4">
        <f t="shared" si="52"/>
        <v>0.12899982139667807</v>
      </c>
      <c r="Z524" s="2" t="str">
        <f t="shared" si="53"/>
        <v>High Risk</v>
      </c>
    </row>
    <row r="525" spans="1:26" x14ac:dyDescent="0.3">
      <c r="A525" t="s">
        <v>1092</v>
      </c>
      <c r="B525" s="1">
        <v>44452</v>
      </c>
      <c r="C525" t="s">
        <v>1093</v>
      </c>
      <c r="D525" t="s">
        <v>40</v>
      </c>
      <c r="E525">
        <v>36046</v>
      </c>
      <c r="F525">
        <v>5.9</v>
      </c>
      <c r="G525">
        <v>36</v>
      </c>
      <c r="H525" t="s">
        <v>60</v>
      </c>
      <c r="I525" t="s">
        <v>27</v>
      </c>
      <c r="J525" t="s">
        <v>28</v>
      </c>
      <c r="K525">
        <v>63455</v>
      </c>
      <c r="L525" t="s">
        <v>22</v>
      </c>
      <c r="M525">
        <v>0.28999999999999998</v>
      </c>
      <c r="N525">
        <v>0.84</v>
      </c>
      <c r="O525">
        <v>0</v>
      </c>
      <c r="P525">
        <v>0</v>
      </c>
      <c r="Q525">
        <f ca="1">DATEDIF(banking_loan_data[[#This Row],[Issue Date]],TODAY(),"M")</f>
        <v>54</v>
      </c>
      <c r="R525">
        <f t="shared" si="48"/>
        <v>6380.1420000000007</v>
      </c>
      <c r="S525">
        <f>+banking_loan_data[[#This Row],[Loan Amount]]+banking_loan_data[[#This Row],[Interest earned]]</f>
        <v>42426.142</v>
      </c>
      <c r="T525" s="2">
        <f t="shared" si="49"/>
        <v>-36046</v>
      </c>
      <c r="U525" s="2">
        <f t="shared" si="50"/>
        <v>0</v>
      </c>
      <c r="V525" s="2" t="str">
        <f>IF(banking_loan_data[[#This Row],[Loan Status]]="FULLY PAID","GOOD",IF(banking_loan_data[[#This Row],[Loan Status]]="CURRENT","ACTIVE","BAD"))</f>
        <v>BAD</v>
      </c>
      <c r="W52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25" s="3">
        <f t="shared" si="51"/>
        <v>17722.626582833604</v>
      </c>
      <c r="Y525" s="4">
        <f t="shared" si="52"/>
        <v>-1</v>
      </c>
      <c r="Z525" s="2" t="str">
        <f t="shared" si="53"/>
        <v>High Risk</v>
      </c>
    </row>
    <row r="526" spans="1:26" x14ac:dyDescent="0.3">
      <c r="A526" t="s">
        <v>1094</v>
      </c>
      <c r="B526" s="1">
        <v>44905</v>
      </c>
      <c r="C526" t="s">
        <v>1095</v>
      </c>
      <c r="D526" t="s">
        <v>46</v>
      </c>
      <c r="E526">
        <v>36923</v>
      </c>
      <c r="F526">
        <v>10.6</v>
      </c>
      <c r="G526">
        <v>60</v>
      </c>
      <c r="H526" t="s">
        <v>26</v>
      </c>
      <c r="I526" t="s">
        <v>57</v>
      </c>
      <c r="J526" t="s">
        <v>47</v>
      </c>
      <c r="K526">
        <v>145217</v>
      </c>
      <c r="L526" t="s">
        <v>29</v>
      </c>
      <c r="M526">
        <v>0.28000000000000003</v>
      </c>
      <c r="N526">
        <v>0.6</v>
      </c>
      <c r="O526">
        <v>9786.24</v>
      </c>
      <c r="P526">
        <v>0</v>
      </c>
      <c r="Q526">
        <f ca="1">DATEDIF(banking_loan_data[[#This Row],[Issue Date]],TODAY(),"M")</f>
        <v>39</v>
      </c>
      <c r="R526">
        <f t="shared" si="48"/>
        <v>19569.189999999999</v>
      </c>
      <c r="S526">
        <f>+banking_loan_data[[#This Row],[Loan Amount]]+banking_loan_data[[#This Row],[Interest earned]]</f>
        <v>56492.19</v>
      </c>
      <c r="T526" s="2">
        <f t="shared" si="49"/>
        <v>-27136.760000000002</v>
      </c>
      <c r="U526" s="2">
        <f t="shared" si="50"/>
        <v>0</v>
      </c>
      <c r="V526" s="2" t="str">
        <f>IF(banking_loan_data[[#This Row],[Loan Status]]="FULLY PAID","GOOD",IF(banking_loan_data[[#This Row],[Loan Status]]="CURRENT","ACTIVE","BAD"))</f>
        <v>ACTIVE</v>
      </c>
      <c r="W52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26" s="3">
        <f t="shared" si="51"/>
        <v>32615.316666666666</v>
      </c>
      <c r="Y526" s="4">
        <f t="shared" si="52"/>
        <v>-0.73495544782384969</v>
      </c>
      <c r="Z526" s="2" t="str">
        <f t="shared" si="53"/>
        <v>Normal</v>
      </c>
    </row>
    <row r="527" spans="1:26" x14ac:dyDescent="0.3">
      <c r="A527" t="s">
        <v>1096</v>
      </c>
      <c r="B527" s="1">
        <v>44646</v>
      </c>
      <c r="C527" t="s">
        <v>1097</v>
      </c>
      <c r="D527" t="s">
        <v>46</v>
      </c>
      <c r="E527">
        <v>4814</v>
      </c>
      <c r="F527">
        <v>21.3</v>
      </c>
      <c r="G527">
        <v>60</v>
      </c>
      <c r="H527" t="s">
        <v>26</v>
      </c>
      <c r="I527" t="s">
        <v>84</v>
      </c>
      <c r="J527" t="s">
        <v>37</v>
      </c>
      <c r="K527">
        <v>58018</v>
      </c>
      <c r="L527" t="s">
        <v>22</v>
      </c>
      <c r="M527">
        <v>0.11</v>
      </c>
      <c r="N527">
        <v>0.89</v>
      </c>
      <c r="O527">
        <v>724.86</v>
      </c>
      <c r="P527">
        <v>0</v>
      </c>
      <c r="Q527">
        <f ca="1">DATEDIF(banking_loan_data[[#This Row],[Issue Date]],TODAY(),"M")</f>
        <v>47</v>
      </c>
      <c r="R527">
        <f t="shared" si="48"/>
        <v>5126.9100000000008</v>
      </c>
      <c r="S527">
        <f>+banking_loan_data[[#This Row],[Loan Amount]]+banking_loan_data[[#This Row],[Interest earned]]</f>
        <v>9940.91</v>
      </c>
      <c r="T527" s="2">
        <f t="shared" si="49"/>
        <v>-4089.14</v>
      </c>
      <c r="U527" s="2">
        <f t="shared" si="50"/>
        <v>0</v>
      </c>
      <c r="V527" s="2" t="str">
        <f>IF(banking_loan_data[[#This Row],[Loan Status]]="FULLY PAID","GOOD",IF(banking_loan_data[[#This Row],[Loan Status]]="CURRENT","ACTIVE","BAD"))</f>
        <v>ACTIVE</v>
      </c>
      <c r="W52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27" s="3">
        <f t="shared" si="51"/>
        <v>8544.85</v>
      </c>
      <c r="Y527" s="4">
        <f t="shared" si="52"/>
        <v>-0.8494266722060656</v>
      </c>
      <c r="Z527" s="2" t="str">
        <f t="shared" si="53"/>
        <v>High Risk</v>
      </c>
    </row>
    <row r="528" spans="1:26" x14ac:dyDescent="0.3">
      <c r="A528" t="s">
        <v>1098</v>
      </c>
      <c r="B528" s="1">
        <v>44206</v>
      </c>
      <c r="C528" t="s">
        <v>1099</v>
      </c>
      <c r="D528" t="s">
        <v>72</v>
      </c>
      <c r="E528">
        <v>36984</v>
      </c>
      <c r="F528">
        <v>10.7</v>
      </c>
      <c r="G528">
        <v>36</v>
      </c>
      <c r="H528" t="s">
        <v>26</v>
      </c>
      <c r="I528" t="s">
        <v>57</v>
      </c>
      <c r="J528" t="s">
        <v>28</v>
      </c>
      <c r="K528">
        <v>84219</v>
      </c>
      <c r="L528" t="s">
        <v>22</v>
      </c>
      <c r="M528">
        <v>0.2</v>
      </c>
      <c r="N528">
        <v>0.93</v>
      </c>
      <c r="O528">
        <v>13592.29</v>
      </c>
      <c r="P528">
        <v>0</v>
      </c>
      <c r="Q528">
        <f ca="1">DATEDIF(banking_loan_data[[#This Row],[Issue Date]],TODAY(),"M")</f>
        <v>62</v>
      </c>
      <c r="R528">
        <f t="shared" si="48"/>
        <v>11871.864</v>
      </c>
      <c r="S528">
        <f>+banking_loan_data[[#This Row],[Loan Amount]]+banking_loan_data[[#This Row],[Interest earned]]</f>
        <v>48855.864000000001</v>
      </c>
      <c r="T528" s="2">
        <f t="shared" si="49"/>
        <v>-23391.71</v>
      </c>
      <c r="U528" s="2">
        <f t="shared" si="50"/>
        <v>0</v>
      </c>
      <c r="V528" s="2" t="str">
        <f>IF(banking_loan_data[[#This Row],[Loan Status]]="FULLY PAID","GOOD",IF(banking_loan_data[[#This Row],[Loan Status]]="CURRENT","ACTIVE","BAD"))</f>
        <v>ACTIVE</v>
      </c>
      <c r="W52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28" s="3">
        <f t="shared" si="51"/>
        <v>32977.400003562958</v>
      </c>
      <c r="Y528" s="4">
        <f t="shared" si="52"/>
        <v>-0.63248188405797101</v>
      </c>
      <c r="Z528" s="2" t="str">
        <f t="shared" si="53"/>
        <v>High Risk</v>
      </c>
    </row>
    <row r="529" spans="1:26" x14ac:dyDescent="0.3">
      <c r="A529" t="s">
        <v>1100</v>
      </c>
      <c r="B529" s="1">
        <v>45020</v>
      </c>
      <c r="C529" t="s">
        <v>1101</v>
      </c>
      <c r="D529" t="s">
        <v>40</v>
      </c>
      <c r="E529">
        <v>27616</v>
      </c>
      <c r="F529">
        <v>21.4</v>
      </c>
      <c r="G529">
        <v>36</v>
      </c>
      <c r="H529" t="s">
        <v>19</v>
      </c>
      <c r="I529" t="s">
        <v>57</v>
      </c>
      <c r="J529" t="s">
        <v>28</v>
      </c>
      <c r="K529">
        <v>75991</v>
      </c>
      <c r="L529" t="s">
        <v>22</v>
      </c>
      <c r="M529">
        <v>0.45</v>
      </c>
      <c r="N529">
        <v>0.61</v>
      </c>
      <c r="O529">
        <v>33525.82</v>
      </c>
      <c r="P529">
        <v>0</v>
      </c>
      <c r="Q529">
        <f ca="1">DATEDIF(banking_loan_data[[#This Row],[Issue Date]],TODAY(),"M")</f>
        <v>35</v>
      </c>
      <c r="R529">
        <f t="shared" si="48"/>
        <v>17729.471999999998</v>
      </c>
      <c r="S529">
        <f>+banking_loan_data[[#This Row],[Loan Amount]]+banking_loan_data[[#This Row],[Interest earned]]</f>
        <v>45345.471999999994</v>
      </c>
      <c r="T529" s="2">
        <f t="shared" si="49"/>
        <v>5909.82</v>
      </c>
      <c r="U529" s="2">
        <f t="shared" si="50"/>
        <v>0</v>
      </c>
      <c r="V529" s="2" t="str">
        <f>IF(banking_loan_data[[#This Row],[Loan Status]]="FULLY PAID","GOOD",IF(banking_loan_data[[#This Row],[Loan Status]]="CURRENT","ACTIVE","BAD"))</f>
        <v>GOOD</v>
      </c>
      <c r="W52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29" s="3">
        <f t="shared" si="51"/>
        <v>49248.53333333334</v>
      </c>
      <c r="Y529" s="4">
        <f t="shared" si="52"/>
        <v>0.21399985515643105</v>
      </c>
      <c r="Z529" s="2" t="str">
        <f t="shared" si="53"/>
        <v>High Risk</v>
      </c>
    </row>
    <row r="530" spans="1:26" x14ac:dyDescent="0.3">
      <c r="A530" t="s">
        <v>1102</v>
      </c>
      <c r="B530" s="1">
        <v>44994</v>
      </c>
      <c r="C530" t="s">
        <v>1103</v>
      </c>
      <c r="D530" t="s">
        <v>53</v>
      </c>
      <c r="E530">
        <v>3113</v>
      </c>
      <c r="F530">
        <v>15.6</v>
      </c>
      <c r="G530">
        <v>60</v>
      </c>
      <c r="H530" t="s">
        <v>26</v>
      </c>
      <c r="I530" t="s">
        <v>20</v>
      </c>
      <c r="J530" t="s">
        <v>21</v>
      </c>
      <c r="K530">
        <v>103616</v>
      </c>
      <c r="L530" t="s">
        <v>33</v>
      </c>
      <c r="M530">
        <v>0.17</v>
      </c>
      <c r="N530">
        <v>0.9</v>
      </c>
      <c r="O530">
        <v>422.95</v>
      </c>
      <c r="P530">
        <v>0</v>
      </c>
      <c r="Q530">
        <f ca="1">DATEDIF(banking_loan_data[[#This Row],[Issue Date]],TODAY(),"M")</f>
        <v>36</v>
      </c>
      <c r="R530">
        <f t="shared" si="48"/>
        <v>2428.14</v>
      </c>
      <c r="S530">
        <f>+banking_loan_data[[#This Row],[Loan Amount]]+banking_loan_data[[#This Row],[Interest earned]]</f>
        <v>5541.1399999999994</v>
      </c>
      <c r="T530" s="2">
        <f t="shared" si="49"/>
        <v>-2690.05</v>
      </c>
      <c r="U530" s="2">
        <f t="shared" si="50"/>
        <v>0</v>
      </c>
      <c r="V530" s="2" t="str">
        <f>IF(banking_loan_data[[#This Row],[Loan Status]]="FULLY PAID","GOOD",IF(banking_loan_data[[#This Row],[Loan Status]]="CURRENT","ACTIVE","BAD"))</f>
        <v>ACTIVE</v>
      </c>
      <c r="W53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30" s="3">
        <f t="shared" si="51"/>
        <v>4046.9</v>
      </c>
      <c r="Y530" s="4">
        <f t="shared" si="52"/>
        <v>-0.86413427561837464</v>
      </c>
      <c r="Z530" s="2" t="str">
        <f t="shared" si="53"/>
        <v>High Risk</v>
      </c>
    </row>
    <row r="531" spans="1:26" x14ac:dyDescent="0.3">
      <c r="A531" t="s">
        <v>1104</v>
      </c>
      <c r="B531" s="1">
        <v>45073</v>
      </c>
      <c r="C531" t="s">
        <v>1105</v>
      </c>
      <c r="D531" t="s">
        <v>40</v>
      </c>
      <c r="E531">
        <v>14760</v>
      </c>
      <c r="F531">
        <v>22.6</v>
      </c>
      <c r="G531">
        <v>60</v>
      </c>
      <c r="H531" t="s">
        <v>19</v>
      </c>
      <c r="I531" t="s">
        <v>73</v>
      </c>
      <c r="J531" t="s">
        <v>47</v>
      </c>
      <c r="K531">
        <v>117438</v>
      </c>
      <c r="L531" t="s">
        <v>22</v>
      </c>
      <c r="M531">
        <v>0.27</v>
      </c>
      <c r="N531">
        <v>0.54</v>
      </c>
      <c r="O531">
        <v>18095.759999999998</v>
      </c>
      <c r="P531">
        <v>0</v>
      </c>
      <c r="Q531">
        <f ca="1">DATEDIF(banking_loan_data[[#This Row],[Issue Date]],TODAY(),"M")</f>
        <v>33</v>
      </c>
      <c r="R531">
        <f t="shared" si="48"/>
        <v>16678.8</v>
      </c>
      <c r="S531">
        <f>+banking_loan_data[[#This Row],[Loan Amount]]+banking_loan_data[[#This Row],[Interest earned]]</f>
        <v>31438.799999999999</v>
      </c>
      <c r="T531" s="2">
        <f t="shared" si="49"/>
        <v>3335.7599999999984</v>
      </c>
      <c r="U531" s="2">
        <f t="shared" si="50"/>
        <v>0</v>
      </c>
      <c r="V531" s="2" t="str">
        <f>IF(banking_loan_data[[#This Row],[Loan Status]]="FULLY PAID","GOOD",IF(banking_loan_data[[#This Row],[Loan Status]]="CURRENT","ACTIVE","BAD"))</f>
        <v>GOOD</v>
      </c>
      <c r="W53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31" s="3">
        <f t="shared" si="51"/>
        <v>27798.000000000004</v>
      </c>
      <c r="Y531" s="4">
        <f t="shared" si="52"/>
        <v>0.2259999999999999</v>
      </c>
      <c r="Z531" s="2" t="str">
        <f t="shared" si="53"/>
        <v>Normal</v>
      </c>
    </row>
    <row r="532" spans="1:26" x14ac:dyDescent="0.3">
      <c r="A532" t="s">
        <v>1106</v>
      </c>
      <c r="B532" s="1">
        <v>45225</v>
      </c>
      <c r="C532" t="s">
        <v>1107</v>
      </c>
      <c r="D532" t="s">
        <v>18</v>
      </c>
      <c r="E532">
        <v>22927</v>
      </c>
      <c r="F532">
        <v>16.5</v>
      </c>
      <c r="G532">
        <v>60</v>
      </c>
      <c r="H532" t="s">
        <v>26</v>
      </c>
      <c r="I532" t="s">
        <v>27</v>
      </c>
      <c r="J532" t="s">
        <v>32</v>
      </c>
      <c r="K532">
        <v>146841</v>
      </c>
      <c r="L532" t="s">
        <v>22</v>
      </c>
      <c r="M532">
        <v>0.11</v>
      </c>
      <c r="N532">
        <v>0.53</v>
      </c>
      <c r="O532">
        <v>6850.1</v>
      </c>
      <c r="P532">
        <v>0</v>
      </c>
      <c r="Q532">
        <f ca="1">DATEDIF(banking_loan_data[[#This Row],[Issue Date]],TODAY(),"M")</f>
        <v>28</v>
      </c>
      <c r="R532">
        <f t="shared" si="48"/>
        <v>18914.774999999998</v>
      </c>
      <c r="S532">
        <f>+banking_loan_data[[#This Row],[Loan Amount]]+banking_loan_data[[#This Row],[Interest earned]]</f>
        <v>41841.774999999994</v>
      </c>
      <c r="T532" s="2">
        <f t="shared" si="49"/>
        <v>-16076.9</v>
      </c>
      <c r="U532" s="2">
        <f t="shared" si="50"/>
        <v>0</v>
      </c>
      <c r="V532" s="2" t="str">
        <f>IF(banking_loan_data[[#This Row],[Loan Status]]="FULLY PAID","GOOD",IF(banking_loan_data[[#This Row],[Loan Status]]="CURRENT","ACTIVE","BAD"))</f>
        <v>ACTIVE</v>
      </c>
      <c r="W53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32" s="3">
        <f t="shared" si="51"/>
        <v>31524.625</v>
      </c>
      <c r="Y532" s="4">
        <f t="shared" si="52"/>
        <v>-0.7012212675011994</v>
      </c>
      <c r="Z532" s="2" t="str">
        <f t="shared" si="53"/>
        <v>Normal</v>
      </c>
    </row>
    <row r="533" spans="1:26" x14ac:dyDescent="0.3">
      <c r="A533" t="s">
        <v>1108</v>
      </c>
      <c r="B533" s="1">
        <v>45212</v>
      </c>
      <c r="C533" t="s">
        <v>1109</v>
      </c>
      <c r="D533" t="s">
        <v>18</v>
      </c>
      <c r="E533">
        <v>21939</v>
      </c>
      <c r="F533">
        <v>5.6</v>
      </c>
      <c r="G533">
        <v>36</v>
      </c>
      <c r="H533" t="s">
        <v>26</v>
      </c>
      <c r="I533" t="s">
        <v>20</v>
      </c>
      <c r="J533" t="s">
        <v>28</v>
      </c>
      <c r="K533">
        <v>39486</v>
      </c>
      <c r="L533" t="s">
        <v>33</v>
      </c>
      <c r="M533">
        <v>0.28999999999999998</v>
      </c>
      <c r="N533">
        <v>0.56000000000000005</v>
      </c>
      <c r="O533">
        <v>3597.13</v>
      </c>
      <c r="P533">
        <v>0</v>
      </c>
      <c r="Q533">
        <f ca="1">DATEDIF(banking_loan_data[[#This Row],[Issue Date]],TODAY(),"M")</f>
        <v>29</v>
      </c>
      <c r="R533">
        <f t="shared" si="48"/>
        <v>3685.751999999999</v>
      </c>
      <c r="S533">
        <f>+banking_loan_data[[#This Row],[Loan Amount]]+banking_loan_data[[#This Row],[Interest earned]]</f>
        <v>25624.752</v>
      </c>
      <c r="T533" s="2">
        <f t="shared" si="49"/>
        <v>-18341.87</v>
      </c>
      <c r="U533" s="2">
        <f t="shared" si="50"/>
        <v>0</v>
      </c>
      <c r="V533" s="2" t="str">
        <f>IF(banking_loan_data[[#This Row],[Loan Status]]="FULLY PAID","GOOD",IF(banking_loan_data[[#This Row],[Loan Status]]="CURRENT","ACTIVE","BAD"))</f>
        <v>ACTIVE</v>
      </c>
      <c r="W53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33" s="3">
        <f t="shared" si="51"/>
        <v>10238.210526715169</v>
      </c>
      <c r="Y533" s="4">
        <f t="shared" si="52"/>
        <v>-0.83603947308446136</v>
      </c>
      <c r="Z533" s="2" t="str">
        <f t="shared" si="53"/>
        <v>Normal</v>
      </c>
    </row>
    <row r="534" spans="1:26" x14ac:dyDescent="0.3">
      <c r="A534" t="s">
        <v>1110</v>
      </c>
      <c r="B534" s="1">
        <v>44570</v>
      </c>
      <c r="C534" t="s">
        <v>1111</v>
      </c>
      <c r="D534" t="s">
        <v>18</v>
      </c>
      <c r="E534">
        <v>33419</v>
      </c>
      <c r="F534">
        <v>18.5</v>
      </c>
      <c r="G534">
        <v>36</v>
      </c>
      <c r="H534" t="s">
        <v>81</v>
      </c>
      <c r="I534" t="s">
        <v>57</v>
      </c>
      <c r="J534" t="s">
        <v>37</v>
      </c>
      <c r="K534">
        <v>68862</v>
      </c>
      <c r="L534" t="s">
        <v>22</v>
      </c>
      <c r="M534">
        <v>0.11</v>
      </c>
      <c r="N534">
        <v>0.53</v>
      </c>
      <c r="O534">
        <v>12922.67</v>
      </c>
      <c r="P534">
        <v>11291.82</v>
      </c>
      <c r="Q534">
        <f ca="1">DATEDIF(banking_loan_data[[#This Row],[Issue Date]],TODAY(),"M")</f>
        <v>50</v>
      </c>
      <c r="R534">
        <f t="shared" si="48"/>
        <v>18547.545000000002</v>
      </c>
      <c r="S534">
        <f>+banking_loan_data[[#This Row],[Loan Amount]]+banking_loan_data[[#This Row],[Interest earned]]</f>
        <v>51966.544999999998</v>
      </c>
      <c r="T534" s="2">
        <f t="shared" si="49"/>
        <v>-9204.510000000002</v>
      </c>
      <c r="U534" s="2">
        <f t="shared" si="50"/>
        <v>1</v>
      </c>
      <c r="V534" s="2" t="str">
        <f>IF(banking_loan_data[[#This Row],[Loan Status]]="FULLY PAID","GOOD",IF(banking_loan_data[[#This Row],[Loan Status]]="CURRENT","ACTIVE","BAD"))</f>
        <v>BAD</v>
      </c>
      <c r="W53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34" s="3">
        <f t="shared" si="51"/>
        <v>51520.958333333474</v>
      </c>
      <c r="Y534" s="4">
        <f t="shared" si="52"/>
        <v>-0.27542745144977415</v>
      </c>
      <c r="Z534" s="2" t="str">
        <f t="shared" si="53"/>
        <v>Normal</v>
      </c>
    </row>
    <row r="535" spans="1:26" x14ac:dyDescent="0.3">
      <c r="A535" t="s">
        <v>1112</v>
      </c>
      <c r="B535" s="1">
        <v>45285</v>
      </c>
      <c r="C535" t="s">
        <v>1113</v>
      </c>
      <c r="D535" t="s">
        <v>18</v>
      </c>
      <c r="E535">
        <v>13588</v>
      </c>
      <c r="F535">
        <v>5.9</v>
      </c>
      <c r="G535">
        <v>36</v>
      </c>
      <c r="H535" t="s">
        <v>19</v>
      </c>
      <c r="I535" t="s">
        <v>84</v>
      </c>
      <c r="J535" t="s">
        <v>21</v>
      </c>
      <c r="K535">
        <v>88870</v>
      </c>
      <c r="L535" t="s">
        <v>22</v>
      </c>
      <c r="M535">
        <v>0.43</v>
      </c>
      <c r="N535">
        <v>0.88</v>
      </c>
      <c r="O535">
        <v>14389.69</v>
      </c>
      <c r="P535">
        <v>0</v>
      </c>
      <c r="Q535">
        <f ca="1">DATEDIF(banking_loan_data[[#This Row],[Issue Date]],TODAY(),"M")</f>
        <v>26</v>
      </c>
      <c r="R535">
        <f t="shared" si="48"/>
        <v>2405.0760000000005</v>
      </c>
      <c r="S535">
        <f>+banking_loan_data[[#This Row],[Loan Amount]]+banking_loan_data[[#This Row],[Interest earned]]</f>
        <v>15993.076000000001</v>
      </c>
      <c r="T535" s="2">
        <f t="shared" si="49"/>
        <v>801.69000000000051</v>
      </c>
      <c r="U535" s="2">
        <f t="shared" si="50"/>
        <v>0</v>
      </c>
      <c r="V535" s="2" t="str">
        <f>IF(banking_loan_data[[#This Row],[Loan Status]]="FULLY PAID","GOOD",IF(banking_loan_data[[#This Row],[Loan Status]]="CURRENT","ACTIVE","BAD"))</f>
        <v>GOOD</v>
      </c>
      <c r="W53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35" s="3">
        <f t="shared" si="51"/>
        <v>6680.7704046924209</v>
      </c>
      <c r="Y535" s="4">
        <f t="shared" si="52"/>
        <v>5.8999852811304127E-2</v>
      </c>
      <c r="Z535" s="2" t="str">
        <f t="shared" si="53"/>
        <v>High Risk</v>
      </c>
    </row>
    <row r="536" spans="1:26" x14ac:dyDescent="0.3">
      <c r="A536" t="s">
        <v>1114</v>
      </c>
      <c r="B536" s="1">
        <v>44342</v>
      </c>
      <c r="C536" t="s">
        <v>1115</v>
      </c>
      <c r="D536" t="s">
        <v>76</v>
      </c>
      <c r="E536">
        <v>37142</v>
      </c>
      <c r="F536">
        <v>14</v>
      </c>
      <c r="G536">
        <v>36</v>
      </c>
      <c r="H536" t="s">
        <v>19</v>
      </c>
      <c r="I536" t="s">
        <v>57</v>
      </c>
      <c r="J536" t="s">
        <v>21</v>
      </c>
      <c r="K536">
        <v>116694</v>
      </c>
      <c r="L536" t="s">
        <v>29</v>
      </c>
      <c r="M536">
        <v>0.43</v>
      </c>
      <c r="N536">
        <v>0.53</v>
      </c>
      <c r="O536">
        <v>42341.88</v>
      </c>
      <c r="P536">
        <v>0</v>
      </c>
      <c r="Q536">
        <f ca="1">DATEDIF(banking_loan_data[[#This Row],[Issue Date]],TODAY(),"M")</f>
        <v>57</v>
      </c>
      <c r="R536">
        <f t="shared" si="48"/>
        <v>15599.64</v>
      </c>
      <c r="S536">
        <f>+banking_loan_data[[#This Row],[Loan Amount]]+banking_loan_data[[#This Row],[Interest earned]]</f>
        <v>52741.64</v>
      </c>
      <c r="T536" s="2">
        <f t="shared" si="49"/>
        <v>5199.8799999999974</v>
      </c>
      <c r="U536" s="2">
        <f t="shared" si="50"/>
        <v>0</v>
      </c>
      <c r="V536" s="2" t="str">
        <f>IF(banking_loan_data[[#This Row],[Loan Status]]="FULLY PAID","GOOD",IF(banking_loan_data[[#This Row],[Loan Status]]="CURRENT","ACTIVE","BAD"))</f>
        <v>GOOD</v>
      </c>
      <c r="W53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36" s="3">
        <f t="shared" si="51"/>
        <v>43332.333333368675</v>
      </c>
      <c r="Y536" s="4">
        <f t="shared" si="52"/>
        <v>0.13999999999999993</v>
      </c>
      <c r="Z536" s="2" t="str">
        <f t="shared" si="53"/>
        <v>High Risk</v>
      </c>
    </row>
    <row r="537" spans="1:26" x14ac:dyDescent="0.3">
      <c r="A537" t="s">
        <v>1116</v>
      </c>
      <c r="B537" s="1">
        <v>44420</v>
      </c>
      <c r="C537" t="s">
        <v>1117</v>
      </c>
      <c r="D537" t="s">
        <v>46</v>
      </c>
      <c r="E537">
        <v>34397</v>
      </c>
      <c r="F537">
        <v>23.6</v>
      </c>
      <c r="G537">
        <v>60</v>
      </c>
      <c r="H537" t="s">
        <v>19</v>
      </c>
      <c r="I537" t="s">
        <v>20</v>
      </c>
      <c r="J537" t="s">
        <v>28</v>
      </c>
      <c r="K537">
        <v>135996</v>
      </c>
      <c r="L537" t="s">
        <v>22</v>
      </c>
      <c r="M537">
        <v>0.42</v>
      </c>
      <c r="N537">
        <v>0.62</v>
      </c>
      <c r="O537">
        <v>42514.69</v>
      </c>
      <c r="P537">
        <v>0</v>
      </c>
      <c r="Q537">
        <f ca="1">DATEDIF(banking_loan_data[[#This Row],[Issue Date]],TODAY(),"M")</f>
        <v>55</v>
      </c>
      <c r="R537">
        <f t="shared" si="48"/>
        <v>40588.460000000006</v>
      </c>
      <c r="S537">
        <f>+banking_loan_data[[#This Row],[Loan Amount]]+banking_loan_data[[#This Row],[Interest earned]]</f>
        <v>74985.460000000006</v>
      </c>
      <c r="T537" s="2">
        <f t="shared" si="49"/>
        <v>8117.6900000000023</v>
      </c>
      <c r="U537" s="2">
        <f t="shared" si="50"/>
        <v>0</v>
      </c>
      <c r="V537" s="2" t="str">
        <f>IF(banking_loan_data[[#This Row],[Loan Status]]="FULLY PAID","GOOD",IF(banking_loan_data[[#This Row],[Loan Status]]="CURRENT","ACTIVE","BAD"))</f>
        <v>GOOD</v>
      </c>
      <c r="W53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37" s="3">
        <f t="shared" si="51"/>
        <v>67647.433333333334</v>
      </c>
      <c r="Y537" s="4">
        <f t="shared" si="52"/>
        <v>0.23599994185539444</v>
      </c>
      <c r="Z537" s="2" t="str">
        <f t="shared" si="53"/>
        <v>High Risk</v>
      </c>
    </row>
    <row r="538" spans="1:26" x14ac:dyDescent="0.3">
      <c r="A538" t="s">
        <v>1118</v>
      </c>
      <c r="B538" s="1">
        <v>44373</v>
      </c>
      <c r="C538" t="s">
        <v>1119</v>
      </c>
      <c r="D538" t="s">
        <v>40</v>
      </c>
      <c r="E538">
        <v>17653</v>
      </c>
      <c r="F538">
        <v>8.3000000000000007</v>
      </c>
      <c r="G538">
        <v>36</v>
      </c>
      <c r="H538" t="s">
        <v>26</v>
      </c>
      <c r="I538" t="s">
        <v>27</v>
      </c>
      <c r="J538" t="s">
        <v>28</v>
      </c>
      <c r="K538">
        <v>73856</v>
      </c>
      <c r="L538" t="s">
        <v>22</v>
      </c>
      <c r="M538">
        <v>0.21</v>
      </c>
      <c r="N538">
        <v>0.55000000000000004</v>
      </c>
      <c r="O538">
        <v>1110.0899999999999</v>
      </c>
      <c r="P538">
        <v>0</v>
      </c>
      <c r="Q538">
        <f ca="1">DATEDIF(banking_loan_data[[#This Row],[Issue Date]],TODAY(),"M")</f>
        <v>56</v>
      </c>
      <c r="R538">
        <f t="shared" si="48"/>
        <v>4395.5970000000007</v>
      </c>
      <c r="S538">
        <f>+banking_loan_data[[#This Row],[Loan Amount]]+banking_loan_data[[#This Row],[Interest earned]]</f>
        <v>22048.597000000002</v>
      </c>
      <c r="T538" s="2">
        <f t="shared" si="49"/>
        <v>-16542.91</v>
      </c>
      <c r="U538" s="2">
        <f t="shared" si="50"/>
        <v>0</v>
      </c>
      <c r="V538" s="2" t="str">
        <f>IF(banking_loan_data[[#This Row],[Loan Status]]="FULLY PAID","GOOD",IF(banking_loan_data[[#This Row],[Loan Status]]="CURRENT","ACTIVE","BAD"))</f>
        <v>ACTIVE</v>
      </c>
      <c r="W53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38" s="3">
        <f t="shared" si="51"/>
        <v>12209.991740352309</v>
      </c>
      <c r="Y538" s="4">
        <f t="shared" si="52"/>
        <v>-0.93711607092278937</v>
      </c>
      <c r="Z538" s="2" t="str">
        <f t="shared" si="53"/>
        <v>Normal</v>
      </c>
    </row>
    <row r="539" spans="1:26" x14ac:dyDescent="0.3">
      <c r="A539" t="s">
        <v>1120</v>
      </c>
      <c r="B539" s="1">
        <v>45049</v>
      </c>
      <c r="C539" t="s">
        <v>1121</v>
      </c>
      <c r="D539" t="s">
        <v>46</v>
      </c>
      <c r="E539">
        <v>11831</v>
      </c>
      <c r="F539">
        <v>12.8</v>
      </c>
      <c r="G539">
        <v>36</v>
      </c>
      <c r="H539" t="s">
        <v>19</v>
      </c>
      <c r="I539" t="s">
        <v>20</v>
      </c>
      <c r="J539" t="s">
        <v>28</v>
      </c>
      <c r="K539">
        <v>131407</v>
      </c>
      <c r="L539" t="s">
        <v>22</v>
      </c>
      <c r="M539">
        <v>0.43</v>
      </c>
      <c r="N539">
        <v>0.63</v>
      </c>
      <c r="O539">
        <v>13345.37</v>
      </c>
      <c r="P539">
        <v>0</v>
      </c>
      <c r="Q539">
        <f ca="1">DATEDIF(banking_loan_data[[#This Row],[Issue Date]],TODAY(),"M")</f>
        <v>34</v>
      </c>
      <c r="R539">
        <f t="shared" si="48"/>
        <v>4543.1040000000003</v>
      </c>
      <c r="S539">
        <f>+banking_loan_data[[#This Row],[Loan Amount]]+banking_loan_data[[#This Row],[Interest earned]]</f>
        <v>16374.103999999999</v>
      </c>
      <c r="T539" s="2">
        <f t="shared" si="49"/>
        <v>1514.3700000000008</v>
      </c>
      <c r="U539" s="2">
        <f t="shared" si="50"/>
        <v>0</v>
      </c>
      <c r="V539" s="2" t="str">
        <f>IF(banking_loan_data[[#This Row],[Loan Status]]="FULLY PAID","GOOD",IF(banking_loan_data[[#This Row],[Loan Status]]="CURRENT","ACTIVE","BAD"))</f>
        <v>GOOD</v>
      </c>
      <c r="W53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39" s="3">
        <f t="shared" si="51"/>
        <v>12619.733333389739</v>
      </c>
      <c r="Y539" s="4">
        <f t="shared" si="52"/>
        <v>0.12800016904741787</v>
      </c>
      <c r="Z539" s="2" t="str">
        <f t="shared" si="53"/>
        <v>High Risk</v>
      </c>
    </row>
    <row r="540" spans="1:26" x14ac:dyDescent="0.3">
      <c r="A540" t="s">
        <v>1122</v>
      </c>
      <c r="B540" s="1">
        <v>44259</v>
      </c>
      <c r="C540" t="s">
        <v>1123</v>
      </c>
      <c r="D540" t="s">
        <v>50</v>
      </c>
      <c r="E540">
        <v>6724</v>
      </c>
      <c r="F540">
        <v>19.600000000000001</v>
      </c>
      <c r="G540">
        <v>36</v>
      </c>
      <c r="H540" t="s">
        <v>19</v>
      </c>
      <c r="I540" t="s">
        <v>36</v>
      </c>
      <c r="J540" t="s">
        <v>32</v>
      </c>
      <c r="K540">
        <v>130744</v>
      </c>
      <c r="L540" t="s">
        <v>22</v>
      </c>
      <c r="M540">
        <v>0.32</v>
      </c>
      <c r="N540">
        <v>0.54</v>
      </c>
      <c r="O540">
        <v>8041.9</v>
      </c>
      <c r="P540">
        <v>0</v>
      </c>
      <c r="Q540">
        <f ca="1">DATEDIF(banking_loan_data[[#This Row],[Issue Date]],TODAY(),"M")</f>
        <v>60</v>
      </c>
      <c r="R540">
        <f t="shared" si="48"/>
        <v>3953.7120000000009</v>
      </c>
      <c r="S540">
        <f>+banking_loan_data[[#This Row],[Loan Amount]]+banking_loan_data[[#This Row],[Interest earned]]</f>
        <v>10677.712000000001</v>
      </c>
      <c r="T540" s="2">
        <f t="shared" si="49"/>
        <v>1317.8999999999996</v>
      </c>
      <c r="U540" s="2">
        <f t="shared" si="50"/>
        <v>0</v>
      </c>
      <c r="V540" s="2" t="str">
        <f>IF(banking_loan_data[[#This Row],[Loan Status]]="FULLY PAID","GOOD",IF(banking_loan_data[[#This Row],[Loan Status]]="CURRENT","ACTIVE","BAD"))</f>
        <v>GOOD</v>
      </c>
      <c r="W54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40" s="3">
        <f t="shared" si="51"/>
        <v>10982.533333333344</v>
      </c>
      <c r="Y540" s="4">
        <f t="shared" si="52"/>
        <v>0.19599940511600233</v>
      </c>
      <c r="Z540" s="2" t="str">
        <f t="shared" si="53"/>
        <v>Normal</v>
      </c>
    </row>
    <row r="541" spans="1:26" x14ac:dyDescent="0.3">
      <c r="A541" t="s">
        <v>1124</v>
      </c>
      <c r="B541" s="1">
        <v>45023</v>
      </c>
      <c r="C541" t="s">
        <v>1125</v>
      </c>
      <c r="D541" t="s">
        <v>40</v>
      </c>
      <c r="E541">
        <v>12083</v>
      </c>
      <c r="F541">
        <v>22.6</v>
      </c>
      <c r="G541">
        <v>60</v>
      </c>
      <c r="H541" t="s">
        <v>26</v>
      </c>
      <c r="I541" t="s">
        <v>20</v>
      </c>
      <c r="J541" t="s">
        <v>28</v>
      </c>
      <c r="K541">
        <v>116055</v>
      </c>
      <c r="L541" t="s">
        <v>22</v>
      </c>
      <c r="M541">
        <v>0.25</v>
      </c>
      <c r="N541">
        <v>0.8</v>
      </c>
      <c r="O541">
        <v>1690.14</v>
      </c>
      <c r="P541">
        <v>0</v>
      </c>
      <c r="Q541">
        <f ca="1">DATEDIF(banking_loan_data[[#This Row],[Issue Date]],TODAY(),"M")</f>
        <v>35</v>
      </c>
      <c r="R541">
        <f t="shared" si="48"/>
        <v>13653.789999999999</v>
      </c>
      <c r="S541">
        <f>+banking_loan_data[[#This Row],[Loan Amount]]+banking_loan_data[[#This Row],[Interest earned]]</f>
        <v>25736.79</v>
      </c>
      <c r="T541" s="2">
        <f t="shared" si="49"/>
        <v>-10392.86</v>
      </c>
      <c r="U541" s="2">
        <f t="shared" si="50"/>
        <v>0</v>
      </c>
      <c r="V541" s="2" t="str">
        <f>IF(banking_loan_data[[#This Row],[Loan Status]]="FULLY PAID","GOOD",IF(banking_loan_data[[#This Row],[Loan Status]]="CURRENT","ACTIVE","BAD"))</f>
        <v>ACTIVE</v>
      </c>
      <c r="W54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41" s="3">
        <f t="shared" si="51"/>
        <v>22756.316666666669</v>
      </c>
      <c r="Y541" s="4">
        <f t="shared" si="52"/>
        <v>-0.86012248613754871</v>
      </c>
      <c r="Z541" s="2" t="str">
        <f t="shared" si="53"/>
        <v>Normal</v>
      </c>
    </row>
    <row r="542" spans="1:26" x14ac:dyDescent="0.3">
      <c r="A542" t="s">
        <v>1126</v>
      </c>
      <c r="B542" s="1">
        <v>44991</v>
      </c>
      <c r="C542" t="s">
        <v>1127</v>
      </c>
      <c r="D542" t="s">
        <v>76</v>
      </c>
      <c r="E542">
        <v>20816</v>
      </c>
      <c r="F542">
        <v>18.399999999999999</v>
      </c>
      <c r="G542">
        <v>60</v>
      </c>
      <c r="H542" t="s">
        <v>26</v>
      </c>
      <c r="I542" t="s">
        <v>27</v>
      </c>
      <c r="J542" t="s">
        <v>47</v>
      </c>
      <c r="K542">
        <v>61379</v>
      </c>
      <c r="L542" t="s">
        <v>33</v>
      </c>
      <c r="M542">
        <v>0.35</v>
      </c>
      <c r="N542">
        <v>0.56000000000000005</v>
      </c>
      <c r="O542">
        <v>3310.57</v>
      </c>
      <c r="P542">
        <v>0</v>
      </c>
      <c r="Q542">
        <f ca="1">DATEDIF(banking_loan_data[[#This Row],[Issue Date]],TODAY(),"M")</f>
        <v>36</v>
      </c>
      <c r="R542">
        <f t="shared" si="48"/>
        <v>19150.719999999998</v>
      </c>
      <c r="S542">
        <f>+banking_loan_data[[#This Row],[Loan Amount]]+banking_loan_data[[#This Row],[Interest earned]]</f>
        <v>39966.720000000001</v>
      </c>
      <c r="T542" s="2">
        <f t="shared" si="49"/>
        <v>-17505.43</v>
      </c>
      <c r="U542" s="2">
        <f t="shared" si="50"/>
        <v>0</v>
      </c>
      <c r="V542" s="2" t="str">
        <f>IF(banking_loan_data[[#This Row],[Loan Status]]="FULLY PAID","GOOD",IF(banking_loan_data[[#This Row],[Loan Status]]="CURRENT","ACTIVE","BAD"))</f>
        <v>ACTIVE</v>
      </c>
      <c r="W54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42" s="3">
        <f t="shared" si="51"/>
        <v>31917.866666666665</v>
      </c>
      <c r="Y542" s="4">
        <f t="shared" si="52"/>
        <v>-0.84096031898539592</v>
      </c>
      <c r="Z542" s="2" t="str">
        <f t="shared" si="53"/>
        <v>Normal</v>
      </c>
    </row>
    <row r="543" spans="1:26" x14ac:dyDescent="0.3">
      <c r="A543" t="s">
        <v>1128</v>
      </c>
      <c r="B543" s="1">
        <v>44885</v>
      </c>
      <c r="C543" t="s">
        <v>1129</v>
      </c>
      <c r="D543" t="s">
        <v>50</v>
      </c>
      <c r="E543">
        <v>7276</v>
      </c>
      <c r="F543">
        <v>10.199999999999999</v>
      </c>
      <c r="G543">
        <v>36</v>
      </c>
      <c r="H543" t="s">
        <v>19</v>
      </c>
      <c r="I543" t="s">
        <v>73</v>
      </c>
      <c r="J543" t="s">
        <v>37</v>
      </c>
      <c r="K543">
        <v>94729</v>
      </c>
      <c r="L543" t="s">
        <v>22</v>
      </c>
      <c r="M543">
        <v>0.1</v>
      </c>
      <c r="N543">
        <v>0.88</v>
      </c>
      <c r="O543">
        <v>8018.15</v>
      </c>
      <c r="P543">
        <v>0</v>
      </c>
      <c r="Q543">
        <f ca="1">DATEDIF(banking_loan_data[[#This Row],[Issue Date]],TODAY(),"M")</f>
        <v>39</v>
      </c>
      <c r="R543">
        <f t="shared" si="48"/>
        <v>2226.4559999999997</v>
      </c>
      <c r="S543">
        <f>+banking_loan_data[[#This Row],[Loan Amount]]+banking_loan_data[[#This Row],[Interest earned]]</f>
        <v>9502.4560000000001</v>
      </c>
      <c r="T543" s="2">
        <f t="shared" si="49"/>
        <v>742.14999999999964</v>
      </c>
      <c r="U543" s="2">
        <f t="shared" si="50"/>
        <v>0</v>
      </c>
      <c r="V543" s="2" t="str">
        <f>IF(banking_loan_data[[#This Row],[Loan Status]]="FULLY PAID","GOOD",IF(banking_loan_data[[#This Row],[Loan Status]]="CURRENT","ACTIVE","BAD"))</f>
        <v>GOOD</v>
      </c>
      <c r="W54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43" s="3">
        <f t="shared" si="51"/>
        <v>6184.6000014898045</v>
      </c>
      <c r="Y543" s="4">
        <f t="shared" si="52"/>
        <v>0.10199972512369429</v>
      </c>
      <c r="Z543" s="2" t="str">
        <f t="shared" si="53"/>
        <v>High Risk</v>
      </c>
    </row>
    <row r="544" spans="1:26" x14ac:dyDescent="0.3">
      <c r="A544" t="s">
        <v>1130</v>
      </c>
      <c r="B544" s="1">
        <v>44301</v>
      </c>
      <c r="C544" t="s">
        <v>1131</v>
      </c>
      <c r="D544" t="s">
        <v>46</v>
      </c>
      <c r="E544">
        <v>39663</v>
      </c>
      <c r="F544">
        <v>18.5</v>
      </c>
      <c r="G544">
        <v>36</v>
      </c>
      <c r="H544" t="s">
        <v>19</v>
      </c>
      <c r="I544" t="s">
        <v>84</v>
      </c>
      <c r="J544" t="s">
        <v>28</v>
      </c>
      <c r="K544">
        <v>58378</v>
      </c>
      <c r="L544" t="s">
        <v>22</v>
      </c>
      <c r="M544">
        <v>0.16</v>
      </c>
      <c r="N544">
        <v>0.87</v>
      </c>
      <c r="O544">
        <v>47000.66</v>
      </c>
      <c r="P544">
        <v>0</v>
      </c>
      <c r="Q544">
        <f ca="1">DATEDIF(banking_loan_data[[#This Row],[Issue Date]],TODAY(),"M")</f>
        <v>59</v>
      </c>
      <c r="R544">
        <f t="shared" si="48"/>
        <v>22012.965</v>
      </c>
      <c r="S544">
        <f>+banking_loan_data[[#This Row],[Loan Amount]]+banking_loan_data[[#This Row],[Interest earned]]</f>
        <v>61675.964999999997</v>
      </c>
      <c r="T544" s="2">
        <f t="shared" si="49"/>
        <v>7337.6600000000035</v>
      </c>
      <c r="U544" s="2">
        <f t="shared" si="50"/>
        <v>0</v>
      </c>
      <c r="V544" s="2" t="str">
        <f>IF(banking_loan_data[[#This Row],[Loan Status]]="FULLY PAID","GOOD",IF(banking_loan_data[[#This Row],[Loan Status]]="CURRENT","ACTIVE","BAD"))</f>
        <v>GOOD</v>
      </c>
      <c r="W54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44" s="3">
        <f t="shared" si="51"/>
        <v>61147.12500000016</v>
      </c>
      <c r="Y544" s="4">
        <f t="shared" si="52"/>
        <v>0.18500012606207306</v>
      </c>
      <c r="Z544" s="2" t="str">
        <f t="shared" si="53"/>
        <v>High Risk</v>
      </c>
    </row>
    <row r="545" spans="1:26" x14ac:dyDescent="0.3">
      <c r="A545" t="s">
        <v>1132</v>
      </c>
      <c r="B545" s="1">
        <v>44707</v>
      </c>
      <c r="C545" t="s">
        <v>1133</v>
      </c>
      <c r="D545" t="s">
        <v>50</v>
      </c>
      <c r="E545">
        <v>14994</v>
      </c>
      <c r="F545">
        <v>10.9</v>
      </c>
      <c r="G545">
        <v>60</v>
      </c>
      <c r="H545" t="s">
        <v>26</v>
      </c>
      <c r="I545" t="s">
        <v>20</v>
      </c>
      <c r="J545" t="s">
        <v>32</v>
      </c>
      <c r="K545">
        <v>135428</v>
      </c>
      <c r="L545" t="s">
        <v>33</v>
      </c>
      <c r="M545">
        <v>0.4</v>
      </c>
      <c r="N545">
        <v>0.51</v>
      </c>
      <c r="O545">
        <v>3543.54</v>
      </c>
      <c r="P545">
        <v>0</v>
      </c>
      <c r="Q545">
        <f ca="1">DATEDIF(banking_loan_data[[#This Row],[Issue Date]],TODAY(),"M")</f>
        <v>45</v>
      </c>
      <c r="R545">
        <f t="shared" si="48"/>
        <v>8171.73</v>
      </c>
      <c r="S545">
        <f>+banking_loan_data[[#This Row],[Loan Amount]]+banking_loan_data[[#This Row],[Interest earned]]</f>
        <v>23165.73</v>
      </c>
      <c r="T545" s="2">
        <f t="shared" si="49"/>
        <v>-11450.46</v>
      </c>
      <c r="U545" s="2">
        <f t="shared" si="50"/>
        <v>0</v>
      </c>
      <c r="V545" s="2" t="str">
        <f>IF(banking_loan_data[[#This Row],[Loan Status]]="FULLY PAID","GOOD",IF(banking_loan_data[[#This Row],[Loan Status]]="CURRENT","ACTIVE","BAD"))</f>
        <v>ACTIVE</v>
      </c>
      <c r="W54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45" s="3">
        <f t="shared" si="51"/>
        <v>13619.55</v>
      </c>
      <c r="Y545" s="4">
        <f t="shared" si="52"/>
        <v>-0.76366946778711475</v>
      </c>
      <c r="Z545" s="2" t="str">
        <f t="shared" si="53"/>
        <v>Normal</v>
      </c>
    </row>
    <row r="546" spans="1:26" x14ac:dyDescent="0.3">
      <c r="A546" t="s">
        <v>1134</v>
      </c>
      <c r="B546" s="1">
        <v>44581</v>
      </c>
      <c r="C546" t="s">
        <v>1135</v>
      </c>
      <c r="D546" t="s">
        <v>72</v>
      </c>
      <c r="E546">
        <v>24499</v>
      </c>
      <c r="F546">
        <v>19.399999999999999</v>
      </c>
      <c r="G546">
        <v>60</v>
      </c>
      <c r="H546" t="s">
        <v>19</v>
      </c>
      <c r="I546" t="s">
        <v>27</v>
      </c>
      <c r="J546" t="s">
        <v>37</v>
      </c>
      <c r="K546">
        <v>84353</v>
      </c>
      <c r="L546" t="s">
        <v>33</v>
      </c>
      <c r="M546">
        <v>0.2</v>
      </c>
      <c r="N546">
        <v>0.9</v>
      </c>
      <c r="O546">
        <v>29251.81</v>
      </c>
      <c r="P546">
        <v>0</v>
      </c>
      <c r="Q546">
        <f ca="1">DATEDIF(banking_loan_data[[#This Row],[Issue Date]],TODAY(),"M")</f>
        <v>49</v>
      </c>
      <c r="R546">
        <f t="shared" si="48"/>
        <v>23764.03</v>
      </c>
      <c r="S546">
        <f>+banking_loan_data[[#This Row],[Loan Amount]]+banking_loan_data[[#This Row],[Interest earned]]</f>
        <v>48263.03</v>
      </c>
      <c r="T546" s="2">
        <f t="shared" si="49"/>
        <v>4752.8100000000013</v>
      </c>
      <c r="U546" s="2">
        <f t="shared" si="50"/>
        <v>0</v>
      </c>
      <c r="V546" s="2" t="str">
        <f>IF(banking_loan_data[[#This Row],[Loan Status]]="FULLY PAID","GOOD",IF(banking_loan_data[[#This Row],[Loan Status]]="CURRENT","ACTIVE","BAD"))</f>
        <v>GOOD</v>
      </c>
      <c r="W54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46" s="3">
        <f t="shared" si="51"/>
        <v>39606.71666666666</v>
      </c>
      <c r="Y546" s="4">
        <f t="shared" si="52"/>
        <v>0.19400016327197034</v>
      </c>
      <c r="Z546" s="2" t="str">
        <f t="shared" si="53"/>
        <v>High Risk</v>
      </c>
    </row>
    <row r="547" spans="1:26" x14ac:dyDescent="0.3">
      <c r="A547" t="s">
        <v>1136</v>
      </c>
      <c r="B547" s="1">
        <v>44601</v>
      </c>
      <c r="C547" t="s">
        <v>1137</v>
      </c>
      <c r="D547" t="s">
        <v>50</v>
      </c>
      <c r="E547">
        <v>24040</v>
      </c>
      <c r="F547">
        <v>24.1</v>
      </c>
      <c r="G547">
        <v>60</v>
      </c>
      <c r="H547" t="s">
        <v>26</v>
      </c>
      <c r="I547" t="s">
        <v>73</v>
      </c>
      <c r="J547" t="s">
        <v>21</v>
      </c>
      <c r="K547">
        <v>79996</v>
      </c>
      <c r="L547" t="s">
        <v>22</v>
      </c>
      <c r="M547">
        <v>0.34</v>
      </c>
      <c r="N547">
        <v>0.51</v>
      </c>
      <c r="O547">
        <v>3719.68</v>
      </c>
      <c r="P547">
        <v>0</v>
      </c>
      <c r="Q547">
        <f ca="1">DATEDIF(banking_loan_data[[#This Row],[Issue Date]],TODAY(),"M")</f>
        <v>49</v>
      </c>
      <c r="R547">
        <f t="shared" si="48"/>
        <v>28968.2</v>
      </c>
      <c r="S547">
        <f>+banking_loan_data[[#This Row],[Loan Amount]]+banking_loan_data[[#This Row],[Interest earned]]</f>
        <v>53008.2</v>
      </c>
      <c r="T547" s="2">
        <f t="shared" si="49"/>
        <v>-20320.32</v>
      </c>
      <c r="U547" s="2">
        <f t="shared" si="50"/>
        <v>0</v>
      </c>
      <c r="V547" s="2" t="str">
        <f>IF(banking_loan_data[[#This Row],[Loan Status]]="FULLY PAID","GOOD",IF(banking_loan_data[[#This Row],[Loan Status]]="CURRENT","ACTIVE","BAD"))</f>
        <v>ACTIVE</v>
      </c>
      <c r="W54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47" s="3">
        <f t="shared" si="51"/>
        <v>48280.333333333336</v>
      </c>
      <c r="Y547" s="4">
        <f t="shared" si="52"/>
        <v>-0.84527121464226285</v>
      </c>
      <c r="Z547" s="2" t="str">
        <f t="shared" si="53"/>
        <v>Normal</v>
      </c>
    </row>
    <row r="548" spans="1:26" x14ac:dyDescent="0.3">
      <c r="A548" t="s">
        <v>1138</v>
      </c>
      <c r="B548" s="1">
        <v>45019</v>
      </c>
      <c r="C548" t="s">
        <v>1139</v>
      </c>
      <c r="D548" t="s">
        <v>40</v>
      </c>
      <c r="E548">
        <v>17959</v>
      </c>
      <c r="F548">
        <v>19.399999999999999</v>
      </c>
      <c r="G548">
        <v>60</v>
      </c>
      <c r="H548" t="s">
        <v>19</v>
      </c>
      <c r="I548" t="s">
        <v>73</v>
      </c>
      <c r="J548" t="s">
        <v>28</v>
      </c>
      <c r="K548">
        <v>44031</v>
      </c>
      <c r="L548" t="s">
        <v>22</v>
      </c>
      <c r="M548">
        <v>0.25</v>
      </c>
      <c r="N548">
        <v>0.61</v>
      </c>
      <c r="O548">
        <v>21443.05</v>
      </c>
      <c r="P548">
        <v>0</v>
      </c>
      <c r="Q548">
        <f ca="1">DATEDIF(banking_loan_data[[#This Row],[Issue Date]],TODAY(),"M")</f>
        <v>35</v>
      </c>
      <c r="R548">
        <f t="shared" si="48"/>
        <v>17420.23</v>
      </c>
      <c r="S548">
        <f>+banking_loan_data[[#This Row],[Loan Amount]]+banking_loan_data[[#This Row],[Interest earned]]</f>
        <v>35379.229999999996</v>
      </c>
      <c r="T548" s="2">
        <f t="shared" si="49"/>
        <v>3484.0499999999993</v>
      </c>
      <c r="U548" s="2">
        <f t="shared" si="50"/>
        <v>0</v>
      </c>
      <c r="V548" s="2" t="str">
        <f>IF(banking_loan_data[[#This Row],[Loan Status]]="FULLY PAID","GOOD",IF(banking_loan_data[[#This Row],[Loan Status]]="CURRENT","ACTIVE","BAD"))</f>
        <v>GOOD</v>
      </c>
      <c r="W54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48" s="3">
        <f t="shared" si="51"/>
        <v>29033.716666666664</v>
      </c>
      <c r="Y548" s="4">
        <f t="shared" si="52"/>
        <v>0.19400022272955061</v>
      </c>
      <c r="Z548" s="2" t="str">
        <f t="shared" si="53"/>
        <v>Normal</v>
      </c>
    </row>
    <row r="549" spans="1:26" x14ac:dyDescent="0.3">
      <c r="A549" t="s">
        <v>1140</v>
      </c>
      <c r="B549" s="1">
        <v>44714</v>
      </c>
      <c r="C549" t="s">
        <v>1141</v>
      </c>
      <c r="D549" t="s">
        <v>18</v>
      </c>
      <c r="E549">
        <v>7099</v>
      </c>
      <c r="F549">
        <v>22.3</v>
      </c>
      <c r="G549">
        <v>60</v>
      </c>
      <c r="H549" t="s">
        <v>81</v>
      </c>
      <c r="I549" t="s">
        <v>73</v>
      </c>
      <c r="J549" t="s">
        <v>37</v>
      </c>
      <c r="K549">
        <v>110072</v>
      </c>
      <c r="L549" t="s">
        <v>22</v>
      </c>
      <c r="M549">
        <v>0.44</v>
      </c>
      <c r="N549">
        <v>0.51</v>
      </c>
      <c r="O549">
        <v>1756.33</v>
      </c>
      <c r="P549">
        <v>874.52</v>
      </c>
      <c r="Q549">
        <f ca="1">DATEDIF(banking_loan_data[[#This Row],[Issue Date]],TODAY(),"M")</f>
        <v>45</v>
      </c>
      <c r="R549">
        <f t="shared" si="48"/>
        <v>7915.3850000000011</v>
      </c>
      <c r="S549">
        <f>+banking_loan_data[[#This Row],[Loan Amount]]+banking_loan_data[[#This Row],[Interest earned]]</f>
        <v>15014.385000000002</v>
      </c>
      <c r="T549" s="2">
        <f t="shared" si="49"/>
        <v>-4468.1499999999996</v>
      </c>
      <c r="U549" s="2">
        <f t="shared" si="50"/>
        <v>1</v>
      </c>
      <c r="V549" s="2" t="str">
        <f>IF(banking_loan_data[[#This Row],[Loan Status]]="FULLY PAID","GOOD",IF(banking_loan_data[[#This Row],[Loan Status]]="CURRENT","ACTIVE","BAD"))</f>
        <v>BAD</v>
      </c>
      <c r="W54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49" s="3">
        <f t="shared" si="51"/>
        <v>13192.308333333334</v>
      </c>
      <c r="Y549" s="4">
        <f t="shared" si="52"/>
        <v>-0.62940555007747567</v>
      </c>
      <c r="Z549" s="2" t="str">
        <f t="shared" si="53"/>
        <v>High Risk</v>
      </c>
    </row>
    <row r="550" spans="1:26" x14ac:dyDescent="0.3">
      <c r="A550" t="s">
        <v>1142</v>
      </c>
      <c r="B550" s="1">
        <v>44672</v>
      </c>
      <c r="C550" t="s">
        <v>1143</v>
      </c>
      <c r="D550" t="s">
        <v>18</v>
      </c>
      <c r="E550">
        <v>20576</v>
      </c>
      <c r="F550">
        <v>5</v>
      </c>
      <c r="G550">
        <v>60</v>
      </c>
      <c r="H550" t="s">
        <v>19</v>
      </c>
      <c r="I550" t="s">
        <v>27</v>
      </c>
      <c r="J550" t="s">
        <v>21</v>
      </c>
      <c r="K550">
        <v>95982</v>
      </c>
      <c r="L550" t="s">
        <v>29</v>
      </c>
      <c r="M550">
        <v>0.48</v>
      </c>
      <c r="N550">
        <v>0.65</v>
      </c>
      <c r="O550">
        <v>21604.799999999999</v>
      </c>
      <c r="P550">
        <v>0</v>
      </c>
      <c r="Q550">
        <f ca="1">DATEDIF(banking_loan_data[[#This Row],[Issue Date]],TODAY(),"M")</f>
        <v>46</v>
      </c>
      <c r="R550">
        <f t="shared" si="48"/>
        <v>5144</v>
      </c>
      <c r="S550">
        <f>+banking_loan_data[[#This Row],[Loan Amount]]+banking_loan_data[[#This Row],[Interest earned]]</f>
        <v>25720</v>
      </c>
      <c r="T550" s="2">
        <f t="shared" si="49"/>
        <v>1028.7999999999993</v>
      </c>
      <c r="U550" s="2">
        <f t="shared" si="50"/>
        <v>0</v>
      </c>
      <c r="V550" s="2" t="str">
        <f>IF(banking_loan_data[[#This Row],[Loan Status]]="FULLY PAID","GOOD",IF(banking_loan_data[[#This Row],[Loan Status]]="CURRENT","ACTIVE","BAD"))</f>
        <v>GOOD</v>
      </c>
      <c r="W55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50" s="3">
        <f t="shared" si="51"/>
        <v>8573.3333405293015</v>
      </c>
      <c r="Y550" s="4">
        <f t="shared" si="52"/>
        <v>4.9999999999999968E-2</v>
      </c>
      <c r="Z550" s="2" t="str">
        <f t="shared" si="53"/>
        <v>High Risk</v>
      </c>
    </row>
    <row r="551" spans="1:26" x14ac:dyDescent="0.3">
      <c r="A551" t="s">
        <v>1144</v>
      </c>
      <c r="B551" s="1">
        <v>44905</v>
      </c>
      <c r="C551" t="s">
        <v>1145</v>
      </c>
      <c r="D551" t="s">
        <v>53</v>
      </c>
      <c r="E551">
        <v>36946</v>
      </c>
      <c r="F551">
        <v>19.399999999999999</v>
      </c>
      <c r="G551">
        <v>60</v>
      </c>
      <c r="H551" t="s">
        <v>19</v>
      </c>
      <c r="I551" t="s">
        <v>36</v>
      </c>
      <c r="J551" t="s">
        <v>32</v>
      </c>
      <c r="K551">
        <v>66683</v>
      </c>
      <c r="L551" t="s">
        <v>29</v>
      </c>
      <c r="M551">
        <v>0.45</v>
      </c>
      <c r="N551">
        <v>0.73</v>
      </c>
      <c r="O551">
        <v>44113.52</v>
      </c>
      <c r="P551">
        <v>0</v>
      </c>
      <c r="Q551">
        <f ca="1">DATEDIF(banking_loan_data[[#This Row],[Issue Date]],TODAY(),"M")</f>
        <v>39</v>
      </c>
      <c r="R551">
        <f t="shared" si="48"/>
        <v>35837.619999999995</v>
      </c>
      <c r="S551">
        <f>+banking_loan_data[[#This Row],[Loan Amount]]+banking_loan_data[[#This Row],[Interest earned]]</f>
        <v>72783.62</v>
      </c>
      <c r="T551" s="2">
        <f t="shared" si="49"/>
        <v>7167.5199999999968</v>
      </c>
      <c r="U551" s="2">
        <f t="shared" si="50"/>
        <v>0</v>
      </c>
      <c r="V551" s="2" t="str">
        <f>IF(banking_loan_data[[#This Row],[Loan Status]]="FULLY PAID","GOOD",IF(banking_loan_data[[#This Row],[Loan Status]]="CURRENT","ACTIVE","BAD"))</f>
        <v>GOOD</v>
      </c>
      <c r="W55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51" s="3">
        <f t="shared" si="51"/>
        <v>59729.366666666661</v>
      </c>
      <c r="Y551" s="4">
        <f t="shared" si="52"/>
        <v>0.1939998917338818</v>
      </c>
      <c r="Z551" s="2" t="str">
        <f t="shared" si="53"/>
        <v>High Risk</v>
      </c>
    </row>
    <row r="552" spans="1:26" x14ac:dyDescent="0.3">
      <c r="A552" t="s">
        <v>1146</v>
      </c>
      <c r="B552" s="1">
        <v>44967</v>
      </c>
      <c r="C552" t="s">
        <v>1147</v>
      </c>
      <c r="D552" t="s">
        <v>46</v>
      </c>
      <c r="E552">
        <v>7116</v>
      </c>
      <c r="F552">
        <v>21.6</v>
      </c>
      <c r="G552">
        <v>60</v>
      </c>
      <c r="H552" t="s">
        <v>26</v>
      </c>
      <c r="I552" t="s">
        <v>20</v>
      </c>
      <c r="J552" t="s">
        <v>47</v>
      </c>
      <c r="K552">
        <v>144091</v>
      </c>
      <c r="L552" t="s">
        <v>22</v>
      </c>
      <c r="M552">
        <v>0.21</v>
      </c>
      <c r="N552">
        <v>0.86</v>
      </c>
      <c r="O552">
        <v>3149.61</v>
      </c>
      <c r="P552">
        <v>0</v>
      </c>
      <c r="Q552">
        <f ca="1">DATEDIF(banking_loan_data[[#This Row],[Issue Date]],TODAY(),"M")</f>
        <v>37</v>
      </c>
      <c r="R552">
        <f t="shared" si="48"/>
        <v>7685.28</v>
      </c>
      <c r="S552">
        <f>+banking_loan_data[[#This Row],[Loan Amount]]+banking_loan_data[[#This Row],[Interest earned]]</f>
        <v>14801.279999999999</v>
      </c>
      <c r="T552" s="2">
        <f t="shared" si="49"/>
        <v>-3966.39</v>
      </c>
      <c r="U552" s="2">
        <f t="shared" si="50"/>
        <v>0</v>
      </c>
      <c r="V552" s="2" t="str">
        <f>IF(banking_loan_data[[#This Row],[Loan Status]]="FULLY PAID","GOOD",IF(banking_loan_data[[#This Row],[Loan Status]]="CURRENT","ACTIVE","BAD"))</f>
        <v>ACTIVE</v>
      </c>
      <c r="W55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52" s="3">
        <f t="shared" si="51"/>
        <v>12808.800000000001</v>
      </c>
      <c r="Y552" s="4">
        <f t="shared" si="52"/>
        <v>-0.55739038785834738</v>
      </c>
      <c r="Z552" s="2" t="str">
        <f t="shared" si="53"/>
        <v>High Risk</v>
      </c>
    </row>
    <row r="553" spans="1:26" x14ac:dyDescent="0.3">
      <c r="A553" t="s">
        <v>1148</v>
      </c>
      <c r="B553" s="1">
        <v>45243</v>
      </c>
      <c r="C553" t="s">
        <v>1149</v>
      </c>
      <c r="D553" t="s">
        <v>72</v>
      </c>
      <c r="E553">
        <v>16563</v>
      </c>
      <c r="F553">
        <v>5.8</v>
      </c>
      <c r="G553">
        <v>36</v>
      </c>
      <c r="H553" t="s">
        <v>26</v>
      </c>
      <c r="I553" t="s">
        <v>20</v>
      </c>
      <c r="J553" t="s">
        <v>28</v>
      </c>
      <c r="K553">
        <v>147797</v>
      </c>
      <c r="L553" t="s">
        <v>33</v>
      </c>
      <c r="M553">
        <v>0.18</v>
      </c>
      <c r="N553">
        <v>0.65</v>
      </c>
      <c r="O553">
        <v>6135.41</v>
      </c>
      <c r="P553">
        <v>0</v>
      </c>
      <c r="Q553">
        <f ca="1">DATEDIF(banking_loan_data[[#This Row],[Issue Date]],TODAY(),"M")</f>
        <v>28</v>
      </c>
      <c r="R553">
        <f t="shared" si="48"/>
        <v>2881.962</v>
      </c>
      <c r="S553">
        <f>+banking_loan_data[[#This Row],[Loan Amount]]+banking_loan_data[[#This Row],[Interest earned]]</f>
        <v>19444.962</v>
      </c>
      <c r="T553" s="2">
        <f t="shared" si="49"/>
        <v>-10427.59</v>
      </c>
      <c r="U553" s="2">
        <f t="shared" si="50"/>
        <v>0</v>
      </c>
      <c r="V553" s="2" t="str">
        <f>IF(banking_loan_data[[#This Row],[Loan Status]]="FULLY PAID","GOOD",IF(banking_loan_data[[#This Row],[Loan Status]]="CURRENT","ACTIVE","BAD"))</f>
        <v>ACTIVE</v>
      </c>
      <c r="W55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53" s="3">
        <f t="shared" si="51"/>
        <v>8005.4554801294998</v>
      </c>
      <c r="Y553" s="4">
        <f t="shared" si="52"/>
        <v>-0.6295713336955866</v>
      </c>
      <c r="Z553" s="2" t="str">
        <f t="shared" si="53"/>
        <v>Normal</v>
      </c>
    </row>
    <row r="554" spans="1:26" x14ac:dyDescent="0.3">
      <c r="A554" t="s">
        <v>1150</v>
      </c>
      <c r="B554" s="1">
        <v>45193</v>
      </c>
      <c r="C554" t="s">
        <v>1151</v>
      </c>
      <c r="D554" t="s">
        <v>40</v>
      </c>
      <c r="E554">
        <v>27788</v>
      </c>
      <c r="F554">
        <v>22.4</v>
      </c>
      <c r="G554">
        <v>36</v>
      </c>
      <c r="H554" t="s">
        <v>19</v>
      </c>
      <c r="I554" t="s">
        <v>84</v>
      </c>
      <c r="J554" t="s">
        <v>47</v>
      </c>
      <c r="K554">
        <v>47618</v>
      </c>
      <c r="L554" t="s">
        <v>22</v>
      </c>
      <c r="M554">
        <v>0.28999999999999998</v>
      </c>
      <c r="N554">
        <v>0.82</v>
      </c>
      <c r="O554">
        <v>34012.51</v>
      </c>
      <c r="P554">
        <v>0</v>
      </c>
      <c r="Q554">
        <f ca="1">DATEDIF(banking_loan_data[[#This Row],[Issue Date]],TODAY(),"M")</f>
        <v>29</v>
      </c>
      <c r="R554">
        <f t="shared" si="48"/>
        <v>18673.536</v>
      </c>
      <c r="S554">
        <f>+banking_loan_data[[#This Row],[Loan Amount]]+banking_loan_data[[#This Row],[Interest earned]]</f>
        <v>46461.536</v>
      </c>
      <c r="T554" s="2">
        <f t="shared" si="49"/>
        <v>6224.510000000002</v>
      </c>
      <c r="U554" s="2">
        <f t="shared" si="50"/>
        <v>0</v>
      </c>
      <c r="V554" s="2" t="str">
        <f>IF(banking_loan_data[[#This Row],[Loan Status]]="FULLY PAID","GOOD",IF(banking_loan_data[[#This Row],[Loan Status]]="CURRENT","ACTIVE","BAD"))</f>
        <v>GOOD</v>
      </c>
      <c r="W55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54" s="3">
        <f t="shared" si="51"/>
        <v>51870.933333333327</v>
      </c>
      <c r="Y554" s="4">
        <f t="shared" si="52"/>
        <v>0.22399992802648633</v>
      </c>
      <c r="Z554" s="2" t="str">
        <f t="shared" si="53"/>
        <v>High Risk</v>
      </c>
    </row>
    <row r="555" spans="1:26" x14ac:dyDescent="0.3">
      <c r="A555" t="s">
        <v>1152</v>
      </c>
      <c r="B555" s="1">
        <v>44873</v>
      </c>
      <c r="C555" t="s">
        <v>1153</v>
      </c>
      <c r="D555" t="s">
        <v>40</v>
      </c>
      <c r="E555">
        <v>27928</v>
      </c>
      <c r="F555">
        <v>10.1</v>
      </c>
      <c r="G555">
        <v>36</v>
      </c>
      <c r="H555" t="s">
        <v>26</v>
      </c>
      <c r="I555" t="s">
        <v>20</v>
      </c>
      <c r="J555" t="s">
        <v>32</v>
      </c>
      <c r="K555">
        <v>36587</v>
      </c>
      <c r="L555" t="s">
        <v>33</v>
      </c>
      <c r="M555">
        <v>0.1</v>
      </c>
      <c r="N555">
        <v>0.57999999999999996</v>
      </c>
      <c r="O555">
        <v>8685.1299999999992</v>
      </c>
      <c r="P555">
        <v>0</v>
      </c>
      <c r="Q555">
        <f ca="1">DATEDIF(banking_loan_data[[#This Row],[Issue Date]],TODAY(),"M")</f>
        <v>40</v>
      </c>
      <c r="R555">
        <f t="shared" si="48"/>
        <v>8462.1839999999993</v>
      </c>
      <c r="S555">
        <f>+banking_loan_data[[#This Row],[Loan Amount]]+banking_loan_data[[#This Row],[Interest earned]]</f>
        <v>36390.184000000001</v>
      </c>
      <c r="T555" s="2">
        <f t="shared" si="49"/>
        <v>-19242.870000000003</v>
      </c>
      <c r="U555" s="2">
        <f t="shared" si="50"/>
        <v>0</v>
      </c>
      <c r="V555" s="2" t="str">
        <f>IF(banking_loan_data[[#This Row],[Loan Status]]="FULLY PAID","GOOD",IF(banking_loan_data[[#This Row],[Loan Status]]="CURRENT","ACTIVE","BAD"))</f>
        <v>ACTIVE</v>
      </c>
      <c r="W55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55" s="3">
        <f t="shared" si="51"/>
        <v>23506.066673328332</v>
      </c>
      <c r="Y555" s="4">
        <f t="shared" si="52"/>
        <v>-0.68901711543970223</v>
      </c>
      <c r="Z555" s="2" t="str">
        <f t="shared" si="53"/>
        <v>Normal</v>
      </c>
    </row>
    <row r="556" spans="1:26" x14ac:dyDescent="0.3">
      <c r="A556" t="s">
        <v>1154</v>
      </c>
      <c r="B556" s="1">
        <v>44910</v>
      </c>
      <c r="C556" t="s">
        <v>1155</v>
      </c>
      <c r="D556" t="s">
        <v>56</v>
      </c>
      <c r="E556">
        <v>37336</v>
      </c>
      <c r="F556">
        <v>18.3</v>
      </c>
      <c r="G556">
        <v>36</v>
      </c>
      <c r="H556" t="s">
        <v>19</v>
      </c>
      <c r="I556" t="s">
        <v>41</v>
      </c>
      <c r="J556" t="s">
        <v>37</v>
      </c>
      <c r="K556">
        <v>92790</v>
      </c>
      <c r="L556" t="s">
        <v>33</v>
      </c>
      <c r="M556">
        <v>0.11</v>
      </c>
      <c r="N556">
        <v>0.84</v>
      </c>
      <c r="O556">
        <v>44168.49</v>
      </c>
      <c r="P556">
        <v>0</v>
      </c>
      <c r="Q556">
        <f ca="1">DATEDIF(banking_loan_data[[#This Row],[Issue Date]],TODAY(),"M")</f>
        <v>39</v>
      </c>
      <c r="R556">
        <f t="shared" si="48"/>
        <v>20497.464</v>
      </c>
      <c r="S556">
        <f>+banking_loan_data[[#This Row],[Loan Amount]]+banking_loan_data[[#This Row],[Interest earned]]</f>
        <v>57833.464</v>
      </c>
      <c r="T556" s="2">
        <f t="shared" si="49"/>
        <v>6832.489999999998</v>
      </c>
      <c r="U556" s="2">
        <f t="shared" si="50"/>
        <v>0</v>
      </c>
      <c r="V556" s="2" t="str">
        <f>IF(banking_loan_data[[#This Row],[Loan Status]]="FULLY PAID","GOOD",IF(banking_loan_data[[#This Row],[Loan Status]]="CURRENT","ACTIVE","BAD"))</f>
        <v>GOOD</v>
      </c>
      <c r="W55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56" s="3">
        <f t="shared" si="51"/>
        <v>56937.400000000191</v>
      </c>
      <c r="Y556" s="4">
        <f t="shared" si="52"/>
        <v>0.18300005356760227</v>
      </c>
      <c r="Z556" s="2" t="str">
        <f t="shared" si="53"/>
        <v>High Risk</v>
      </c>
    </row>
    <row r="557" spans="1:26" x14ac:dyDescent="0.3">
      <c r="A557" t="s">
        <v>1156</v>
      </c>
      <c r="B557" s="1">
        <v>44279</v>
      </c>
      <c r="C557" t="s">
        <v>1157</v>
      </c>
      <c r="D557" t="s">
        <v>65</v>
      </c>
      <c r="E557">
        <v>10847</v>
      </c>
      <c r="F557">
        <v>21</v>
      </c>
      <c r="G557">
        <v>36</v>
      </c>
      <c r="H557" t="s">
        <v>81</v>
      </c>
      <c r="I557" t="s">
        <v>73</v>
      </c>
      <c r="J557" t="s">
        <v>37</v>
      </c>
      <c r="K557">
        <v>61480</v>
      </c>
      <c r="L557" t="s">
        <v>33</v>
      </c>
      <c r="M557">
        <v>0.32</v>
      </c>
      <c r="N557">
        <v>0.61</v>
      </c>
      <c r="O557">
        <v>1374.33</v>
      </c>
      <c r="P557">
        <v>4848.7</v>
      </c>
      <c r="Q557">
        <f ca="1">DATEDIF(banking_loan_data[[#This Row],[Issue Date]],TODAY(),"M")</f>
        <v>59</v>
      </c>
      <c r="R557">
        <f t="shared" si="48"/>
        <v>6833.61</v>
      </c>
      <c r="S557">
        <f>+banking_loan_data[[#This Row],[Loan Amount]]+banking_loan_data[[#This Row],[Interest earned]]</f>
        <v>17680.61</v>
      </c>
      <c r="T557" s="2">
        <f t="shared" si="49"/>
        <v>-4623.97</v>
      </c>
      <c r="U557" s="2">
        <f t="shared" si="50"/>
        <v>1</v>
      </c>
      <c r="V557" s="2" t="str">
        <f>IF(banking_loan_data[[#This Row],[Loan Status]]="FULLY PAID","GOOD",IF(banking_loan_data[[#This Row],[Loan Status]]="CURRENT","ACTIVE","BAD"))</f>
        <v>BAD</v>
      </c>
      <c r="W55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57" s="3">
        <f t="shared" si="51"/>
        <v>18982.250000000004</v>
      </c>
      <c r="Y557" s="4">
        <f t="shared" si="52"/>
        <v>-0.42629021849359272</v>
      </c>
      <c r="Z557" s="2" t="str">
        <f t="shared" si="53"/>
        <v>Normal</v>
      </c>
    </row>
    <row r="558" spans="1:26" x14ac:dyDescent="0.3">
      <c r="A558" t="s">
        <v>1158</v>
      </c>
      <c r="B558" s="1">
        <v>44653</v>
      </c>
      <c r="C558" t="s">
        <v>1159</v>
      </c>
      <c r="D558" t="s">
        <v>46</v>
      </c>
      <c r="E558">
        <v>27155</v>
      </c>
      <c r="F558">
        <v>18.3</v>
      </c>
      <c r="G558">
        <v>36</v>
      </c>
      <c r="H558" t="s">
        <v>26</v>
      </c>
      <c r="I558" t="s">
        <v>27</v>
      </c>
      <c r="J558" t="s">
        <v>32</v>
      </c>
      <c r="K558">
        <v>128530</v>
      </c>
      <c r="L558" t="s">
        <v>22</v>
      </c>
      <c r="M558">
        <v>0.31</v>
      </c>
      <c r="N558">
        <v>0.56000000000000005</v>
      </c>
      <c r="O558">
        <v>9838.16</v>
      </c>
      <c r="P558">
        <v>0</v>
      </c>
      <c r="Q558">
        <f ca="1">DATEDIF(banking_loan_data[[#This Row],[Issue Date]],TODAY(),"M")</f>
        <v>47</v>
      </c>
      <c r="R558">
        <f t="shared" si="48"/>
        <v>14908.094999999999</v>
      </c>
      <c r="S558">
        <f>+banking_loan_data[[#This Row],[Loan Amount]]+banking_loan_data[[#This Row],[Interest earned]]</f>
        <v>42063.095000000001</v>
      </c>
      <c r="T558" s="2">
        <f t="shared" si="49"/>
        <v>-17316.84</v>
      </c>
      <c r="U558" s="2">
        <f t="shared" si="50"/>
        <v>0</v>
      </c>
      <c r="V558" s="2" t="str">
        <f>IF(banking_loan_data[[#This Row],[Loan Status]]="FULLY PAID","GOOD",IF(banking_loan_data[[#This Row],[Loan Status]]="CURRENT","ACTIVE","BAD"))</f>
        <v>ACTIVE</v>
      </c>
      <c r="W55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58" s="3">
        <f t="shared" si="51"/>
        <v>41411.375000000146</v>
      </c>
      <c r="Y558" s="4">
        <f t="shared" si="52"/>
        <v>-0.63770355367335663</v>
      </c>
      <c r="Z558" s="2" t="str">
        <f t="shared" si="53"/>
        <v>Normal</v>
      </c>
    </row>
    <row r="559" spans="1:26" x14ac:dyDescent="0.3">
      <c r="A559" t="s">
        <v>1160</v>
      </c>
      <c r="B559" s="1">
        <v>44197</v>
      </c>
      <c r="C559" t="s">
        <v>1161</v>
      </c>
      <c r="D559" t="s">
        <v>40</v>
      </c>
      <c r="E559">
        <v>15135</v>
      </c>
      <c r="F559">
        <v>6.8</v>
      </c>
      <c r="G559">
        <v>60</v>
      </c>
      <c r="H559" t="s">
        <v>19</v>
      </c>
      <c r="I559" t="s">
        <v>20</v>
      </c>
      <c r="J559" t="s">
        <v>32</v>
      </c>
      <c r="K559">
        <v>50527</v>
      </c>
      <c r="L559" t="s">
        <v>22</v>
      </c>
      <c r="M559">
        <v>0.5</v>
      </c>
      <c r="N559">
        <v>0.57999999999999996</v>
      </c>
      <c r="O559">
        <v>16164.18</v>
      </c>
      <c r="P559">
        <v>0</v>
      </c>
      <c r="Q559">
        <f ca="1">DATEDIF(banking_loan_data[[#This Row],[Issue Date]],TODAY(),"M")</f>
        <v>62</v>
      </c>
      <c r="R559">
        <f t="shared" si="48"/>
        <v>5145.9000000000005</v>
      </c>
      <c r="S559">
        <f>+banking_loan_data[[#This Row],[Loan Amount]]+banking_loan_data[[#This Row],[Interest earned]]</f>
        <v>20280.900000000001</v>
      </c>
      <c r="T559" s="2">
        <f t="shared" si="49"/>
        <v>1029.1800000000003</v>
      </c>
      <c r="U559" s="2">
        <f t="shared" si="50"/>
        <v>0</v>
      </c>
      <c r="V559" s="2" t="str">
        <f>IF(banking_loan_data[[#This Row],[Loan Status]]="FULLY PAID","GOOD",IF(banking_loan_data[[#This Row],[Loan Status]]="CURRENT","ACTIVE","BAD"))</f>
        <v>GOOD</v>
      </c>
      <c r="W55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59" s="3">
        <f t="shared" si="51"/>
        <v>8576.5000000171676</v>
      </c>
      <c r="Y559" s="4">
        <f t="shared" si="52"/>
        <v>6.8000000000000019E-2</v>
      </c>
      <c r="Z559" s="2" t="str">
        <f t="shared" si="53"/>
        <v>High Risk</v>
      </c>
    </row>
    <row r="560" spans="1:26" x14ac:dyDescent="0.3">
      <c r="A560" t="s">
        <v>1162</v>
      </c>
      <c r="B560" s="1">
        <v>44247</v>
      </c>
      <c r="C560" t="s">
        <v>1163</v>
      </c>
      <c r="D560" t="s">
        <v>25</v>
      </c>
      <c r="E560">
        <v>18774</v>
      </c>
      <c r="F560">
        <v>16.899999999999999</v>
      </c>
      <c r="G560">
        <v>60</v>
      </c>
      <c r="H560" t="s">
        <v>26</v>
      </c>
      <c r="I560" t="s">
        <v>20</v>
      </c>
      <c r="J560" t="s">
        <v>28</v>
      </c>
      <c r="K560">
        <v>53569</v>
      </c>
      <c r="L560" t="s">
        <v>33</v>
      </c>
      <c r="M560">
        <v>0.18</v>
      </c>
      <c r="N560">
        <v>0.57999999999999996</v>
      </c>
      <c r="O560">
        <v>2344.62</v>
      </c>
      <c r="P560">
        <v>0</v>
      </c>
      <c r="Q560">
        <f ca="1">DATEDIF(banking_loan_data[[#This Row],[Issue Date]],TODAY(),"M")</f>
        <v>60</v>
      </c>
      <c r="R560">
        <f t="shared" si="48"/>
        <v>15864.029999999999</v>
      </c>
      <c r="S560">
        <f>+banking_loan_data[[#This Row],[Loan Amount]]+banking_loan_data[[#This Row],[Interest earned]]</f>
        <v>34638.03</v>
      </c>
      <c r="T560" s="2">
        <f t="shared" si="49"/>
        <v>-16429.38</v>
      </c>
      <c r="U560" s="2">
        <f t="shared" si="50"/>
        <v>0</v>
      </c>
      <c r="V560" s="2" t="str">
        <f>IF(banking_loan_data[[#This Row],[Loan Status]]="FULLY PAID","GOOD",IF(banking_loan_data[[#This Row],[Loan Status]]="CURRENT","ACTIVE","BAD"))</f>
        <v>ACTIVE</v>
      </c>
      <c r="W56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60" s="3">
        <f t="shared" si="51"/>
        <v>26440.05</v>
      </c>
      <c r="Y560" s="4">
        <f t="shared" si="52"/>
        <v>-0.87511345477788438</v>
      </c>
      <c r="Z560" s="2" t="str">
        <f t="shared" si="53"/>
        <v>Normal</v>
      </c>
    </row>
    <row r="561" spans="1:26" x14ac:dyDescent="0.3">
      <c r="A561" t="s">
        <v>1164</v>
      </c>
      <c r="B561" s="1">
        <v>44881</v>
      </c>
      <c r="C561" t="s">
        <v>1165</v>
      </c>
      <c r="D561" t="s">
        <v>40</v>
      </c>
      <c r="E561">
        <v>2742</v>
      </c>
      <c r="F561">
        <v>16</v>
      </c>
      <c r="G561">
        <v>36</v>
      </c>
      <c r="H561" t="s">
        <v>19</v>
      </c>
      <c r="I561" t="s">
        <v>27</v>
      </c>
      <c r="J561" t="s">
        <v>21</v>
      </c>
      <c r="K561">
        <v>41151</v>
      </c>
      <c r="L561" t="s">
        <v>29</v>
      </c>
      <c r="M561">
        <v>0.2</v>
      </c>
      <c r="N561">
        <v>0.73</v>
      </c>
      <c r="O561">
        <v>3180.72</v>
      </c>
      <c r="P561">
        <v>0</v>
      </c>
      <c r="Q561">
        <f ca="1">DATEDIF(banking_loan_data[[#This Row],[Issue Date]],TODAY(),"M")</f>
        <v>40</v>
      </c>
      <c r="R561">
        <f t="shared" si="48"/>
        <v>1316.16</v>
      </c>
      <c r="S561">
        <f>+banking_loan_data[[#This Row],[Loan Amount]]+banking_loan_data[[#This Row],[Interest earned]]</f>
        <v>4058.16</v>
      </c>
      <c r="T561" s="2">
        <f t="shared" si="49"/>
        <v>438.7199999999998</v>
      </c>
      <c r="U561" s="2">
        <f t="shared" si="50"/>
        <v>0</v>
      </c>
      <c r="V561" s="2" t="str">
        <f>IF(banking_loan_data[[#This Row],[Loan Status]]="FULLY PAID","GOOD",IF(banking_loan_data[[#This Row],[Loan Status]]="CURRENT","ACTIVE","BAD"))</f>
        <v>GOOD</v>
      </c>
      <c r="W56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61" s="3">
        <f t="shared" si="51"/>
        <v>3656.0000000002065</v>
      </c>
      <c r="Y561" s="4">
        <f t="shared" si="52"/>
        <v>0.15999999999999992</v>
      </c>
      <c r="Z561" s="2" t="str">
        <f t="shared" si="53"/>
        <v>Normal</v>
      </c>
    </row>
    <row r="562" spans="1:26" x14ac:dyDescent="0.3">
      <c r="A562" t="s">
        <v>1166</v>
      </c>
      <c r="B562" s="1">
        <v>44913</v>
      </c>
      <c r="C562" t="s">
        <v>1167</v>
      </c>
      <c r="D562" t="s">
        <v>56</v>
      </c>
      <c r="E562">
        <v>19309</v>
      </c>
      <c r="F562">
        <v>23</v>
      </c>
      <c r="G562">
        <v>36</v>
      </c>
      <c r="H562" t="s">
        <v>19</v>
      </c>
      <c r="I562" t="s">
        <v>36</v>
      </c>
      <c r="J562" t="s">
        <v>47</v>
      </c>
      <c r="K562">
        <v>101094</v>
      </c>
      <c r="L562" t="s">
        <v>29</v>
      </c>
      <c r="M562">
        <v>0.15</v>
      </c>
      <c r="N562">
        <v>0.88</v>
      </c>
      <c r="O562">
        <v>23750.07</v>
      </c>
      <c r="P562">
        <v>0</v>
      </c>
      <c r="Q562">
        <f ca="1">DATEDIF(banking_loan_data[[#This Row],[Issue Date]],TODAY(),"M")</f>
        <v>39</v>
      </c>
      <c r="R562">
        <f t="shared" si="48"/>
        <v>13323.21</v>
      </c>
      <c r="S562">
        <f>+banking_loan_data[[#This Row],[Loan Amount]]+banking_loan_data[[#This Row],[Interest earned]]</f>
        <v>32632.21</v>
      </c>
      <c r="T562" s="2">
        <f t="shared" si="49"/>
        <v>4441.07</v>
      </c>
      <c r="U562" s="2">
        <f t="shared" si="50"/>
        <v>0</v>
      </c>
      <c r="V562" s="2" t="str">
        <f>IF(banking_loan_data[[#This Row],[Loan Status]]="FULLY PAID","GOOD",IF(banking_loan_data[[#This Row],[Loan Status]]="CURRENT","ACTIVE","BAD"))</f>
        <v>GOOD</v>
      </c>
      <c r="W56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62" s="3">
        <f t="shared" si="51"/>
        <v>37008.916666666672</v>
      </c>
      <c r="Y562" s="4">
        <f t="shared" si="52"/>
        <v>0.22999999999999998</v>
      </c>
      <c r="Z562" s="2" t="str">
        <f t="shared" si="53"/>
        <v>High Risk</v>
      </c>
    </row>
    <row r="563" spans="1:26" x14ac:dyDescent="0.3">
      <c r="A563" t="s">
        <v>1168</v>
      </c>
      <c r="B563" s="1">
        <v>44645</v>
      </c>
      <c r="C563" t="s">
        <v>1169</v>
      </c>
      <c r="D563" t="s">
        <v>50</v>
      </c>
      <c r="E563">
        <v>1619</v>
      </c>
      <c r="F563">
        <v>13.1</v>
      </c>
      <c r="G563">
        <v>60</v>
      </c>
      <c r="H563" t="s">
        <v>60</v>
      </c>
      <c r="I563" t="s">
        <v>41</v>
      </c>
      <c r="J563" t="s">
        <v>47</v>
      </c>
      <c r="K563">
        <v>89174</v>
      </c>
      <c r="L563" t="s">
        <v>29</v>
      </c>
      <c r="M563">
        <v>0.47</v>
      </c>
      <c r="N563">
        <v>0.54</v>
      </c>
      <c r="O563">
        <v>0</v>
      </c>
      <c r="P563">
        <v>0</v>
      </c>
      <c r="Q563">
        <f ca="1">DATEDIF(banking_loan_data[[#This Row],[Issue Date]],TODAY(),"M")</f>
        <v>47</v>
      </c>
      <c r="R563">
        <f t="shared" si="48"/>
        <v>1060.4449999999999</v>
      </c>
      <c r="S563">
        <f>+banking_loan_data[[#This Row],[Loan Amount]]+banking_loan_data[[#This Row],[Interest earned]]</f>
        <v>2679.4449999999997</v>
      </c>
      <c r="T563" s="2">
        <f t="shared" si="49"/>
        <v>-1619</v>
      </c>
      <c r="U563" s="2">
        <f t="shared" si="50"/>
        <v>0</v>
      </c>
      <c r="V563" s="2" t="str">
        <f>IF(banking_loan_data[[#This Row],[Loan Status]]="FULLY PAID","GOOD",IF(banking_loan_data[[#This Row],[Loan Status]]="CURRENT","ACTIVE","BAD"))</f>
        <v>BAD</v>
      </c>
      <c r="W56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63" s="3">
        <f t="shared" si="51"/>
        <v>1767.4083333333331</v>
      </c>
      <c r="Y563" s="4">
        <f t="shared" si="52"/>
        <v>-1</v>
      </c>
      <c r="Z563" s="2" t="str">
        <f t="shared" si="53"/>
        <v>High Risk</v>
      </c>
    </row>
    <row r="564" spans="1:26" x14ac:dyDescent="0.3">
      <c r="A564" t="s">
        <v>1170</v>
      </c>
      <c r="B564" s="1">
        <v>45077</v>
      </c>
      <c r="C564" t="s">
        <v>1171</v>
      </c>
      <c r="D564" t="s">
        <v>76</v>
      </c>
      <c r="E564">
        <v>18658</v>
      </c>
      <c r="F564">
        <v>11.4</v>
      </c>
      <c r="G564">
        <v>60</v>
      </c>
      <c r="H564" t="s">
        <v>26</v>
      </c>
      <c r="I564" t="s">
        <v>20</v>
      </c>
      <c r="J564" t="s">
        <v>37</v>
      </c>
      <c r="K564">
        <v>74739</v>
      </c>
      <c r="L564" t="s">
        <v>33</v>
      </c>
      <c r="M564">
        <v>0.41</v>
      </c>
      <c r="N564">
        <v>0.82</v>
      </c>
      <c r="O564">
        <v>7535.32</v>
      </c>
      <c r="P564">
        <v>0</v>
      </c>
      <c r="Q564">
        <f ca="1">DATEDIF(banking_loan_data[[#This Row],[Issue Date]],TODAY(),"M")</f>
        <v>33</v>
      </c>
      <c r="R564">
        <f t="shared" si="48"/>
        <v>10635.060000000001</v>
      </c>
      <c r="S564">
        <f>+banking_loan_data[[#This Row],[Loan Amount]]+banking_loan_data[[#This Row],[Interest earned]]</f>
        <v>29293.06</v>
      </c>
      <c r="T564" s="2">
        <f t="shared" si="49"/>
        <v>-11122.68</v>
      </c>
      <c r="U564" s="2">
        <f t="shared" si="50"/>
        <v>0</v>
      </c>
      <c r="V564" s="2" t="str">
        <f>IF(banking_loan_data[[#This Row],[Loan Status]]="FULLY PAID","GOOD",IF(banking_loan_data[[#This Row],[Loan Status]]="CURRENT","ACTIVE","BAD"))</f>
        <v>ACTIVE</v>
      </c>
      <c r="W56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64" s="3">
        <f t="shared" si="51"/>
        <v>17725.100000000002</v>
      </c>
      <c r="Y564" s="4">
        <f t="shared" si="52"/>
        <v>-0.59613463393718513</v>
      </c>
      <c r="Z564" s="2" t="str">
        <f t="shared" si="53"/>
        <v>High Risk</v>
      </c>
    </row>
    <row r="565" spans="1:26" x14ac:dyDescent="0.3">
      <c r="A565" t="s">
        <v>1172</v>
      </c>
      <c r="B565" s="1">
        <v>44684</v>
      </c>
      <c r="C565" t="s">
        <v>1173</v>
      </c>
      <c r="D565" t="s">
        <v>76</v>
      </c>
      <c r="E565">
        <v>35707</v>
      </c>
      <c r="F565">
        <v>20</v>
      </c>
      <c r="G565">
        <v>60</v>
      </c>
      <c r="H565" t="s">
        <v>19</v>
      </c>
      <c r="I565" t="s">
        <v>20</v>
      </c>
      <c r="J565" t="s">
        <v>37</v>
      </c>
      <c r="K565">
        <v>62954</v>
      </c>
      <c r="L565" t="s">
        <v>22</v>
      </c>
      <c r="M565">
        <v>0.43</v>
      </c>
      <c r="N565">
        <v>0.79</v>
      </c>
      <c r="O565">
        <v>42848.4</v>
      </c>
      <c r="P565">
        <v>0</v>
      </c>
      <c r="Q565">
        <f ca="1">DATEDIF(banking_loan_data[[#This Row],[Issue Date]],TODAY(),"M")</f>
        <v>46</v>
      </c>
      <c r="R565">
        <f t="shared" si="48"/>
        <v>35707</v>
      </c>
      <c r="S565">
        <f>+banking_loan_data[[#This Row],[Loan Amount]]+banking_loan_data[[#This Row],[Interest earned]]</f>
        <v>71414</v>
      </c>
      <c r="T565" s="2">
        <f t="shared" si="49"/>
        <v>7141.4000000000015</v>
      </c>
      <c r="U565" s="2">
        <f t="shared" si="50"/>
        <v>0</v>
      </c>
      <c r="V565" s="2" t="str">
        <f>IF(banking_loan_data[[#This Row],[Loan Status]]="FULLY PAID","GOOD",IF(banking_loan_data[[#This Row],[Loan Status]]="CURRENT","ACTIVE","BAD"))</f>
        <v>GOOD</v>
      </c>
      <c r="W56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65" s="3">
        <f t="shared" si="51"/>
        <v>59511.666666666672</v>
      </c>
      <c r="Y565" s="4">
        <f t="shared" si="52"/>
        <v>0.20000000000000004</v>
      </c>
      <c r="Z565" s="2" t="str">
        <f t="shared" si="53"/>
        <v>High Risk</v>
      </c>
    </row>
    <row r="566" spans="1:26" x14ac:dyDescent="0.3">
      <c r="A566" t="s">
        <v>1174</v>
      </c>
      <c r="B566" s="1">
        <v>44230</v>
      </c>
      <c r="C566" t="s">
        <v>1175</v>
      </c>
      <c r="D566" t="s">
        <v>25</v>
      </c>
      <c r="E566">
        <v>21337</v>
      </c>
      <c r="F566">
        <v>13.3</v>
      </c>
      <c r="G566">
        <v>36</v>
      </c>
      <c r="H566" t="s">
        <v>19</v>
      </c>
      <c r="I566" t="s">
        <v>20</v>
      </c>
      <c r="J566" t="s">
        <v>28</v>
      </c>
      <c r="K566">
        <v>142984</v>
      </c>
      <c r="L566" t="s">
        <v>33</v>
      </c>
      <c r="M566">
        <v>0.46</v>
      </c>
      <c r="N566">
        <v>0.89</v>
      </c>
      <c r="O566">
        <v>24174.82</v>
      </c>
      <c r="P566">
        <v>0</v>
      </c>
      <c r="Q566">
        <f ca="1">DATEDIF(banking_loan_data[[#This Row],[Issue Date]],TODAY(),"M")</f>
        <v>61</v>
      </c>
      <c r="R566">
        <f t="shared" si="48"/>
        <v>8513.4630000000016</v>
      </c>
      <c r="S566">
        <f>+banking_loan_data[[#This Row],[Loan Amount]]+banking_loan_data[[#This Row],[Interest earned]]</f>
        <v>29850.463000000003</v>
      </c>
      <c r="T566" s="2">
        <f t="shared" si="49"/>
        <v>2837.8199999999997</v>
      </c>
      <c r="U566" s="2">
        <f t="shared" si="50"/>
        <v>0</v>
      </c>
      <c r="V566" s="2" t="str">
        <f>IF(banking_loan_data[[#This Row],[Loan Status]]="FULLY PAID","GOOD",IF(banking_loan_data[[#This Row],[Loan Status]]="CURRENT","ACTIVE","BAD"))</f>
        <v>GOOD</v>
      </c>
      <c r="W56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66" s="3">
        <f t="shared" si="51"/>
        <v>23648.508333384856</v>
      </c>
      <c r="Y566" s="4">
        <f t="shared" si="52"/>
        <v>0.13299995313305524</v>
      </c>
      <c r="Z566" s="2" t="str">
        <f t="shared" si="53"/>
        <v>High Risk</v>
      </c>
    </row>
    <row r="567" spans="1:26" x14ac:dyDescent="0.3">
      <c r="A567" t="s">
        <v>1176</v>
      </c>
      <c r="B567" s="1">
        <v>44291</v>
      </c>
      <c r="C567" t="s">
        <v>1177</v>
      </c>
      <c r="D567" t="s">
        <v>25</v>
      </c>
      <c r="E567">
        <v>17001</v>
      </c>
      <c r="F567">
        <v>17.899999999999999</v>
      </c>
      <c r="G567">
        <v>60</v>
      </c>
      <c r="H567" t="s">
        <v>19</v>
      </c>
      <c r="I567" t="s">
        <v>84</v>
      </c>
      <c r="J567" t="s">
        <v>32</v>
      </c>
      <c r="K567">
        <v>142863</v>
      </c>
      <c r="L567" t="s">
        <v>29</v>
      </c>
      <c r="M567">
        <v>0.31</v>
      </c>
      <c r="N567">
        <v>0.61</v>
      </c>
      <c r="O567">
        <v>20044.18</v>
      </c>
      <c r="P567">
        <v>0</v>
      </c>
      <c r="Q567">
        <f ca="1">DATEDIF(banking_loan_data[[#This Row],[Issue Date]],TODAY(),"M")</f>
        <v>59</v>
      </c>
      <c r="R567">
        <f t="shared" si="48"/>
        <v>15215.894999999999</v>
      </c>
      <c r="S567">
        <f>+banking_loan_data[[#This Row],[Loan Amount]]+banking_loan_data[[#This Row],[Interest earned]]</f>
        <v>32216.894999999997</v>
      </c>
      <c r="T567" s="2">
        <f t="shared" si="49"/>
        <v>3043.1800000000003</v>
      </c>
      <c r="U567" s="2">
        <f t="shared" si="50"/>
        <v>0</v>
      </c>
      <c r="V567" s="2" t="str">
        <f>IF(banking_loan_data[[#This Row],[Loan Status]]="FULLY PAID","GOOD",IF(banking_loan_data[[#This Row],[Loan Status]]="CURRENT","ACTIVE","BAD"))</f>
        <v>GOOD</v>
      </c>
      <c r="W56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67" s="3">
        <f t="shared" si="51"/>
        <v>25359.824999999997</v>
      </c>
      <c r="Y567" s="4">
        <f t="shared" si="52"/>
        <v>0.17900005882006942</v>
      </c>
      <c r="Z567" s="2" t="str">
        <f t="shared" si="53"/>
        <v>Normal</v>
      </c>
    </row>
    <row r="568" spans="1:26" x14ac:dyDescent="0.3">
      <c r="A568" t="s">
        <v>1178</v>
      </c>
      <c r="B568" s="1">
        <v>44350</v>
      </c>
      <c r="C568" t="s">
        <v>1179</v>
      </c>
      <c r="D568" t="s">
        <v>53</v>
      </c>
      <c r="E568">
        <v>1968</v>
      </c>
      <c r="F568">
        <v>17.899999999999999</v>
      </c>
      <c r="G568">
        <v>36</v>
      </c>
      <c r="H568" t="s">
        <v>60</v>
      </c>
      <c r="I568" t="s">
        <v>57</v>
      </c>
      <c r="J568" t="s">
        <v>47</v>
      </c>
      <c r="K568">
        <v>139373</v>
      </c>
      <c r="L568" t="s">
        <v>22</v>
      </c>
      <c r="M568">
        <v>0.28000000000000003</v>
      </c>
      <c r="N568">
        <v>0.7</v>
      </c>
      <c r="O568">
        <v>0</v>
      </c>
      <c r="P568">
        <v>0</v>
      </c>
      <c r="Q568">
        <f ca="1">DATEDIF(banking_loan_data[[#This Row],[Issue Date]],TODAY(),"M")</f>
        <v>57</v>
      </c>
      <c r="R568">
        <f t="shared" si="48"/>
        <v>1056.816</v>
      </c>
      <c r="S568">
        <f>+banking_loan_data[[#This Row],[Loan Amount]]+banking_loan_data[[#This Row],[Interest earned]]</f>
        <v>3024.8159999999998</v>
      </c>
      <c r="T568" s="2">
        <f t="shared" si="49"/>
        <v>-1968</v>
      </c>
      <c r="U568" s="2">
        <f t="shared" si="50"/>
        <v>0</v>
      </c>
      <c r="V568" s="2" t="str">
        <f>IF(banking_loan_data[[#This Row],[Loan Status]]="FULLY PAID","GOOD",IF(banking_loan_data[[#This Row],[Loan Status]]="CURRENT","ACTIVE","BAD"))</f>
        <v>BAD</v>
      </c>
      <c r="W56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68" s="3">
        <f t="shared" si="51"/>
        <v>2935.6000000000154</v>
      </c>
      <c r="Y568" s="4">
        <f t="shared" si="52"/>
        <v>-1</v>
      </c>
      <c r="Z568" s="2" t="str">
        <f t="shared" si="53"/>
        <v>Normal</v>
      </c>
    </row>
    <row r="569" spans="1:26" x14ac:dyDescent="0.3">
      <c r="A569" t="s">
        <v>1180</v>
      </c>
      <c r="B569" s="1">
        <v>44446</v>
      </c>
      <c r="C569" t="s">
        <v>1181</v>
      </c>
      <c r="D569" t="s">
        <v>76</v>
      </c>
      <c r="E569">
        <v>26892</v>
      </c>
      <c r="F569">
        <v>22.8</v>
      </c>
      <c r="G569">
        <v>36</v>
      </c>
      <c r="H569" t="s">
        <v>19</v>
      </c>
      <c r="I569" t="s">
        <v>20</v>
      </c>
      <c r="J569" t="s">
        <v>28</v>
      </c>
      <c r="K569">
        <v>65303</v>
      </c>
      <c r="L569" t="s">
        <v>33</v>
      </c>
      <c r="M569">
        <v>0.23</v>
      </c>
      <c r="N569">
        <v>0.92</v>
      </c>
      <c r="O569">
        <v>33023.379999999997</v>
      </c>
      <c r="P569">
        <v>0</v>
      </c>
      <c r="Q569">
        <f ca="1">DATEDIF(banking_loan_data[[#This Row],[Issue Date]],TODAY(),"M")</f>
        <v>54</v>
      </c>
      <c r="R569">
        <f t="shared" si="48"/>
        <v>18394.128000000001</v>
      </c>
      <c r="S569">
        <f>+banking_loan_data[[#This Row],[Loan Amount]]+banking_loan_data[[#This Row],[Interest earned]]</f>
        <v>45286.127999999997</v>
      </c>
      <c r="T569" s="2">
        <f t="shared" si="49"/>
        <v>6131.3799999999974</v>
      </c>
      <c r="U569" s="2">
        <f t="shared" si="50"/>
        <v>0</v>
      </c>
      <c r="V569" s="2" t="str">
        <f>IF(banking_loan_data[[#This Row],[Loan Status]]="FULLY PAID","GOOD",IF(banking_loan_data[[#This Row],[Loan Status]]="CURRENT","ACTIVE","BAD"))</f>
        <v>GOOD</v>
      </c>
      <c r="W56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69" s="3">
        <f t="shared" si="51"/>
        <v>51094.8</v>
      </c>
      <c r="Y569" s="4">
        <f t="shared" si="52"/>
        <v>0.22800014874312052</v>
      </c>
      <c r="Z569" s="2" t="str">
        <f t="shared" si="53"/>
        <v>High Risk</v>
      </c>
    </row>
    <row r="570" spans="1:26" x14ac:dyDescent="0.3">
      <c r="A570" t="s">
        <v>1182</v>
      </c>
      <c r="B570" s="1">
        <v>44870</v>
      </c>
      <c r="C570" t="s">
        <v>1183</v>
      </c>
      <c r="D570" t="s">
        <v>50</v>
      </c>
      <c r="E570">
        <v>26619</v>
      </c>
      <c r="F570">
        <v>17</v>
      </c>
      <c r="G570">
        <v>60</v>
      </c>
      <c r="H570" t="s">
        <v>19</v>
      </c>
      <c r="I570" t="s">
        <v>20</v>
      </c>
      <c r="J570" t="s">
        <v>37</v>
      </c>
      <c r="K570">
        <v>64700</v>
      </c>
      <c r="L570" t="s">
        <v>33</v>
      </c>
      <c r="M570">
        <v>0.34</v>
      </c>
      <c r="N570">
        <v>0.8</v>
      </c>
      <c r="O570">
        <v>31144.23</v>
      </c>
      <c r="P570">
        <v>0</v>
      </c>
      <c r="Q570">
        <f ca="1">DATEDIF(banking_loan_data[[#This Row],[Issue Date]],TODAY(),"M")</f>
        <v>40</v>
      </c>
      <c r="R570">
        <f t="shared" si="48"/>
        <v>22626.149999999998</v>
      </c>
      <c r="S570">
        <f>+banking_loan_data[[#This Row],[Loan Amount]]+banking_loan_data[[#This Row],[Interest earned]]</f>
        <v>49245.149999999994</v>
      </c>
      <c r="T570" s="2">
        <f t="shared" si="49"/>
        <v>4525.2299999999996</v>
      </c>
      <c r="U570" s="2">
        <f t="shared" si="50"/>
        <v>0</v>
      </c>
      <c r="V570" s="2" t="str">
        <f>IF(banking_loan_data[[#This Row],[Loan Status]]="FULLY PAID","GOOD",IF(banking_loan_data[[#This Row],[Loan Status]]="CURRENT","ACTIVE","BAD"))</f>
        <v>GOOD</v>
      </c>
      <c r="W57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70" s="3">
        <f t="shared" si="51"/>
        <v>37710.25</v>
      </c>
      <c r="Y570" s="4">
        <f t="shared" si="52"/>
        <v>0.16999999999999998</v>
      </c>
      <c r="Z570" s="2" t="str">
        <f t="shared" si="53"/>
        <v>Normal</v>
      </c>
    </row>
    <row r="571" spans="1:26" x14ac:dyDescent="0.3">
      <c r="A571" t="s">
        <v>1184</v>
      </c>
      <c r="B571" s="1">
        <v>44634</v>
      </c>
      <c r="C571" t="s">
        <v>1185</v>
      </c>
      <c r="D571" t="s">
        <v>76</v>
      </c>
      <c r="E571">
        <v>1281</v>
      </c>
      <c r="F571">
        <v>15</v>
      </c>
      <c r="G571">
        <v>60</v>
      </c>
      <c r="H571" t="s">
        <v>19</v>
      </c>
      <c r="I571" t="s">
        <v>57</v>
      </c>
      <c r="J571" t="s">
        <v>37</v>
      </c>
      <c r="K571">
        <v>123036</v>
      </c>
      <c r="L571" t="s">
        <v>29</v>
      </c>
      <c r="M571">
        <v>0.28000000000000003</v>
      </c>
      <c r="N571">
        <v>0.67</v>
      </c>
      <c r="O571">
        <v>1473.15</v>
      </c>
      <c r="P571">
        <v>0</v>
      </c>
      <c r="Q571">
        <f ca="1">DATEDIF(banking_loan_data[[#This Row],[Issue Date]],TODAY(),"M")</f>
        <v>48</v>
      </c>
      <c r="R571">
        <f t="shared" si="48"/>
        <v>960.75</v>
      </c>
      <c r="S571">
        <f>+banking_loan_data[[#This Row],[Loan Amount]]+banking_loan_data[[#This Row],[Interest earned]]</f>
        <v>2241.75</v>
      </c>
      <c r="T571" s="2">
        <f t="shared" si="49"/>
        <v>192.15000000000009</v>
      </c>
      <c r="U571" s="2">
        <f t="shared" si="50"/>
        <v>0</v>
      </c>
      <c r="V571" s="2" t="str">
        <f>IF(banking_loan_data[[#This Row],[Loan Status]]="FULLY PAID","GOOD",IF(banking_loan_data[[#This Row],[Loan Status]]="CURRENT","ACTIVE","BAD"))</f>
        <v>GOOD</v>
      </c>
      <c r="W57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71" s="3">
        <f t="shared" si="51"/>
        <v>1601.25</v>
      </c>
      <c r="Y571" s="4">
        <f t="shared" si="52"/>
        <v>0.15000000000000008</v>
      </c>
      <c r="Z571" s="2" t="str">
        <f t="shared" si="53"/>
        <v>Normal</v>
      </c>
    </row>
    <row r="572" spans="1:26" x14ac:dyDescent="0.3">
      <c r="A572" t="s">
        <v>1186</v>
      </c>
      <c r="B572" s="1">
        <v>44314</v>
      </c>
      <c r="C572" t="s">
        <v>1187</v>
      </c>
      <c r="D572" t="s">
        <v>65</v>
      </c>
      <c r="E572">
        <v>28420</v>
      </c>
      <c r="F572">
        <v>7.8</v>
      </c>
      <c r="G572">
        <v>36</v>
      </c>
      <c r="H572" t="s">
        <v>19</v>
      </c>
      <c r="I572" t="s">
        <v>41</v>
      </c>
      <c r="J572" t="s">
        <v>47</v>
      </c>
      <c r="K572">
        <v>97568</v>
      </c>
      <c r="L572" t="s">
        <v>33</v>
      </c>
      <c r="M572">
        <v>0.28000000000000003</v>
      </c>
      <c r="N572">
        <v>0.56000000000000005</v>
      </c>
      <c r="O572">
        <v>30636.76</v>
      </c>
      <c r="P572">
        <v>0</v>
      </c>
      <c r="Q572">
        <f ca="1">DATEDIF(banking_loan_data[[#This Row],[Issue Date]],TODAY(),"M")</f>
        <v>58</v>
      </c>
      <c r="R572">
        <f t="shared" si="48"/>
        <v>6650.2800000000016</v>
      </c>
      <c r="S572">
        <f>+banking_loan_data[[#This Row],[Loan Amount]]+banking_loan_data[[#This Row],[Interest earned]]</f>
        <v>35070.28</v>
      </c>
      <c r="T572" s="2">
        <f t="shared" si="49"/>
        <v>2216.7599999999984</v>
      </c>
      <c r="U572" s="2">
        <f t="shared" si="50"/>
        <v>0</v>
      </c>
      <c r="V572" s="2" t="str">
        <f>IF(banking_loan_data[[#This Row],[Loan Status]]="FULLY PAID","GOOD",IF(banking_loan_data[[#This Row],[Loan Status]]="CURRENT","ACTIVE","BAD"))</f>
        <v>GOOD</v>
      </c>
      <c r="W57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72" s="3">
        <f t="shared" si="51"/>
        <v>18473.000273599591</v>
      </c>
      <c r="Y572" s="4">
        <f t="shared" si="52"/>
        <v>7.7999999999999944E-2</v>
      </c>
      <c r="Z572" s="2" t="str">
        <f t="shared" si="53"/>
        <v>Normal</v>
      </c>
    </row>
    <row r="573" spans="1:26" x14ac:dyDescent="0.3">
      <c r="A573" t="s">
        <v>1188</v>
      </c>
      <c r="B573" s="1">
        <v>44967</v>
      </c>
      <c r="C573" t="s">
        <v>1189</v>
      </c>
      <c r="D573" t="s">
        <v>46</v>
      </c>
      <c r="E573">
        <v>16360</v>
      </c>
      <c r="F573">
        <v>7.3</v>
      </c>
      <c r="G573">
        <v>60</v>
      </c>
      <c r="H573" t="s">
        <v>19</v>
      </c>
      <c r="I573" t="s">
        <v>73</v>
      </c>
      <c r="J573" t="s">
        <v>37</v>
      </c>
      <c r="K573">
        <v>96788</v>
      </c>
      <c r="L573" t="s">
        <v>22</v>
      </c>
      <c r="M573">
        <v>0.47</v>
      </c>
      <c r="N573">
        <v>0.62</v>
      </c>
      <c r="O573">
        <v>17554.28</v>
      </c>
      <c r="P573">
        <v>0</v>
      </c>
      <c r="Q573">
        <f ca="1">DATEDIF(banking_loan_data[[#This Row],[Issue Date]],TODAY(),"M")</f>
        <v>37</v>
      </c>
      <c r="R573">
        <f t="shared" si="48"/>
        <v>5971.4000000000005</v>
      </c>
      <c r="S573">
        <f>+banking_loan_data[[#This Row],[Loan Amount]]+banking_loan_data[[#This Row],[Interest earned]]</f>
        <v>22331.4</v>
      </c>
      <c r="T573" s="2">
        <f t="shared" si="49"/>
        <v>1194.2799999999988</v>
      </c>
      <c r="U573" s="2">
        <f t="shared" si="50"/>
        <v>0</v>
      </c>
      <c r="V573" s="2" t="str">
        <f>IF(banking_loan_data[[#This Row],[Loan Status]]="FULLY PAID","GOOD",IF(banking_loan_data[[#This Row],[Loan Status]]="CURRENT","ACTIVE","BAD"))</f>
        <v>GOOD</v>
      </c>
      <c r="W57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73" s="3">
        <f t="shared" si="51"/>
        <v>9952.3333333374576</v>
      </c>
      <c r="Y573" s="4">
        <f t="shared" si="52"/>
        <v>7.2999999999999926E-2</v>
      </c>
      <c r="Z573" s="2" t="str">
        <f t="shared" si="53"/>
        <v>High Risk</v>
      </c>
    </row>
    <row r="574" spans="1:26" x14ac:dyDescent="0.3">
      <c r="A574" t="s">
        <v>1190</v>
      </c>
      <c r="B574" s="1">
        <v>44464</v>
      </c>
      <c r="C574" t="s">
        <v>1191</v>
      </c>
      <c r="D574" t="s">
        <v>76</v>
      </c>
      <c r="E574">
        <v>2058</v>
      </c>
      <c r="F574">
        <v>8.1</v>
      </c>
      <c r="G574">
        <v>60</v>
      </c>
      <c r="H574" t="s">
        <v>19</v>
      </c>
      <c r="I574" t="s">
        <v>20</v>
      </c>
      <c r="J574" t="s">
        <v>37</v>
      </c>
      <c r="K574">
        <v>101045</v>
      </c>
      <c r="L574" t="s">
        <v>29</v>
      </c>
      <c r="M574">
        <v>0.49</v>
      </c>
      <c r="N574">
        <v>0.76</v>
      </c>
      <c r="O574">
        <v>2224.6999999999998</v>
      </c>
      <c r="P574">
        <v>0</v>
      </c>
      <c r="Q574">
        <f ca="1">DATEDIF(banking_loan_data[[#This Row],[Issue Date]],TODAY(),"M")</f>
        <v>53</v>
      </c>
      <c r="R574">
        <f t="shared" si="48"/>
        <v>833.4899999999999</v>
      </c>
      <c r="S574">
        <f>+banking_loan_data[[#This Row],[Loan Amount]]+banking_loan_data[[#This Row],[Interest earned]]</f>
        <v>2891.49</v>
      </c>
      <c r="T574" s="2">
        <f t="shared" si="49"/>
        <v>166.69999999999982</v>
      </c>
      <c r="U574" s="2">
        <f t="shared" si="50"/>
        <v>0</v>
      </c>
      <c r="V574" s="2" t="str">
        <f>IF(banking_loan_data[[#This Row],[Loan Status]]="FULLY PAID","GOOD",IF(banking_loan_data[[#This Row],[Loan Status]]="CURRENT","ACTIVE","BAD"))</f>
        <v>GOOD</v>
      </c>
      <c r="W57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74" s="3">
        <f t="shared" si="51"/>
        <v>1389.1500000000501</v>
      </c>
      <c r="Y574" s="4">
        <f t="shared" si="52"/>
        <v>8.1000971817298262E-2</v>
      </c>
      <c r="Z574" s="2" t="str">
        <f t="shared" si="53"/>
        <v>High Risk</v>
      </c>
    </row>
    <row r="575" spans="1:26" x14ac:dyDescent="0.3">
      <c r="A575" t="s">
        <v>1192</v>
      </c>
      <c r="B575" s="1">
        <v>45274</v>
      </c>
      <c r="C575" t="s">
        <v>1193</v>
      </c>
      <c r="D575" t="s">
        <v>18</v>
      </c>
      <c r="E575">
        <v>21677</v>
      </c>
      <c r="F575">
        <v>8.4</v>
      </c>
      <c r="G575">
        <v>36</v>
      </c>
      <c r="H575" t="s">
        <v>19</v>
      </c>
      <c r="I575" t="s">
        <v>57</v>
      </c>
      <c r="J575" t="s">
        <v>21</v>
      </c>
      <c r="K575">
        <v>67842</v>
      </c>
      <c r="L575" t="s">
        <v>29</v>
      </c>
      <c r="M575">
        <v>0.42</v>
      </c>
      <c r="N575">
        <v>0.82</v>
      </c>
      <c r="O575">
        <v>23497.87</v>
      </c>
      <c r="P575">
        <v>0</v>
      </c>
      <c r="Q575">
        <f ca="1">DATEDIF(banking_loan_data[[#This Row],[Issue Date]],TODAY(),"M")</f>
        <v>27</v>
      </c>
      <c r="R575">
        <f t="shared" si="48"/>
        <v>5462.6040000000003</v>
      </c>
      <c r="S575">
        <f>+banking_loan_data[[#This Row],[Loan Amount]]+banking_loan_data[[#This Row],[Interest earned]]</f>
        <v>27139.603999999999</v>
      </c>
      <c r="T575" s="2">
        <f t="shared" si="49"/>
        <v>1820.869999999999</v>
      </c>
      <c r="U575" s="2">
        <f t="shared" si="50"/>
        <v>0</v>
      </c>
      <c r="V575" s="2" t="str">
        <f>IF(banking_loan_data[[#This Row],[Loan Status]]="FULLY PAID","GOOD",IF(banking_loan_data[[#This Row],[Loan Status]]="CURRENT","ACTIVE","BAD"))</f>
        <v>GOOD</v>
      </c>
      <c r="W57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75" s="3">
        <f t="shared" si="51"/>
        <v>15173.900076724851</v>
      </c>
      <c r="Y575" s="4">
        <f t="shared" si="52"/>
        <v>8.4000092263689582E-2</v>
      </c>
      <c r="Z575" s="2" t="str">
        <f t="shared" si="53"/>
        <v>High Risk</v>
      </c>
    </row>
    <row r="576" spans="1:26" x14ac:dyDescent="0.3">
      <c r="A576" t="s">
        <v>1194</v>
      </c>
      <c r="B576" s="1">
        <v>44432</v>
      </c>
      <c r="C576" t="s">
        <v>1195</v>
      </c>
      <c r="D576" t="s">
        <v>53</v>
      </c>
      <c r="E576">
        <v>11724</v>
      </c>
      <c r="F576">
        <v>17.8</v>
      </c>
      <c r="G576">
        <v>60</v>
      </c>
      <c r="H576" t="s">
        <v>19</v>
      </c>
      <c r="I576" t="s">
        <v>57</v>
      </c>
      <c r="J576" t="s">
        <v>32</v>
      </c>
      <c r="K576">
        <v>43900</v>
      </c>
      <c r="L576" t="s">
        <v>22</v>
      </c>
      <c r="M576">
        <v>0.4</v>
      </c>
      <c r="N576">
        <v>0.56000000000000005</v>
      </c>
      <c r="O576">
        <v>13810.87</v>
      </c>
      <c r="P576">
        <v>0</v>
      </c>
      <c r="Q576">
        <f ca="1">DATEDIF(banking_loan_data[[#This Row],[Issue Date]],TODAY(),"M")</f>
        <v>54</v>
      </c>
      <c r="R576">
        <f t="shared" si="48"/>
        <v>10434.360000000002</v>
      </c>
      <c r="S576">
        <f>+banking_loan_data[[#This Row],[Loan Amount]]+banking_loan_data[[#This Row],[Interest earned]]</f>
        <v>22158.36</v>
      </c>
      <c r="T576" s="2">
        <f t="shared" si="49"/>
        <v>2086.8700000000008</v>
      </c>
      <c r="U576" s="2">
        <f t="shared" si="50"/>
        <v>0</v>
      </c>
      <c r="V576" s="2" t="str">
        <f>IF(banking_loan_data[[#This Row],[Loan Status]]="FULLY PAID","GOOD",IF(banking_loan_data[[#This Row],[Loan Status]]="CURRENT","ACTIVE","BAD"))</f>
        <v>GOOD</v>
      </c>
      <c r="W57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76" s="3">
        <f t="shared" si="51"/>
        <v>17390.600000000002</v>
      </c>
      <c r="Y576" s="4">
        <f t="shared" si="52"/>
        <v>0.17799982940975784</v>
      </c>
      <c r="Z576" s="2" t="str">
        <f t="shared" si="53"/>
        <v>Normal</v>
      </c>
    </row>
    <row r="577" spans="1:26" x14ac:dyDescent="0.3">
      <c r="A577" t="s">
        <v>1196</v>
      </c>
      <c r="B577" s="1">
        <v>44585</v>
      </c>
      <c r="C577" t="s">
        <v>1197</v>
      </c>
      <c r="D577" t="s">
        <v>56</v>
      </c>
      <c r="E577">
        <v>29404</v>
      </c>
      <c r="F577">
        <v>19.8</v>
      </c>
      <c r="G577">
        <v>36</v>
      </c>
      <c r="H577" t="s">
        <v>81</v>
      </c>
      <c r="I577" t="s">
        <v>20</v>
      </c>
      <c r="J577" t="s">
        <v>37</v>
      </c>
      <c r="K577">
        <v>110059</v>
      </c>
      <c r="L577" t="s">
        <v>29</v>
      </c>
      <c r="M577">
        <v>0.37</v>
      </c>
      <c r="N577">
        <v>0.77</v>
      </c>
      <c r="O577">
        <v>5146.2</v>
      </c>
      <c r="P577">
        <v>7396.67</v>
      </c>
      <c r="Q577">
        <f ca="1">DATEDIF(banking_loan_data[[#This Row],[Issue Date]],TODAY(),"M")</f>
        <v>49</v>
      </c>
      <c r="R577">
        <f t="shared" si="48"/>
        <v>17465.976000000002</v>
      </c>
      <c r="S577">
        <f>+banking_loan_data[[#This Row],[Loan Amount]]+banking_loan_data[[#This Row],[Interest earned]]</f>
        <v>46869.976000000002</v>
      </c>
      <c r="T577" s="2">
        <f t="shared" si="49"/>
        <v>-16861.13</v>
      </c>
      <c r="U577" s="2">
        <f t="shared" si="50"/>
        <v>1</v>
      </c>
      <c r="V577" s="2" t="str">
        <f>IF(banking_loan_data[[#This Row],[Loan Status]]="FULLY PAID","GOOD",IF(banking_loan_data[[#This Row],[Loan Status]]="CURRENT","ACTIVE","BAD"))</f>
        <v>BAD</v>
      </c>
      <c r="W57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77" s="3">
        <f t="shared" si="51"/>
        <v>48516.600000000028</v>
      </c>
      <c r="Y577" s="4">
        <f t="shared" si="52"/>
        <v>-0.57342980546864375</v>
      </c>
      <c r="Z577" s="2" t="str">
        <f t="shared" si="53"/>
        <v>Normal</v>
      </c>
    </row>
    <row r="578" spans="1:26" x14ac:dyDescent="0.3">
      <c r="A578" t="s">
        <v>1198</v>
      </c>
      <c r="B578" s="1">
        <v>45186</v>
      </c>
      <c r="C578" t="s">
        <v>1199</v>
      </c>
      <c r="D578" t="s">
        <v>25</v>
      </c>
      <c r="E578">
        <v>38946</v>
      </c>
      <c r="F578">
        <v>15.6</v>
      </c>
      <c r="G578">
        <v>36</v>
      </c>
      <c r="H578" t="s">
        <v>19</v>
      </c>
      <c r="I578" t="s">
        <v>20</v>
      </c>
      <c r="J578" t="s">
        <v>21</v>
      </c>
      <c r="K578">
        <v>31881</v>
      </c>
      <c r="L578" t="s">
        <v>33</v>
      </c>
      <c r="M578">
        <v>0.17</v>
      </c>
      <c r="N578">
        <v>0.75</v>
      </c>
      <c r="O578">
        <v>45021.58</v>
      </c>
      <c r="P578">
        <v>0</v>
      </c>
      <c r="Q578">
        <f ca="1">DATEDIF(banking_loan_data[[#This Row],[Issue Date]],TODAY(),"M")</f>
        <v>30</v>
      </c>
      <c r="R578">
        <f t="shared" ref="R578:R641" si="54">(((E578*F578)/100)*G578)/12</f>
        <v>18226.727999999999</v>
      </c>
      <c r="S578">
        <f>+banking_loan_data[[#This Row],[Loan Amount]]+banking_loan_data[[#This Row],[Interest earned]]</f>
        <v>57172.728000000003</v>
      </c>
      <c r="T578" s="2">
        <f t="shared" ref="T578:T641" si="55">O578 + P578 - E578</f>
        <v>6075.5800000000017</v>
      </c>
      <c r="U578" s="2">
        <f t="shared" ref="U578:U641" si="56">IF(H578="CHARGED OFF",1,0)</f>
        <v>0</v>
      </c>
      <c r="V578" s="2" t="str">
        <f>IF(banking_loan_data[[#This Row],[Loan Status]]="FULLY PAID","GOOD",IF(banking_loan_data[[#This Row],[Loan Status]]="CURRENT","ACTIVE","BAD"))</f>
        <v>GOOD</v>
      </c>
      <c r="W57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78" s="3">
        <f t="shared" ref="X578:X641" si="57">PMT(F578/12,G578,-E578)</f>
        <v>50629.80000000482</v>
      </c>
      <c r="Y578" s="4">
        <f t="shared" ref="Y578:Y641" si="58">IF(E578=0,0,T578/E578)</f>
        <v>0.15600010270631134</v>
      </c>
      <c r="Z578" s="2" t="str">
        <f t="shared" ref="Z578:Z641" si="59">IF(OR(M578&gt;0.4,N578&gt;0.8),"High Risk","Normal")</f>
        <v>Normal</v>
      </c>
    </row>
    <row r="579" spans="1:26" x14ac:dyDescent="0.3">
      <c r="A579" t="s">
        <v>1200</v>
      </c>
      <c r="B579" s="1">
        <v>44959</v>
      </c>
      <c r="C579" t="s">
        <v>1201</v>
      </c>
      <c r="D579" t="s">
        <v>65</v>
      </c>
      <c r="E579">
        <v>30856</v>
      </c>
      <c r="F579">
        <v>21.6</v>
      </c>
      <c r="G579">
        <v>60</v>
      </c>
      <c r="H579" t="s">
        <v>26</v>
      </c>
      <c r="I579" t="s">
        <v>27</v>
      </c>
      <c r="J579" t="s">
        <v>28</v>
      </c>
      <c r="K579">
        <v>63037</v>
      </c>
      <c r="L579" t="s">
        <v>33</v>
      </c>
      <c r="M579">
        <v>0.12</v>
      </c>
      <c r="N579">
        <v>0.73</v>
      </c>
      <c r="O579">
        <v>7333.61</v>
      </c>
      <c r="P579">
        <v>0</v>
      </c>
      <c r="Q579">
        <f ca="1">DATEDIF(banking_loan_data[[#This Row],[Issue Date]],TODAY(),"M")</f>
        <v>37</v>
      </c>
      <c r="R579">
        <f t="shared" si="54"/>
        <v>33324.480000000003</v>
      </c>
      <c r="S579">
        <f>+banking_loan_data[[#This Row],[Loan Amount]]+banking_loan_data[[#This Row],[Interest earned]]</f>
        <v>64180.480000000003</v>
      </c>
      <c r="T579" s="2">
        <f t="shared" si="55"/>
        <v>-23522.39</v>
      </c>
      <c r="U579" s="2">
        <f t="shared" si="56"/>
        <v>0</v>
      </c>
      <c r="V579" s="2" t="str">
        <f>IF(banking_loan_data[[#This Row],[Loan Status]]="FULLY PAID","GOOD",IF(banking_loan_data[[#This Row],[Loan Status]]="CURRENT","ACTIVE","BAD"))</f>
        <v>ACTIVE</v>
      </c>
      <c r="W57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79" s="3">
        <f t="shared" si="57"/>
        <v>55540.800000000003</v>
      </c>
      <c r="Y579" s="4">
        <f t="shared" si="58"/>
        <v>-0.76232791029297375</v>
      </c>
      <c r="Z579" s="2" t="str">
        <f t="shared" si="59"/>
        <v>Normal</v>
      </c>
    </row>
    <row r="580" spans="1:26" x14ac:dyDescent="0.3">
      <c r="A580" t="s">
        <v>1202</v>
      </c>
      <c r="B580" s="1">
        <v>44597</v>
      </c>
      <c r="C580" t="s">
        <v>1203</v>
      </c>
      <c r="D580" t="s">
        <v>25</v>
      </c>
      <c r="E580">
        <v>10200</v>
      </c>
      <c r="F580">
        <v>24.8</v>
      </c>
      <c r="G580">
        <v>36</v>
      </c>
      <c r="H580" t="s">
        <v>26</v>
      </c>
      <c r="I580" t="s">
        <v>20</v>
      </c>
      <c r="J580" t="s">
        <v>37</v>
      </c>
      <c r="K580">
        <v>31630</v>
      </c>
      <c r="L580" t="s">
        <v>29</v>
      </c>
      <c r="M580">
        <v>0.38</v>
      </c>
      <c r="N580">
        <v>0.81</v>
      </c>
      <c r="O580">
        <v>2118.66</v>
      </c>
      <c r="P580">
        <v>0</v>
      </c>
      <c r="Q580">
        <f ca="1">DATEDIF(banking_loan_data[[#This Row],[Issue Date]],TODAY(),"M")</f>
        <v>49</v>
      </c>
      <c r="R580">
        <f t="shared" si="54"/>
        <v>7588.7999999999993</v>
      </c>
      <c r="S580">
        <f>+banking_loan_data[[#This Row],[Loan Amount]]+banking_loan_data[[#This Row],[Interest earned]]</f>
        <v>17788.8</v>
      </c>
      <c r="T580" s="2">
        <f t="shared" si="55"/>
        <v>-8081.34</v>
      </c>
      <c r="U580" s="2">
        <f t="shared" si="56"/>
        <v>0</v>
      </c>
      <c r="V580" s="2" t="str">
        <f>IF(banking_loan_data[[#This Row],[Loan Status]]="FULLY PAID","GOOD",IF(banking_loan_data[[#This Row],[Loan Status]]="CURRENT","ACTIVE","BAD"))</f>
        <v>ACTIVE</v>
      </c>
      <c r="W58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80" s="3">
        <f t="shared" si="57"/>
        <v>21080.000000000004</v>
      </c>
      <c r="Y580" s="4">
        <f t="shared" si="58"/>
        <v>-0.79228823529411763</v>
      </c>
      <c r="Z580" s="2" t="str">
        <f t="shared" si="59"/>
        <v>High Risk</v>
      </c>
    </row>
    <row r="581" spans="1:26" x14ac:dyDescent="0.3">
      <c r="A581" t="s">
        <v>1204</v>
      </c>
      <c r="B581" s="1">
        <v>44820</v>
      </c>
      <c r="C581" t="s">
        <v>1205</v>
      </c>
      <c r="D581" t="s">
        <v>53</v>
      </c>
      <c r="E581">
        <v>34997</v>
      </c>
      <c r="F581">
        <v>21.4</v>
      </c>
      <c r="G581">
        <v>36</v>
      </c>
      <c r="H581" t="s">
        <v>26</v>
      </c>
      <c r="I581" t="s">
        <v>20</v>
      </c>
      <c r="J581" t="s">
        <v>28</v>
      </c>
      <c r="K581">
        <v>50789</v>
      </c>
      <c r="L581" t="s">
        <v>22</v>
      </c>
      <c r="M581">
        <v>0.39</v>
      </c>
      <c r="N581">
        <v>0.88</v>
      </c>
      <c r="O581">
        <v>15275.01</v>
      </c>
      <c r="P581">
        <v>0</v>
      </c>
      <c r="Q581">
        <f ca="1">DATEDIF(banking_loan_data[[#This Row],[Issue Date]],TODAY(),"M")</f>
        <v>42</v>
      </c>
      <c r="R581">
        <f t="shared" si="54"/>
        <v>22468.073999999997</v>
      </c>
      <c r="S581">
        <f>+banking_loan_data[[#This Row],[Loan Amount]]+banking_loan_data[[#This Row],[Interest earned]]</f>
        <v>57465.073999999993</v>
      </c>
      <c r="T581" s="2">
        <f t="shared" si="55"/>
        <v>-19721.989999999998</v>
      </c>
      <c r="U581" s="2">
        <f t="shared" si="56"/>
        <v>0</v>
      </c>
      <c r="V581" s="2" t="str">
        <f>IF(banking_loan_data[[#This Row],[Loan Status]]="FULLY PAID","GOOD",IF(banking_loan_data[[#This Row],[Loan Status]]="CURRENT","ACTIVE","BAD"))</f>
        <v>ACTIVE</v>
      </c>
      <c r="W58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81" s="3">
        <f t="shared" si="57"/>
        <v>62411.316666666673</v>
      </c>
      <c r="Y581" s="4">
        <f t="shared" si="58"/>
        <v>-0.5635337314626967</v>
      </c>
      <c r="Z581" s="2" t="str">
        <f t="shared" si="59"/>
        <v>High Risk</v>
      </c>
    </row>
    <row r="582" spans="1:26" x14ac:dyDescent="0.3">
      <c r="A582" t="s">
        <v>1206</v>
      </c>
      <c r="B582" s="1">
        <v>44963</v>
      </c>
      <c r="C582" t="s">
        <v>1207</v>
      </c>
      <c r="D582" t="s">
        <v>40</v>
      </c>
      <c r="E582">
        <v>26611</v>
      </c>
      <c r="F582">
        <v>18.899999999999999</v>
      </c>
      <c r="G582">
        <v>60</v>
      </c>
      <c r="H582" t="s">
        <v>81</v>
      </c>
      <c r="I582" t="s">
        <v>57</v>
      </c>
      <c r="J582" t="s">
        <v>37</v>
      </c>
      <c r="K582">
        <v>118059</v>
      </c>
      <c r="L582" t="s">
        <v>33</v>
      </c>
      <c r="M582">
        <v>0.12</v>
      </c>
      <c r="N582">
        <v>0.65</v>
      </c>
      <c r="O582">
        <v>3671.34</v>
      </c>
      <c r="P582">
        <v>13658.29</v>
      </c>
      <c r="Q582">
        <f ca="1">DATEDIF(banking_loan_data[[#This Row],[Issue Date]],TODAY(),"M")</f>
        <v>37</v>
      </c>
      <c r="R582">
        <f t="shared" si="54"/>
        <v>25147.395</v>
      </c>
      <c r="S582">
        <f>+banking_loan_data[[#This Row],[Loan Amount]]+banking_loan_data[[#This Row],[Interest earned]]</f>
        <v>51758.395000000004</v>
      </c>
      <c r="T582" s="2">
        <f t="shared" si="55"/>
        <v>-9281.369999999999</v>
      </c>
      <c r="U582" s="2">
        <f t="shared" si="56"/>
        <v>1</v>
      </c>
      <c r="V582" s="2" t="str">
        <f>IF(banking_loan_data[[#This Row],[Loan Status]]="FULLY PAID","GOOD",IF(banking_loan_data[[#This Row],[Loan Status]]="CURRENT","ACTIVE","BAD"))</f>
        <v>BAD</v>
      </c>
      <c r="W58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82" s="3">
        <f t="shared" si="57"/>
        <v>41912.324999999997</v>
      </c>
      <c r="Y582" s="4">
        <f t="shared" si="58"/>
        <v>-0.34877945210627181</v>
      </c>
      <c r="Z582" s="2" t="str">
        <f t="shared" si="59"/>
        <v>Normal</v>
      </c>
    </row>
    <row r="583" spans="1:26" x14ac:dyDescent="0.3">
      <c r="A583" t="s">
        <v>1208</v>
      </c>
      <c r="B583" s="1">
        <v>45115</v>
      </c>
      <c r="C583" t="s">
        <v>1209</v>
      </c>
      <c r="D583" t="s">
        <v>65</v>
      </c>
      <c r="E583">
        <v>36057</v>
      </c>
      <c r="F583">
        <v>15.6</v>
      </c>
      <c r="G583">
        <v>60</v>
      </c>
      <c r="H583" t="s">
        <v>19</v>
      </c>
      <c r="I583" t="s">
        <v>27</v>
      </c>
      <c r="J583" t="s">
        <v>47</v>
      </c>
      <c r="K583">
        <v>113494</v>
      </c>
      <c r="L583" t="s">
        <v>22</v>
      </c>
      <c r="M583">
        <v>0.47</v>
      </c>
      <c r="N583">
        <v>0.9</v>
      </c>
      <c r="O583">
        <v>41681.89</v>
      </c>
      <c r="P583">
        <v>0</v>
      </c>
      <c r="Q583">
        <f ca="1">DATEDIF(banking_loan_data[[#This Row],[Issue Date]],TODAY(),"M")</f>
        <v>32</v>
      </c>
      <c r="R583">
        <f t="shared" si="54"/>
        <v>28124.460000000003</v>
      </c>
      <c r="S583">
        <f>+banking_loan_data[[#This Row],[Loan Amount]]+banking_loan_data[[#This Row],[Interest earned]]</f>
        <v>64181.460000000006</v>
      </c>
      <c r="T583" s="2">
        <f t="shared" si="55"/>
        <v>5624.8899999999994</v>
      </c>
      <c r="U583" s="2">
        <f t="shared" si="56"/>
        <v>0</v>
      </c>
      <c r="V583" s="2" t="str">
        <f>IF(banking_loan_data[[#This Row],[Loan Status]]="FULLY PAID","GOOD",IF(banking_loan_data[[#This Row],[Loan Status]]="CURRENT","ACTIVE","BAD"))</f>
        <v>GOOD</v>
      </c>
      <c r="W58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83" s="3">
        <f t="shared" si="57"/>
        <v>46874.1</v>
      </c>
      <c r="Y583" s="4">
        <f t="shared" si="58"/>
        <v>0.15599994453226834</v>
      </c>
      <c r="Z583" s="2" t="str">
        <f t="shared" si="59"/>
        <v>High Risk</v>
      </c>
    </row>
    <row r="584" spans="1:26" x14ac:dyDescent="0.3">
      <c r="A584" t="s">
        <v>1210</v>
      </c>
      <c r="B584" s="1">
        <v>45049</v>
      </c>
      <c r="C584" t="s">
        <v>1211</v>
      </c>
      <c r="D584" t="s">
        <v>72</v>
      </c>
      <c r="E584">
        <v>2239</v>
      </c>
      <c r="F584">
        <v>14</v>
      </c>
      <c r="G584">
        <v>60</v>
      </c>
      <c r="H584" t="s">
        <v>19</v>
      </c>
      <c r="I584" t="s">
        <v>73</v>
      </c>
      <c r="J584" t="s">
        <v>21</v>
      </c>
      <c r="K584">
        <v>76151</v>
      </c>
      <c r="L584" t="s">
        <v>33</v>
      </c>
      <c r="M584">
        <v>0.14000000000000001</v>
      </c>
      <c r="N584">
        <v>0.56999999999999995</v>
      </c>
      <c r="O584">
        <v>2552.46</v>
      </c>
      <c r="P584">
        <v>0</v>
      </c>
      <c r="Q584">
        <f ca="1">DATEDIF(banking_loan_data[[#This Row],[Issue Date]],TODAY(),"M")</f>
        <v>34</v>
      </c>
      <c r="R584">
        <f t="shared" si="54"/>
        <v>1567.3</v>
      </c>
      <c r="S584">
        <f>+banking_loan_data[[#This Row],[Loan Amount]]+banking_loan_data[[#This Row],[Interest earned]]</f>
        <v>3806.3</v>
      </c>
      <c r="T584" s="2">
        <f t="shared" si="55"/>
        <v>313.46000000000004</v>
      </c>
      <c r="U584" s="2">
        <f t="shared" si="56"/>
        <v>0</v>
      </c>
      <c r="V584" s="2" t="str">
        <f>IF(banking_loan_data[[#This Row],[Loan Status]]="FULLY PAID","GOOD",IF(banking_loan_data[[#This Row],[Loan Status]]="CURRENT","ACTIVE","BAD"))</f>
        <v>GOOD</v>
      </c>
      <c r="W58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84" s="3">
        <f t="shared" si="57"/>
        <v>2612.166666666667</v>
      </c>
      <c r="Y584" s="4">
        <f t="shared" si="58"/>
        <v>0.14000000000000001</v>
      </c>
      <c r="Z584" s="2" t="str">
        <f t="shared" si="59"/>
        <v>Normal</v>
      </c>
    </row>
    <row r="585" spans="1:26" x14ac:dyDescent="0.3">
      <c r="A585" t="s">
        <v>1212</v>
      </c>
      <c r="B585" s="1">
        <v>44774</v>
      </c>
      <c r="C585" t="s">
        <v>1213</v>
      </c>
      <c r="D585" t="s">
        <v>65</v>
      </c>
      <c r="E585">
        <v>39138</v>
      </c>
      <c r="F585">
        <v>6.7</v>
      </c>
      <c r="G585">
        <v>36</v>
      </c>
      <c r="H585" t="s">
        <v>19</v>
      </c>
      <c r="I585" t="s">
        <v>27</v>
      </c>
      <c r="J585" t="s">
        <v>21</v>
      </c>
      <c r="K585">
        <v>78920</v>
      </c>
      <c r="L585" t="s">
        <v>33</v>
      </c>
      <c r="M585">
        <v>0.21</v>
      </c>
      <c r="N585">
        <v>0.57999999999999996</v>
      </c>
      <c r="O585">
        <v>41760.25</v>
      </c>
      <c r="P585">
        <v>0</v>
      </c>
      <c r="Q585">
        <f ca="1">DATEDIF(banking_loan_data[[#This Row],[Issue Date]],TODAY(),"M")</f>
        <v>43</v>
      </c>
      <c r="R585">
        <f t="shared" si="54"/>
        <v>7866.7380000000012</v>
      </c>
      <c r="S585">
        <f>+banking_loan_data[[#This Row],[Loan Amount]]+banking_loan_data[[#This Row],[Interest earned]]</f>
        <v>47004.737999999998</v>
      </c>
      <c r="T585" s="2">
        <f t="shared" si="55"/>
        <v>2622.25</v>
      </c>
      <c r="U585" s="2">
        <f t="shared" si="56"/>
        <v>0</v>
      </c>
      <c r="V585" s="2" t="str">
        <f>IF(banking_loan_data[[#This Row],[Loan Status]]="FULLY PAID","GOOD",IF(banking_loan_data[[#This Row],[Loan Status]]="CURRENT","ACTIVE","BAD"))</f>
        <v>GOOD</v>
      </c>
      <c r="W58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85" s="3">
        <f t="shared" si="57"/>
        <v>21852.052533490372</v>
      </c>
      <c r="Y585" s="4">
        <f t="shared" si="58"/>
        <v>6.700010220246308E-2</v>
      </c>
      <c r="Z585" s="2" t="str">
        <f t="shared" si="59"/>
        <v>Normal</v>
      </c>
    </row>
    <row r="586" spans="1:26" x14ac:dyDescent="0.3">
      <c r="A586" t="s">
        <v>1214</v>
      </c>
      <c r="B586" s="1">
        <v>44271</v>
      </c>
      <c r="C586" t="s">
        <v>1215</v>
      </c>
      <c r="D586" t="s">
        <v>53</v>
      </c>
      <c r="E586">
        <v>1125</v>
      </c>
      <c r="F586">
        <v>13</v>
      </c>
      <c r="G586">
        <v>36</v>
      </c>
      <c r="H586" t="s">
        <v>19</v>
      </c>
      <c r="I586" t="s">
        <v>73</v>
      </c>
      <c r="J586" t="s">
        <v>47</v>
      </c>
      <c r="K586">
        <v>139388</v>
      </c>
      <c r="L586" t="s">
        <v>29</v>
      </c>
      <c r="M586">
        <v>0.37</v>
      </c>
      <c r="N586">
        <v>0.62</v>
      </c>
      <c r="O586">
        <v>1271.25</v>
      </c>
      <c r="P586">
        <v>0</v>
      </c>
      <c r="Q586">
        <f ca="1">DATEDIF(banking_loan_data[[#This Row],[Issue Date]],TODAY(),"M")</f>
        <v>60</v>
      </c>
      <c r="R586">
        <f t="shared" si="54"/>
        <v>438.75</v>
      </c>
      <c r="S586">
        <f>+banking_loan_data[[#This Row],[Loan Amount]]+banking_loan_data[[#This Row],[Interest earned]]</f>
        <v>1563.75</v>
      </c>
      <c r="T586" s="2">
        <f t="shared" si="55"/>
        <v>146.25</v>
      </c>
      <c r="U586" s="2">
        <f t="shared" si="56"/>
        <v>0</v>
      </c>
      <c r="V586" s="2" t="str">
        <f>IF(banking_loan_data[[#This Row],[Loan Status]]="FULLY PAID","GOOD",IF(banking_loan_data[[#This Row],[Loan Status]]="CURRENT","ACTIVE","BAD"))</f>
        <v>GOOD</v>
      </c>
      <c r="W58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86" s="3">
        <f t="shared" si="57"/>
        <v>1218.7500000040793</v>
      </c>
      <c r="Y586" s="4">
        <f t="shared" si="58"/>
        <v>0.13</v>
      </c>
      <c r="Z586" s="2" t="str">
        <f t="shared" si="59"/>
        <v>Normal</v>
      </c>
    </row>
    <row r="587" spans="1:26" x14ac:dyDescent="0.3">
      <c r="A587" t="s">
        <v>1216</v>
      </c>
      <c r="B587" s="1">
        <v>44631</v>
      </c>
      <c r="C587" t="s">
        <v>1217</v>
      </c>
      <c r="D587" t="s">
        <v>56</v>
      </c>
      <c r="E587">
        <v>24857</v>
      </c>
      <c r="F587">
        <v>23.2</v>
      </c>
      <c r="G587">
        <v>60</v>
      </c>
      <c r="H587" t="s">
        <v>26</v>
      </c>
      <c r="I587" t="s">
        <v>27</v>
      </c>
      <c r="J587" t="s">
        <v>32</v>
      </c>
      <c r="K587">
        <v>97231</v>
      </c>
      <c r="L587" t="s">
        <v>29</v>
      </c>
      <c r="M587">
        <v>0.17</v>
      </c>
      <c r="N587">
        <v>0.55000000000000004</v>
      </c>
      <c r="O587">
        <v>7569.96</v>
      </c>
      <c r="P587">
        <v>0</v>
      </c>
      <c r="Q587">
        <f ca="1">DATEDIF(banking_loan_data[[#This Row],[Issue Date]],TODAY(),"M")</f>
        <v>48</v>
      </c>
      <c r="R587">
        <f t="shared" si="54"/>
        <v>28834.120000000006</v>
      </c>
      <c r="S587">
        <f>+banking_loan_data[[#This Row],[Loan Amount]]+banking_loan_data[[#This Row],[Interest earned]]</f>
        <v>53691.12000000001</v>
      </c>
      <c r="T587" s="2">
        <f t="shared" si="55"/>
        <v>-17287.04</v>
      </c>
      <c r="U587" s="2">
        <f t="shared" si="56"/>
        <v>0</v>
      </c>
      <c r="V587" s="2" t="str">
        <f>IF(banking_loan_data[[#This Row],[Loan Status]]="FULLY PAID","GOOD",IF(banking_loan_data[[#This Row],[Loan Status]]="CURRENT","ACTIVE","BAD"))</f>
        <v>ACTIVE</v>
      </c>
      <c r="W58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87" s="3">
        <f t="shared" si="57"/>
        <v>48056.866666666669</v>
      </c>
      <c r="Y587" s="4">
        <f t="shared" si="58"/>
        <v>-0.69545962907832803</v>
      </c>
      <c r="Z587" s="2" t="str">
        <f t="shared" si="59"/>
        <v>Normal</v>
      </c>
    </row>
    <row r="588" spans="1:26" x14ac:dyDescent="0.3">
      <c r="A588" t="s">
        <v>1218</v>
      </c>
      <c r="B588" s="1">
        <v>44299</v>
      </c>
      <c r="C588" t="s">
        <v>1219</v>
      </c>
      <c r="D588" t="s">
        <v>65</v>
      </c>
      <c r="E588">
        <v>16398</v>
      </c>
      <c r="F588">
        <v>21.2</v>
      </c>
      <c r="G588">
        <v>36</v>
      </c>
      <c r="H588" t="s">
        <v>26</v>
      </c>
      <c r="I588" t="s">
        <v>20</v>
      </c>
      <c r="J588" t="s">
        <v>21</v>
      </c>
      <c r="K588">
        <v>147946</v>
      </c>
      <c r="L588" t="s">
        <v>22</v>
      </c>
      <c r="M588">
        <v>0.12</v>
      </c>
      <c r="N588">
        <v>0.6</v>
      </c>
      <c r="O588">
        <v>1868.19</v>
      </c>
      <c r="P588">
        <v>0</v>
      </c>
      <c r="Q588">
        <f ca="1">DATEDIF(banking_loan_data[[#This Row],[Issue Date]],TODAY(),"M")</f>
        <v>59</v>
      </c>
      <c r="R588">
        <f t="shared" si="54"/>
        <v>10429.127999999999</v>
      </c>
      <c r="S588">
        <f>+banking_loan_data[[#This Row],[Loan Amount]]+banking_loan_data[[#This Row],[Interest earned]]</f>
        <v>26827.127999999997</v>
      </c>
      <c r="T588" s="2">
        <f t="shared" si="55"/>
        <v>-14529.81</v>
      </c>
      <c r="U588" s="2">
        <f t="shared" si="56"/>
        <v>0</v>
      </c>
      <c r="V588" s="2" t="str">
        <f>IF(banking_loan_data[[#This Row],[Loan Status]]="FULLY PAID","GOOD",IF(banking_loan_data[[#This Row],[Loan Status]]="CURRENT","ACTIVE","BAD"))</f>
        <v>ACTIVE</v>
      </c>
      <c r="W58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88" s="3">
        <f t="shared" si="57"/>
        <v>28969.800000000007</v>
      </c>
      <c r="Y588" s="4">
        <f t="shared" si="58"/>
        <v>-0.88607208196121479</v>
      </c>
      <c r="Z588" s="2" t="str">
        <f t="shared" si="59"/>
        <v>Normal</v>
      </c>
    </row>
    <row r="589" spans="1:26" x14ac:dyDescent="0.3">
      <c r="A589" t="s">
        <v>1220</v>
      </c>
      <c r="B589" s="1">
        <v>44960</v>
      </c>
      <c r="C589" t="s">
        <v>1221</v>
      </c>
      <c r="D589" t="s">
        <v>53</v>
      </c>
      <c r="E589">
        <v>7638</v>
      </c>
      <c r="F589">
        <v>9.3000000000000007</v>
      </c>
      <c r="G589">
        <v>60</v>
      </c>
      <c r="H589" t="s">
        <v>81</v>
      </c>
      <c r="I589" t="s">
        <v>36</v>
      </c>
      <c r="J589" t="s">
        <v>28</v>
      </c>
      <c r="K589">
        <v>110357</v>
      </c>
      <c r="L589" t="s">
        <v>29</v>
      </c>
      <c r="M589">
        <v>0.23</v>
      </c>
      <c r="N589">
        <v>0.55000000000000004</v>
      </c>
      <c r="O589">
        <v>2378.77</v>
      </c>
      <c r="P589">
        <v>1767.84</v>
      </c>
      <c r="Q589">
        <f ca="1">DATEDIF(banking_loan_data[[#This Row],[Issue Date]],TODAY(),"M")</f>
        <v>37</v>
      </c>
      <c r="R589">
        <f t="shared" si="54"/>
        <v>3551.67</v>
      </c>
      <c r="S589">
        <f>+banking_loan_data[[#This Row],[Loan Amount]]+banking_loan_data[[#This Row],[Interest earned]]</f>
        <v>11189.67</v>
      </c>
      <c r="T589" s="2">
        <f t="shared" si="55"/>
        <v>-3491.3900000000003</v>
      </c>
      <c r="U589" s="2">
        <f t="shared" si="56"/>
        <v>1</v>
      </c>
      <c r="V589" s="2" t="str">
        <f>IF(banking_loan_data[[#This Row],[Loan Status]]="FULLY PAID","GOOD",IF(banking_loan_data[[#This Row],[Loan Status]]="CURRENT","ACTIVE","BAD"))</f>
        <v>BAD</v>
      </c>
      <c r="W58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89" s="3">
        <f t="shared" si="57"/>
        <v>5919.4500000000062</v>
      </c>
      <c r="Y589" s="4">
        <f t="shared" si="58"/>
        <v>-0.45710788164440957</v>
      </c>
      <c r="Z589" s="2" t="str">
        <f t="shared" si="59"/>
        <v>Normal</v>
      </c>
    </row>
    <row r="590" spans="1:26" x14ac:dyDescent="0.3">
      <c r="A590" t="s">
        <v>1222</v>
      </c>
      <c r="B590" s="1">
        <v>44934</v>
      </c>
      <c r="C590" t="s">
        <v>1223</v>
      </c>
      <c r="D590" t="s">
        <v>50</v>
      </c>
      <c r="E590">
        <v>7570</v>
      </c>
      <c r="F590">
        <v>14.3</v>
      </c>
      <c r="G590">
        <v>60</v>
      </c>
      <c r="H590" t="s">
        <v>19</v>
      </c>
      <c r="I590" t="s">
        <v>20</v>
      </c>
      <c r="J590" t="s">
        <v>21</v>
      </c>
      <c r="K590">
        <v>33262</v>
      </c>
      <c r="L590" t="s">
        <v>33</v>
      </c>
      <c r="M590">
        <v>0.41</v>
      </c>
      <c r="N590">
        <v>0.87</v>
      </c>
      <c r="O590">
        <v>8652.51</v>
      </c>
      <c r="P590">
        <v>0</v>
      </c>
      <c r="Q590">
        <f ca="1">DATEDIF(banking_loan_data[[#This Row],[Issue Date]],TODAY(),"M")</f>
        <v>38</v>
      </c>
      <c r="R590">
        <f t="shared" si="54"/>
        <v>5412.55</v>
      </c>
      <c r="S590">
        <f>+banking_loan_data[[#This Row],[Loan Amount]]+banking_loan_data[[#This Row],[Interest earned]]</f>
        <v>12982.55</v>
      </c>
      <c r="T590" s="2">
        <f t="shared" si="55"/>
        <v>1082.5100000000002</v>
      </c>
      <c r="U590" s="2">
        <f t="shared" si="56"/>
        <v>0</v>
      </c>
      <c r="V590" s="2" t="str">
        <f>IF(banking_loan_data[[#This Row],[Loan Status]]="FULLY PAID","GOOD",IF(banking_loan_data[[#This Row],[Loan Status]]="CURRENT","ACTIVE","BAD"))</f>
        <v>GOOD</v>
      </c>
      <c r="W59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90" s="3">
        <f t="shared" si="57"/>
        <v>9020.9166666666661</v>
      </c>
      <c r="Y590" s="4">
        <f t="shared" si="58"/>
        <v>0.14300000000000002</v>
      </c>
      <c r="Z590" s="2" t="str">
        <f t="shared" si="59"/>
        <v>High Risk</v>
      </c>
    </row>
    <row r="591" spans="1:26" x14ac:dyDescent="0.3">
      <c r="A591" t="s">
        <v>1224</v>
      </c>
      <c r="B591" s="1">
        <v>45002</v>
      </c>
      <c r="C591" t="s">
        <v>1225</v>
      </c>
      <c r="D591" t="s">
        <v>46</v>
      </c>
      <c r="E591">
        <v>4249</v>
      </c>
      <c r="F591">
        <v>21.3</v>
      </c>
      <c r="G591">
        <v>36</v>
      </c>
      <c r="H591" t="s">
        <v>81</v>
      </c>
      <c r="I591" t="s">
        <v>57</v>
      </c>
      <c r="J591" t="s">
        <v>32</v>
      </c>
      <c r="K591">
        <v>96981</v>
      </c>
      <c r="L591" t="s">
        <v>33</v>
      </c>
      <c r="M591">
        <v>0.27</v>
      </c>
      <c r="N591">
        <v>0.56000000000000005</v>
      </c>
      <c r="O591">
        <v>1578.6</v>
      </c>
      <c r="P591">
        <v>1006.52</v>
      </c>
      <c r="Q591">
        <f ca="1">DATEDIF(banking_loan_data[[#This Row],[Issue Date]],TODAY(),"M")</f>
        <v>36</v>
      </c>
      <c r="R591">
        <f t="shared" si="54"/>
        <v>2715.1109999999999</v>
      </c>
      <c r="S591">
        <f>+banking_loan_data[[#This Row],[Loan Amount]]+banking_loan_data[[#This Row],[Interest earned]]</f>
        <v>6964.1109999999999</v>
      </c>
      <c r="T591" s="2">
        <f t="shared" si="55"/>
        <v>-1663.88</v>
      </c>
      <c r="U591" s="2">
        <f t="shared" si="56"/>
        <v>1</v>
      </c>
      <c r="V591" s="2" t="str">
        <f>IF(banking_loan_data[[#This Row],[Loan Status]]="FULLY PAID","GOOD",IF(banking_loan_data[[#This Row],[Loan Status]]="CURRENT","ACTIVE","BAD"))</f>
        <v>BAD</v>
      </c>
      <c r="W59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91" s="3">
        <f t="shared" si="57"/>
        <v>7541.9750000000022</v>
      </c>
      <c r="Y591" s="4">
        <f t="shared" si="58"/>
        <v>-0.39159331607437048</v>
      </c>
      <c r="Z591" s="2" t="str">
        <f t="shared" si="59"/>
        <v>Normal</v>
      </c>
    </row>
    <row r="592" spans="1:26" x14ac:dyDescent="0.3">
      <c r="A592" t="s">
        <v>1226</v>
      </c>
      <c r="B592" s="1">
        <v>44294</v>
      </c>
      <c r="C592" t="s">
        <v>1227</v>
      </c>
      <c r="D592" t="s">
        <v>76</v>
      </c>
      <c r="E592">
        <v>10110</v>
      </c>
      <c r="F592">
        <v>6.3</v>
      </c>
      <c r="G592">
        <v>60</v>
      </c>
      <c r="H592" t="s">
        <v>19</v>
      </c>
      <c r="I592" t="s">
        <v>27</v>
      </c>
      <c r="J592" t="s">
        <v>28</v>
      </c>
      <c r="K592">
        <v>111972</v>
      </c>
      <c r="L592" t="s">
        <v>22</v>
      </c>
      <c r="M592">
        <v>0.36</v>
      </c>
      <c r="N592">
        <v>0.84</v>
      </c>
      <c r="O592">
        <v>10746.93</v>
      </c>
      <c r="P592">
        <v>0</v>
      </c>
      <c r="Q592">
        <f ca="1">DATEDIF(banking_loan_data[[#This Row],[Issue Date]],TODAY(),"M")</f>
        <v>59</v>
      </c>
      <c r="R592">
        <f t="shared" si="54"/>
        <v>3184.6499999999996</v>
      </c>
      <c r="S592">
        <f>+banking_loan_data[[#This Row],[Loan Amount]]+banking_loan_data[[#This Row],[Interest earned]]</f>
        <v>13294.65</v>
      </c>
      <c r="T592" s="2">
        <f t="shared" si="55"/>
        <v>636.93000000000029</v>
      </c>
      <c r="U592" s="2">
        <f t="shared" si="56"/>
        <v>0</v>
      </c>
      <c r="V592" s="2" t="str">
        <f>IF(banking_loan_data[[#This Row],[Loan Status]]="FULLY PAID","GOOD",IF(banking_loan_data[[#This Row],[Loan Status]]="CURRENT","ACTIVE","BAD"))</f>
        <v>GOOD</v>
      </c>
      <c r="W59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592" s="3">
        <f t="shared" si="57"/>
        <v>5307.7500000535456</v>
      </c>
      <c r="Y592" s="4">
        <f t="shared" si="58"/>
        <v>6.3000000000000028E-2</v>
      </c>
      <c r="Z592" s="2" t="str">
        <f t="shared" si="59"/>
        <v>High Risk</v>
      </c>
    </row>
    <row r="593" spans="1:26" x14ac:dyDescent="0.3">
      <c r="A593" t="s">
        <v>1228</v>
      </c>
      <c r="B593" s="1">
        <v>44994</v>
      </c>
      <c r="C593" t="s">
        <v>1229</v>
      </c>
      <c r="D593" t="s">
        <v>50</v>
      </c>
      <c r="E593">
        <v>14605</v>
      </c>
      <c r="F593">
        <v>12.7</v>
      </c>
      <c r="G593">
        <v>36</v>
      </c>
      <c r="H593" t="s">
        <v>19</v>
      </c>
      <c r="I593" t="s">
        <v>57</v>
      </c>
      <c r="J593" t="s">
        <v>28</v>
      </c>
      <c r="K593">
        <v>105485</v>
      </c>
      <c r="L593" t="s">
        <v>22</v>
      </c>
      <c r="M593">
        <v>0.33</v>
      </c>
      <c r="N593">
        <v>0.52</v>
      </c>
      <c r="O593">
        <v>16459.84</v>
      </c>
      <c r="P593">
        <v>0</v>
      </c>
      <c r="Q593">
        <f ca="1">DATEDIF(banking_loan_data[[#This Row],[Issue Date]],TODAY(),"M")</f>
        <v>36</v>
      </c>
      <c r="R593">
        <f t="shared" si="54"/>
        <v>5564.5050000000001</v>
      </c>
      <c r="S593">
        <f>+banking_loan_data[[#This Row],[Loan Amount]]+banking_loan_data[[#This Row],[Interest earned]]</f>
        <v>20169.505000000001</v>
      </c>
      <c r="T593" s="2">
        <f t="shared" si="55"/>
        <v>1854.8400000000001</v>
      </c>
      <c r="U593" s="2">
        <f t="shared" si="56"/>
        <v>0</v>
      </c>
      <c r="V593" s="2" t="str">
        <f>IF(banking_loan_data[[#This Row],[Loan Status]]="FULLY PAID","GOOD",IF(banking_loan_data[[#This Row],[Loan Status]]="CURRENT","ACTIVE","BAD"))</f>
        <v>GOOD</v>
      </c>
      <c r="W59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593" s="3">
        <f t="shared" si="57"/>
        <v>15456.958333413235</v>
      </c>
      <c r="Y593" s="4">
        <f t="shared" si="58"/>
        <v>0.12700034234851079</v>
      </c>
      <c r="Z593" s="2" t="str">
        <f t="shared" si="59"/>
        <v>Normal</v>
      </c>
    </row>
    <row r="594" spans="1:26" x14ac:dyDescent="0.3">
      <c r="A594" t="s">
        <v>1230</v>
      </c>
      <c r="B594" s="1">
        <v>45055</v>
      </c>
      <c r="C594" t="s">
        <v>1231</v>
      </c>
      <c r="D594" t="s">
        <v>53</v>
      </c>
      <c r="E594">
        <v>13115</v>
      </c>
      <c r="F594">
        <v>22</v>
      </c>
      <c r="G594">
        <v>36</v>
      </c>
      <c r="H594" t="s">
        <v>19</v>
      </c>
      <c r="I594" t="s">
        <v>36</v>
      </c>
      <c r="J594" t="s">
        <v>47</v>
      </c>
      <c r="K594">
        <v>84722</v>
      </c>
      <c r="L594" t="s">
        <v>33</v>
      </c>
      <c r="M594">
        <v>0.11</v>
      </c>
      <c r="N594">
        <v>0.93</v>
      </c>
      <c r="O594">
        <v>16000.3</v>
      </c>
      <c r="P594">
        <v>0</v>
      </c>
      <c r="Q594">
        <f ca="1">DATEDIF(banking_loan_data[[#This Row],[Issue Date]],TODAY(),"M")</f>
        <v>34</v>
      </c>
      <c r="R594">
        <f t="shared" si="54"/>
        <v>8655.9</v>
      </c>
      <c r="S594">
        <f>+banking_loan_data[[#This Row],[Loan Amount]]+banking_loan_data[[#This Row],[Interest earned]]</f>
        <v>21770.9</v>
      </c>
      <c r="T594" s="2">
        <f t="shared" si="55"/>
        <v>2885.2999999999993</v>
      </c>
      <c r="U594" s="2">
        <f t="shared" si="56"/>
        <v>0</v>
      </c>
      <c r="V594" s="2" t="str">
        <f>IF(banking_loan_data[[#This Row],[Loan Status]]="FULLY PAID","GOOD",IF(banking_loan_data[[#This Row],[Loan Status]]="CURRENT","ACTIVE","BAD"))</f>
        <v>GOOD</v>
      </c>
      <c r="W59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94" s="3">
        <f t="shared" si="57"/>
        <v>24044.166666666664</v>
      </c>
      <c r="Y594" s="4">
        <f t="shared" si="58"/>
        <v>0.21999999999999995</v>
      </c>
      <c r="Z594" s="2" t="str">
        <f t="shared" si="59"/>
        <v>High Risk</v>
      </c>
    </row>
    <row r="595" spans="1:26" x14ac:dyDescent="0.3">
      <c r="A595" t="s">
        <v>1232</v>
      </c>
      <c r="B595" s="1">
        <v>44631</v>
      </c>
      <c r="C595" t="s">
        <v>1233</v>
      </c>
      <c r="D595" t="s">
        <v>18</v>
      </c>
      <c r="E595">
        <v>23911</v>
      </c>
      <c r="F595">
        <v>13.1</v>
      </c>
      <c r="G595">
        <v>60</v>
      </c>
      <c r="H595" t="s">
        <v>26</v>
      </c>
      <c r="I595" t="s">
        <v>73</v>
      </c>
      <c r="J595" t="s">
        <v>37</v>
      </c>
      <c r="K595">
        <v>119499</v>
      </c>
      <c r="L595" t="s">
        <v>29</v>
      </c>
      <c r="M595">
        <v>0.5</v>
      </c>
      <c r="N595">
        <v>0.82</v>
      </c>
      <c r="O595">
        <v>5871.91</v>
      </c>
      <c r="P595">
        <v>0</v>
      </c>
      <c r="Q595">
        <f ca="1">DATEDIF(banking_loan_data[[#This Row],[Issue Date]],TODAY(),"M")</f>
        <v>48</v>
      </c>
      <c r="R595">
        <f t="shared" si="54"/>
        <v>15661.705</v>
      </c>
      <c r="S595">
        <f>+banking_loan_data[[#This Row],[Loan Amount]]+banking_loan_data[[#This Row],[Interest earned]]</f>
        <v>39572.705000000002</v>
      </c>
      <c r="T595" s="2">
        <f t="shared" si="55"/>
        <v>-18039.09</v>
      </c>
      <c r="U595" s="2">
        <f t="shared" si="56"/>
        <v>0</v>
      </c>
      <c r="V595" s="2" t="str">
        <f>IF(banking_loan_data[[#This Row],[Loan Status]]="FULLY PAID","GOOD",IF(banking_loan_data[[#This Row],[Loan Status]]="CURRENT","ACTIVE","BAD"))</f>
        <v>ACTIVE</v>
      </c>
      <c r="W59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595" s="3">
        <f t="shared" si="57"/>
        <v>26102.841666666664</v>
      </c>
      <c r="Y595" s="4">
        <f t="shared" si="58"/>
        <v>-0.75442641462088578</v>
      </c>
      <c r="Z595" s="2" t="str">
        <f t="shared" si="59"/>
        <v>High Risk</v>
      </c>
    </row>
    <row r="596" spans="1:26" x14ac:dyDescent="0.3">
      <c r="A596" t="s">
        <v>1234</v>
      </c>
      <c r="B596" s="1">
        <v>44643</v>
      </c>
      <c r="C596" t="s">
        <v>1235</v>
      </c>
      <c r="D596" t="s">
        <v>40</v>
      </c>
      <c r="E596">
        <v>39525</v>
      </c>
      <c r="F596">
        <v>6.6</v>
      </c>
      <c r="G596">
        <v>36</v>
      </c>
      <c r="H596" t="s">
        <v>19</v>
      </c>
      <c r="I596" t="s">
        <v>84</v>
      </c>
      <c r="J596" t="s">
        <v>47</v>
      </c>
      <c r="K596">
        <v>80818</v>
      </c>
      <c r="L596" t="s">
        <v>29</v>
      </c>
      <c r="M596">
        <v>0.12</v>
      </c>
      <c r="N596">
        <v>0.5</v>
      </c>
      <c r="O596">
        <v>42133.65</v>
      </c>
      <c r="P596">
        <v>0</v>
      </c>
      <c r="Q596">
        <f ca="1">DATEDIF(banking_loan_data[[#This Row],[Issue Date]],TODAY(),"M")</f>
        <v>47</v>
      </c>
      <c r="R596">
        <f t="shared" si="54"/>
        <v>7825.9500000000007</v>
      </c>
      <c r="S596">
        <f>+banking_loan_data[[#This Row],[Loan Amount]]+banking_loan_data[[#This Row],[Interest earned]]</f>
        <v>47350.95</v>
      </c>
      <c r="T596" s="2">
        <f t="shared" si="55"/>
        <v>2608.6500000000015</v>
      </c>
      <c r="U596" s="2">
        <f t="shared" si="56"/>
        <v>0</v>
      </c>
      <c r="V596" s="2" t="str">
        <f>IF(banking_loan_data[[#This Row],[Loan Status]]="FULLY PAID","GOOD",IF(banking_loan_data[[#This Row],[Loan Status]]="CURRENT","ACTIVE","BAD"))</f>
        <v>GOOD</v>
      </c>
      <c r="W59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96" s="3">
        <f t="shared" si="57"/>
        <v>21738.753056986319</v>
      </c>
      <c r="Y596" s="4">
        <f t="shared" si="58"/>
        <v>6.6000000000000031E-2</v>
      </c>
      <c r="Z596" s="2" t="str">
        <f t="shared" si="59"/>
        <v>Normal</v>
      </c>
    </row>
    <row r="597" spans="1:26" x14ac:dyDescent="0.3">
      <c r="A597" t="s">
        <v>1236</v>
      </c>
      <c r="B597" s="1">
        <v>44445</v>
      </c>
      <c r="C597" t="s">
        <v>1237</v>
      </c>
      <c r="D597" t="s">
        <v>76</v>
      </c>
      <c r="E597">
        <v>33556</v>
      </c>
      <c r="F597">
        <v>15.9</v>
      </c>
      <c r="G597">
        <v>60</v>
      </c>
      <c r="H597" t="s">
        <v>81</v>
      </c>
      <c r="I597" t="s">
        <v>84</v>
      </c>
      <c r="J597" t="s">
        <v>37</v>
      </c>
      <c r="K597">
        <v>59932</v>
      </c>
      <c r="L597" t="s">
        <v>22</v>
      </c>
      <c r="M597">
        <v>0.49</v>
      </c>
      <c r="N597">
        <v>0.84</v>
      </c>
      <c r="O597">
        <v>8269.1299999999992</v>
      </c>
      <c r="P597">
        <v>9226.86</v>
      </c>
      <c r="Q597">
        <f ca="1">DATEDIF(banking_loan_data[[#This Row],[Issue Date]],TODAY(),"M")</f>
        <v>54</v>
      </c>
      <c r="R597">
        <f t="shared" si="54"/>
        <v>26677.020000000004</v>
      </c>
      <c r="S597">
        <f>+banking_loan_data[[#This Row],[Loan Amount]]+banking_loan_data[[#This Row],[Interest earned]]</f>
        <v>60233.020000000004</v>
      </c>
      <c r="T597" s="2">
        <f t="shared" si="55"/>
        <v>-16060.010000000002</v>
      </c>
      <c r="U597" s="2">
        <f t="shared" si="56"/>
        <v>1</v>
      </c>
      <c r="V597" s="2" t="str">
        <f>IF(banking_loan_data[[#This Row],[Loan Status]]="FULLY PAID","GOOD",IF(banking_loan_data[[#This Row],[Loan Status]]="CURRENT","ACTIVE","BAD"))</f>
        <v>BAD</v>
      </c>
      <c r="W59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97" s="3">
        <f t="shared" si="57"/>
        <v>44461.7</v>
      </c>
      <c r="Y597" s="4">
        <f t="shared" si="58"/>
        <v>-0.47860323042078917</v>
      </c>
      <c r="Z597" s="2" t="str">
        <f t="shared" si="59"/>
        <v>High Risk</v>
      </c>
    </row>
    <row r="598" spans="1:26" x14ac:dyDescent="0.3">
      <c r="A598" t="s">
        <v>1238</v>
      </c>
      <c r="B598" s="1">
        <v>44362</v>
      </c>
      <c r="C598" t="s">
        <v>1239</v>
      </c>
      <c r="D598" t="s">
        <v>18</v>
      </c>
      <c r="E598">
        <v>13595</v>
      </c>
      <c r="F598">
        <v>22.2</v>
      </c>
      <c r="G598">
        <v>36</v>
      </c>
      <c r="H598" t="s">
        <v>81</v>
      </c>
      <c r="I598" t="s">
        <v>41</v>
      </c>
      <c r="J598" t="s">
        <v>47</v>
      </c>
      <c r="K598">
        <v>36901</v>
      </c>
      <c r="L598" t="s">
        <v>22</v>
      </c>
      <c r="M598">
        <v>0.32</v>
      </c>
      <c r="N598">
        <v>0.73</v>
      </c>
      <c r="O598">
        <v>5141.99</v>
      </c>
      <c r="P598">
        <v>2205.12</v>
      </c>
      <c r="Q598">
        <f ca="1">DATEDIF(banking_loan_data[[#This Row],[Issue Date]],TODAY(),"M")</f>
        <v>57</v>
      </c>
      <c r="R598">
        <f t="shared" si="54"/>
        <v>9054.27</v>
      </c>
      <c r="S598">
        <f>+banking_loan_data[[#This Row],[Loan Amount]]+banking_loan_data[[#This Row],[Interest earned]]</f>
        <v>22649.27</v>
      </c>
      <c r="T598" s="2">
        <f t="shared" si="55"/>
        <v>-6247.89</v>
      </c>
      <c r="U598" s="2">
        <f t="shared" si="56"/>
        <v>1</v>
      </c>
      <c r="V598" s="2" t="str">
        <f>IF(banking_loan_data[[#This Row],[Loan Status]]="FULLY PAID","GOOD",IF(banking_loan_data[[#This Row],[Loan Status]]="CURRENT","ACTIVE","BAD"))</f>
        <v>BAD</v>
      </c>
      <c r="W59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98" s="3">
        <f t="shared" si="57"/>
        <v>25150.75</v>
      </c>
      <c r="Y598" s="4">
        <f t="shared" si="58"/>
        <v>-0.45957263699889667</v>
      </c>
      <c r="Z598" s="2" t="str">
        <f t="shared" si="59"/>
        <v>Normal</v>
      </c>
    </row>
    <row r="599" spans="1:26" x14ac:dyDescent="0.3">
      <c r="A599" t="s">
        <v>1240</v>
      </c>
      <c r="B599" s="1">
        <v>45180</v>
      </c>
      <c r="C599" t="s">
        <v>1241</v>
      </c>
      <c r="D599" t="s">
        <v>56</v>
      </c>
      <c r="E599">
        <v>2969</v>
      </c>
      <c r="F599">
        <v>16.8</v>
      </c>
      <c r="G599">
        <v>36</v>
      </c>
      <c r="H599" t="s">
        <v>81</v>
      </c>
      <c r="I599" t="s">
        <v>36</v>
      </c>
      <c r="J599" t="s">
        <v>37</v>
      </c>
      <c r="K599">
        <v>147473</v>
      </c>
      <c r="L599" t="s">
        <v>33</v>
      </c>
      <c r="M599">
        <v>0.49</v>
      </c>
      <c r="N599">
        <v>0.85</v>
      </c>
      <c r="O599">
        <v>760.95</v>
      </c>
      <c r="P599">
        <v>303.63</v>
      </c>
      <c r="Q599">
        <f ca="1">DATEDIF(banking_loan_data[[#This Row],[Issue Date]],TODAY(),"M")</f>
        <v>30</v>
      </c>
      <c r="R599">
        <f t="shared" si="54"/>
        <v>1496.3760000000002</v>
      </c>
      <c r="S599">
        <f>+banking_loan_data[[#This Row],[Loan Amount]]+banking_loan_data[[#This Row],[Interest earned]]</f>
        <v>4465.3760000000002</v>
      </c>
      <c r="T599" s="2">
        <f t="shared" si="55"/>
        <v>-1904.42</v>
      </c>
      <c r="U599" s="2">
        <f t="shared" si="56"/>
        <v>1</v>
      </c>
      <c r="V599" s="2" t="str">
        <f>IF(banking_loan_data[[#This Row],[Loan Status]]="FULLY PAID","GOOD",IF(banking_loan_data[[#This Row],[Loan Status]]="CURRENT","ACTIVE","BAD"))</f>
        <v>BAD</v>
      </c>
      <c r="W59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599" s="3">
        <f t="shared" si="57"/>
        <v>4156.6000000000859</v>
      </c>
      <c r="Y599" s="4">
        <f t="shared" si="58"/>
        <v>-0.64143482654092288</v>
      </c>
      <c r="Z599" s="2" t="str">
        <f t="shared" si="59"/>
        <v>High Risk</v>
      </c>
    </row>
    <row r="600" spans="1:26" x14ac:dyDescent="0.3">
      <c r="A600" t="s">
        <v>1242</v>
      </c>
      <c r="B600" s="1">
        <v>45216</v>
      </c>
      <c r="C600" t="s">
        <v>1243</v>
      </c>
      <c r="D600" t="s">
        <v>25</v>
      </c>
      <c r="E600">
        <v>18275</v>
      </c>
      <c r="F600">
        <v>9.5</v>
      </c>
      <c r="G600">
        <v>36</v>
      </c>
      <c r="H600" t="s">
        <v>19</v>
      </c>
      <c r="I600" t="s">
        <v>36</v>
      </c>
      <c r="J600" t="s">
        <v>21</v>
      </c>
      <c r="K600">
        <v>129023</v>
      </c>
      <c r="L600" t="s">
        <v>33</v>
      </c>
      <c r="M600">
        <v>0.15</v>
      </c>
      <c r="N600">
        <v>0.74</v>
      </c>
      <c r="O600">
        <v>20011.12</v>
      </c>
      <c r="P600">
        <v>0</v>
      </c>
      <c r="Q600">
        <f ca="1">DATEDIF(banking_loan_data[[#This Row],[Issue Date]],TODAY(),"M")</f>
        <v>29</v>
      </c>
      <c r="R600">
        <f t="shared" si="54"/>
        <v>5208.375</v>
      </c>
      <c r="S600">
        <f>+banking_loan_data[[#This Row],[Loan Amount]]+banking_loan_data[[#This Row],[Interest earned]]</f>
        <v>23483.375</v>
      </c>
      <c r="T600" s="2">
        <f t="shared" si="55"/>
        <v>1736.119999999999</v>
      </c>
      <c r="U600" s="2">
        <f t="shared" si="56"/>
        <v>0</v>
      </c>
      <c r="V600" s="2" t="str">
        <f>IF(banking_loan_data[[#This Row],[Loan Status]]="FULLY PAID","GOOD",IF(banking_loan_data[[#This Row],[Loan Status]]="CURRENT","ACTIVE","BAD"))</f>
        <v>GOOD</v>
      </c>
      <c r="W60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00" s="3">
        <f t="shared" si="57"/>
        <v>14467.708344377679</v>
      </c>
      <c r="Y600" s="4">
        <f t="shared" si="58"/>
        <v>9.4999726402188733E-2</v>
      </c>
      <c r="Z600" s="2" t="str">
        <f t="shared" si="59"/>
        <v>Normal</v>
      </c>
    </row>
    <row r="601" spans="1:26" x14ac:dyDescent="0.3">
      <c r="A601" t="s">
        <v>1244</v>
      </c>
      <c r="B601" s="1">
        <v>44738</v>
      </c>
      <c r="C601" t="s">
        <v>1245</v>
      </c>
      <c r="D601" t="s">
        <v>72</v>
      </c>
      <c r="E601">
        <v>5470</v>
      </c>
      <c r="F601">
        <v>12.7</v>
      </c>
      <c r="G601">
        <v>60</v>
      </c>
      <c r="H601" t="s">
        <v>81</v>
      </c>
      <c r="I601" t="s">
        <v>27</v>
      </c>
      <c r="J601" t="s">
        <v>28</v>
      </c>
      <c r="K601">
        <v>38597</v>
      </c>
      <c r="L601" t="s">
        <v>22</v>
      </c>
      <c r="M601">
        <v>0.3</v>
      </c>
      <c r="N601">
        <v>0.79</v>
      </c>
      <c r="O601">
        <v>1347.15</v>
      </c>
      <c r="P601">
        <v>2258.6</v>
      </c>
      <c r="Q601">
        <f ca="1">DATEDIF(banking_loan_data[[#This Row],[Issue Date]],TODAY(),"M")</f>
        <v>44</v>
      </c>
      <c r="R601">
        <f t="shared" si="54"/>
        <v>3473.4500000000003</v>
      </c>
      <c r="S601">
        <f>+banking_loan_data[[#This Row],[Loan Amount]]+banking_loan_data[[#This Row],[Interest earned]]</f>
        <v>8943.4500000000007</v>
      </c>
      <c r="T601" s="2">
        <f t="shared" si="55"/>
        <v>-1864.25</v>
      </c>
      <c r="U601" s="2">
        <f t="shared" si="56"/>
        <v>1</v>
      </c>
      <c r="V601" s="2" t="str">
        <f>IF(banking_loan_data[[#This Row],[Loan Status]]="FULLY PAID","GOOD",IF(banking_loan_data[[#This Row],[Loan Status]]="CURRENT","ACTIVE","BAD"))</f>
        <v>BAD</v>
      </c>
      <c r="W60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01" s="3">
        <f t="shared" si="57"/>
        <v>5789.083333333333</v>
      </c>
      <c r="Y601" s="4">
        <f t="shared" si="58"/>
        <v>-0.34081352833638023</v>
      </c>
      <c r="Z601" s="2" t="str">
        <f t="shared" si="59"/>
        <v>Normal</v>
      </c>
    </row>
    <row r="602" spans="1:26" x14ac:dyDescent="0.3">
      <c r="A602" t="s">
        <v>1246</v>
      </c>
      <c r="B602" s="1">
        <v>44955</v>
      </c>
      <c r="C602" t="s">
        <v>1247</v>
      </c>
      <c r="D602" t="s">
        <v>76</v>
      </c>
      <c r="E602">
        <v>11225</v>
      </c>
      <c r="F602">
        <v>14</v>
      </c>
      <c r="G602">
        <v>36</v>
      </c>
      <c r="H602" t="s">
        <v>26</v>
      </c>
      <c r="I602" t="s">
        <v>57</v>
      </c>
      <c r="J602" t="s">
        <v>37</v>
      </c>
      <c r="K602">
        <v>93909</v>
      </c>
      <c r="L602" t="s">
        <v>33</v>
      </c>
      <c r="M602">
        <v>0.17</v>
      </c>
      <c r="N602">
        <v>0.85</v>
      </c>
      <c r="O602">
        <v>3482.53</v>
      </c>
      <c r="P602">
        <v>0</v>
      </c>
      <c r="Q602">
        <f ca="1">DATEDIF(banking_loan_data[[#This Row],[Issue Date]],TODAY(),"M")</f>
        <v>37</v>
      </c>
      <c r="R602">
        <f t="shared" si="54"/>
        <v>4714.5</v>
      </c>
      <c r="S602">
        <f>+banking_loan_data[[#This Row],[Loan Amount]]+banking_loan_data[[#This Row],[Interest earned]]</f>
        <v>15939.5</v>
      </c>
      <c r="T602" s="2">
        <f t="shared" si="55"/>
        <v>-7742.4699999999993</v>
      </c>
      <c r="U602" s="2">
        <f t="shared" si="56"/>
        <v>0</v>
      </c>
      <c r="V602" s="2" t="str">
        <f>IF(banking_loan_data[[#This Row],[Loan Status]]="FULLY PAID","GOOD",IF(banking_loan_data[[#This Row],[Loan Status]]="CURRENT","ACTIVE","BAD"))</f>
        <v>ACTIVE</v>
      </c>
      <c r="W60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02" s="3">
        <f t="shared" si="57"/>
        <v>13095.833333344015</v>
      </c>
      <c r="Y602" s="4">
        <f t="shared" si="58"/>
        <v>-0.68975233853006679</v>
      </c>
      <c r="Z602" s="2" t="str">
        <f t="shared" si="59"/>
        <v>High Risk</v>
      </c>
    </row>
    <row r="603" spans="1:26" x14ac:dyDescent="0.3">
      <c r="A603" t="s">
        <v>1248</v>
      </c>
      <c r="B603" s="1">
        <v>44277</v>
      </c>
      <c r="C603" t="s">
        <v>1249</v>
      </c>
      <c r="D603" t="s">
        <v>50</v>
      </c>
      <c r="E603">
        <v>24196</v>
      </c>
      <c r="F603">
        <v>16.600000000000001</v>
      </c>
      <c r="G603">
        <v>60</v>
      </c>
      <c r="H603" t="s">
        <v>19</v>
      </c>
      <c r="I603" t="s">
        <v>20</v>
      </c>
      <c r="J603" t="s">
        <v>21</v>
      </c>
      <c r="K603">
        <v>102391</v>
      </c>
      <c r="L603" t="s">
        <v>22</v>
      </c>
      <c r="M603">
        <v>0.12</v>
      </c>
      <c r="N603">
        <v>0.68</v>
      </c>
      <c r="O603">
        <v>28212.54</v>
      </c>
      <c r="P603">
        <v>0</v>
      </c>
      <c r="Q603">
        <f ca="1">DATEDIF(banking_loan_data[[#This Row],[Issue Date]],TODAY(),"M")</f>
        <v>59</v>
      </c>
      <c r="R603">
        <f t="shared" si="54"/>
        <v>20082.680000000004</v>
      </c>
      <c r="S603">
        <f>+banking_loan_data[[#This Row],[Loan Amount]]+banking_loan_data[[#This Row],[Interest earned]]</f>
        <v>44278.680000000008</v>
      </c>
      <c r="T603" s="2">
        <f t="shared" si="55"/>
        <v>4016.5400000000009</v>
      </c>
      <c r="U603" s="2">
        <f t="shared" si="56"/>
        <v>0</v>
      </c>
      <c r="V603" s="2" t="str">
        <f>IF(banking_loan_data[[#This Row],[Loan Status]]="FULLY PAID","GOOD",IF(banking_loan_data[[#This Row],[Loan Status]]="CURRENT","ACTIVE","BAD"))</f>
        <v>GOOD</v>
      </c>
      <c r="W60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03" s="3">
        <f t="shared" si="57"/>
        <v>33471.133333333339</v>
      </c>
      <c r="Y603" s="4">
        <f t="shared" si="58"/>
        <v>0.16600016531658129</v>
      </c>
      <c r="Z603" s="2" t="str">
        <f t="shared" si="59"/>
        <v>Normal</v>
      </c>
    </row>
    <row r="604" spans="1:26" x14ac:dyDescent="0.3">
      <c r="A604" t="s">
        <v>1250</v>
      </c>
      <c r="B604" s="1">
        <v>44329</v>
      </c>
      <c r="C604" t="s">
        <v>1251</v>
      </c>
      <c r="D604" t="s">
        <v>40</v>
      </c>
      <c r="E604">
        <v>14669</v>
      </c>
      <c r="F604">
        <v>20.2</v>
      </c>
      <c r="G604">
        <v>36</v>
      </c>
      <c r="H604" t="s">
        <v>19</v>
      </c>
      <c r="I604" t="s">
        <v>27</v>
      </c>
      <c r="J604" t="s">
        <v>32</v>
      </c>
      <c r="K604">
        <v>114214</v>
      </c>
      <c r="L604" t="s">
        <v>22</v>
      </c>
      <c r="M604">
        <v>0.35</v>
      </c>
      <c r="N604">
        <v>0.5</v>
      </c>
      <c r="O604">
        <v>17632.14</v>
      </c>
      <c r="P604">
        <v>0</v>
      </c>
      <c r="Q604">
        <f ca="1">DATEDIF(banking_loan_data[[#This Row],[Issue Date]],TODAY(),"M")</f>
        <v>58</v>
      </c>
      <c r="R604">
        <f t="shared" si="54"/>
        <v>8889.4139999999989</v>
      </c>
      <c r="S604">
        <f>+banking_loan_data[[#This Row],[Loan Amount]]+banking_loan_data[[#This Row],[Interest earned]]</f>
        <v>23558.413999999997</v>
      </c>
      <c r="T604" s="2">
        <f t="shared" si="55"/>
        <v>2963.1399999999994</v>
      </c>
      <c r="U604" s="2">
        <f t="shared" si="56"/>
        <v>0</v>
      </c>
      <c r="V604" s="2" t="str">
        <f>IF(banking_loan_data[[#This Row],[Loan Status]]="FULLY PAID","GOOD",IF(banking_loan_data[[#This Row],[Loan Status]]="CURRENT","ACTIVE","BAD"))</f>
        <v>GOOD</v>
      </c>
      <c r="W60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04" s="3">
        <f t="shared" si="57"/>
        <v>24692.816666666677</v>
      </c>
      <c r="Y604" s="4">
        <f t="shared" si="58"/>
        <v>0.20200013634194555</v>
      </c>
      <c r="Z604" s="2" t="str">
        <f t="shared" si="59"/>
        <v>Normal</v>
      </c>
    </row>
    <row r="605" spans="1:26" x14ac:dyDescent="0.3">
      <c r="A605" t="s">
        <v>1252</v>
      </c>
      <c r="B605" s="1">
        <v>44993</v>
      </c>
      <c r="C605" t="s">
        <v>1253</v>
      </c>
      <c r="D605" t="s">
        <v>18</v>
      </c>
      <c r="E605">
        <v>38380</v>
      </c>
      <c r="F605">
        <v>7</v>
      </c>
      <c r="G605">
        <v>36</v>
      </c>
      <c r="H605" t="s">
        <v>19</v>
      </c>
      <c r="I605" t="s">
        <v>41</v>
      </c>
      <c r="J605" t="s">
        <v>47</v>
      </c>
      <c r="K605">
        <v>38263</v>
      </c>
      <c r="L605" t="s">
        <v>29</v>
      </c>
      <c r="M605">
        <v>0.18</v>
      </c>
      <c r="N605">
        <v>0.88</v>
      </c>
      <c r="O605">
        <v>41066.6</v>
      </c>
      <c r="P605">
        <v>0</v>
      </c>
      <c r="Q605">
        <f ca="1">DATEDIF(banking_loan_data[[#This Row],[Issue Date]],TODAY(),"M")</f>
        <v>36</v>
      </c>
      <c r="R605">
        <f t="shared" si="54"/>
        <v>8059.7999999999993</v>
      </c>
      <c r="S605">
        <f>+banking_loan_data[[#This Row],[Loan Amount]]+banking_loan_data[[#This Row],[Interest earned]]</f>
        <v>46439.8</v>
      </c>
      <c r="T605" s="2">
        <f t="shared" si="55"/>
        <v>2686.5999999999985</v>
      </c>
      <c r="U605" s="2">
        <f t="shared" si="56"/>
        <v>0</v>
      </c>
      <c r="V605" s="2" t="str">
        <f>IF(banking_loan_data[[#This Row],[Loan Status]]="FULLY PAID","GOOD",IF(banking_loan_data[[#This Row],[Loan Status]]="CURRENT","ACTIVE","BAD"))</f>
        <v>GOOD</v>
      </c>
      <c r="W60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05" s="3">
        <f t="shared" si="57"/>
        <v>22388.334796915191</v>
      </c>
      <c r="Y605" s="4">
        <f t="shared" si="58"/>
        <v>6.9999999999999965E-2</v>
      </c>
      <c r="Z605" s="2" t="str">
        <f t="shared" si="59"/>
        <v>High Risk</v>
      </c>
    </row>
    <row r="606" spans="1:26" x14ac:dyDescent="0.3">
      <c r="A606" t="s">
        <v>1254</v>
      </c>
      <c r="B606" s="1">
        <v>45096</v>
      </c>
      <c r="C606" t="s">
        <v>1255</v>
      </c>
      <c r="D606" t="s">
        <v>53</v>
      </c>
      <c r="E606">
        <v>39006</v>
      </c>
      <c r="F606">
        <v>22.8</v>
      </c>
      <c r="G606">
        <v>60</v>
      </c>
      <c r="H606" t="s">
        <v>19</v>
      </c>
      <c r="I606" t="s">
        <v>27</v>
      </c>
      <c r="J606" t="s">
        <v>32</v>
      </c>
      <c r="K606">
        <v>93293</v>
      </c>
      <c r="L606" t="s">
        <v>22</v>
      </c>
      <c r="M606">
        <v>0.34</v>
      </c>
      <c r="N606">
        <v>0.67</v>
      </c>
      <c r="O606">
        <v>47899.37</v>
      </c>
      <c r="P606">
        <v>0</v>
      </c>
      <c r="Q606">
        <f ca="1">DATEDIF(banking_loan_data[[#This Row],[Issue Date]],TODAY(),"M")</f>
        <v>33</v>
      </c>
      <c r="R606">
        <f t="shared" si="54"/>
        <v>44466.840000000004</v>
      </c>
      <c r="S606">
        <f>+banking_loan_data[[#This Row],[Loan Amount]]+banking_loan_data[[#This Row],[Interest earned]]</f>
        <v>83472.84</v>
      </c>
      <c r="T606" s="2">
        <f t="shared" si="55"/>
        <v>8893.3700000000026</v>
      </c>
      <c r="U606" s="2">
        <f t="shared" si="56"/>
        <v>0</v>
      </c>
      <c r="V606" s="2" t="str">
        <f>IF(banking_loan_data[[#This Row],[Loan Status]]="FULLY PAID","GOOD",IF(banking_loan_data[[#This Row],[Loan Status]]="CURRENT","ACTIVE","BAD"))</f>
        <v>GOOD</v>
      </c>
      <c r="W60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06" s="3">
        <f t="shared" si="57"/>
        <v>74111.400000000009</v>
      </c>
      <c r="Y606" s="4">
        <f t="shared" si="58"/>
        <v>0.22800005127416301</v>
      </c>
      <c r="Z606" s="2" t="str">
        <f t="shared" si="59"/>
        <v>Normal</v>
      </c>
    </row>
    <row r="607" spans="1:26" x14ac:dyDescent="0.3">
      <c r="A607" t="s">
        <v>1256</v>
      </c>
      <c r="B607" s="1">
        <v>44334</v>
      </c>
      <c r="C607" t="s">
        <v>1257</v>
      </c>
      <c r="D607" t="s">
        <v>76</v>
      </c>
      <c r="E607">
        <v>16577</v>
      </c>
      <c r="F607">
        <v>5.2</v>
      </c>
      <c r="G607">
        <v>60</v>
      </c>
      <c r="H607" t="s">
        <v>19</v>
      </c>
      <c r="I607" t="s">
        <v>36</v>
      </c>
      <c r="J607" t="s">
        <v>21</v>
      </c>
      <c r="K607">
        <v>142824</v>
      </c>
      <c r="L607" t="s">
        <v>33</v>
      </c>
      <c r="M607">
        <v>0.14000000000000001</v>
      </c>
      <c r="N607">
        <v>0.72</v>
      </c>
      <c r="O607">
        <v>17439</v>
      </c>
      <c r="P607">
        <v>0</v>
      </c>
      <c r="Q607">
        <f ca="1">DATEDIF(banking_loan_data[[#This Row],[Issue Date]],TODAY(),"M")</f>
        <v>58</v>
      </c>
      <c r="R607">
        <f t="shared" si="54"/>
        <v>4310.0200000000004</v>
      </c>
      <c r="S607">
        <f>+banking_loan_data[[#This Row],[Loan Amount]]+banking_loan_data[[#This Row],[Interest earned]]</f>
        <v>20887.02</v>
      </c>
      <c r="T607" s="2">
        <f t="shared" si="55"/>
        <v>862</v>
      </c>
      <c r="U607" s="2">
        <f t="shared" si="56"/>
        <v>0</v>
      </c>
      <c r="V607" s="2" t="str">
        <f>IF(banking_loan_data[[#This Row],[Loan Status]]="FULLY PAID","GOOD",IF(banking_loan_data[[#This Row],[Loan Status]]="CURRENT","ACTIVE","BAD"))</f>
        <v>GOOD</v>
      </c>
      <c r="W60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07" s="3">
        <f t="shared" si="57"/>
        <v>7183.3666696554619</v>
      </c>
      <c r="Y607" s="4">
        <f t="shared" si="58"/>
        <v>5.1999758701815772E-2</v>
      </c>
      <c r="Z607" s="2" t="str">
        <f t="shared" si="59"/>
        <v>Normal</v>
      </c>
    </row>
    <row r="608" spans="1:26" x14ac:dyDescent="0.3">
      <c r="A608" t="s">
        <v>1258</v>
      </c>
      <c r="B608" s="1">
        <v>44380</v>
      </c>
      <c r="C608" t="s">
        <v>1259</v>
      </c>
      <c r="D608" t="s">
        <v>25</v>
      </c>
      <c r="E608">
        <v>23473</v>
      </c>
      <c r="F608">
        <v>12.4</v>
      </c>
      <c r="G608">
        <v>60</v>
      </c>
      <c r="H608" t="s">
        <v>60</v>
      </c>
      <c r="I608" t="s">
        <v>84</v>
      </c>
      <c r="J608" t="s">
        <v>32</v>
      </c>
      <c r="K608">
        <v>55805</v>
      </c>
      <c r="L608" t="s">
        <v>29</v>
      </c>
      <c r="M608">
        <v>0.23</v>
      </c>
      <c r="N608">
        <v>0.5</v>
      </c>
      <c r="O608">
        <v>0</v>
      </c>
      <c r="P608">
        <v>0</v>
      </c>
      <c r="Q608">
        <f ca="1">DATEDIF(banking_loan_data[[#This Row],[Issue Date]],TODAY(),"M")</f>
        <v>56</v>
      </c>
      <c r="R608">
        <f t="shared" si="54"/>
        <v>14553.26</v>
      </c>
      <c r="S608">
        <f>+banking_loan_data[[#This Row],[Loan Amount]]+banking_loan_data[[#This Row],[Interest earned]]</f>
        <v>38026.26</v>
      </c>
      <c r="T608" s="2">
        <f t="shared" si="55"/>
        <v>-23473</v>
      </c>
      <c r="U608" s="2">
        <f t="shared" si="56"/>
        <v>0</v>
      </c>
      <c r="V608" s="2" t="str">
        <f>IF(banking_loan_data[[#This Row],[Loan Status]]="FULLY PAID","GOOD",IF(banking_loan_data[[#This Row],[Loan Status]]="CURRENT","ACTIVE","BAD"))</f>
        <v>BAD</v>
      </c>
      <c r="W60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08" s="3">
        <f t="shared" si="57"/>
        <v>24255.433333333334</v>
      </c>
      <c r="Y608" s="4">
        <f t="shared" si="58"/>
        <v>-1</v>
      </c>
      <c r="Z608" s="2" t="str">
        <f t="shared" si="59"/>
        <v>Normal</v>
      </c>
    </row>
    <row r="609" spans="1:26" x14ac:dyDescent="0.3">
      <c r="A609" t="s">
        <v>1260</v>
      </c>
      <c r="B609" s="1">
        <v>44981</v>
      </c>
      <c r="C609" t="s">
        <v>1261</v>
      </c>
      <c r="D609" t="s">
        <v>53</v>
      </c>
      <c r="E609">
        <v>29625</v>
      </c>
      <c r="F609">
        <v>5.5</v>
      </c>
      <c r="G609">
        <v>60</v>
      </c>
      <c r="H609" t="s">
        <v>19</v>
      </c>
      <c r="I609" t="s">
        <v>20</v>
      </c>
      <c r="J609" t="s">
        <v>32</v>
      </c>
      <c r="K609">
        <v>121679</v>
      </c>
      <c r="L609" t="s">
        <v>29</v>
      </c>
      <c r="M609">
        <v>0.41</v>
      </c>
      <c r="N609">
        <v>0.72</v>
      </c>
      <c r="O609">
        <v>31254.37</v>
      </c>
      <c r="P609">
        <v>0</v>
      </c>
      <c r="Q609">
        <f ca="1">DATEDIF(banking_loan_data[[#This Row],[Issue Date]],TODAY(),"M")</f>
        <v>36</v>
      </c>
      <c r="R609">
        <f t="shared" si="54"/>
        <v>8146.875</v>
      </c>
      <c r="S609">
        <f>+banking_loan_data[[#This Row],[Loan Amount]]+banking_loan_data[[#This Row],[Interest earned]]</f>
        <v>37771.875</v>
      </c>
      <c r="T609" s="2">
        <f t="shared" si="55"/>
        <v>1629.369999999999</v>
      </c>
      <c r="U609" s="2">
        <f t="shared" si="56"/>
        <v>0</v>
      </c>
      <c r="V609" s="2" t="str">
        <f>IF(banking_loan_data[[#This Row],[Loan Status]]="FULLY PAID","GOOD",IF(banking_loan_data[[#This Row],[Loan Status]]="CURRENT","ACTIVE","BAD"))</f>
        <v>GOOD</v>
      </c>
      <c r="W60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09" s="3">
        <f t="shared" si="57"/>
        <v>13578.125002001851</v>
      </c>
      <c r="Y609" s="4">
        <f t="shared" si="58"/>
        <v>5.4999831223628656E-2</v>
      </c>
      <c r="Z609" s="2" t="str">
        <f t="shared" si="59"/>
        <v>High Risk</v>
      </c>
    </row>
    <row r="610" spans="1:26" x14ac:dyDescent="0.3">
      <c r="A610" t="s">
        <v>1262</v>
      </c>
      <c r="B610" s="1">
        <v>45180</v>
      </c>
      <c r="C610" t="s">
        <v>1263</v>
      </c>
      <c r="D610" t="s">
        <v>18</v>
      </c>
      <c r="E610">
        <v>16504</v>
      </c>
      <c r="F610">
        <v>12.9</v>
      </c>
      <c r="G610">
        <v>60</v>
      </c>
      <c r="H610" t="s">
        <v>19</v>
      </c>
      <c r="I610" t="s">
        <v>20</v>
      </c>
      <c r="J610" t="s">
        <v>21</v>
      </c>
      <c r="K610">
        <v>41874</v>
      </c>
      <c r="L610" t="s">
        <v>33</v>
      </c>
      <c r="M610">
        <v>0.27</v>
      </c>
      <c r="N610">
        <v>0.94</v>
      </c>
      <c r="O610">
        <v>18633.02</v>
      </c>
      <c r="P610">
        <v>0</v>
      </c>
      <c r="Q610">
        <f ca="1">DATEDIF(banking_loan_data[[#This Row],[Issue Date]],TODAY(),"M")</f>
        <v>30</v>
      </c>
      <c r="R610">
        <f t="shared" si="54"/>
        <v>10645.08</v>
      </c>
      <c r="S610">
        <f>+banking_loan_data[[#This Row],[Loan Amount]]+banking_loan_data[[#This Row],[Interest earned]]</f>
        <v>27149.08</v>
      </c>
      <c r="T610" s="2">
        <f t="shared" si="55"/>
        <v>2129.0200000000004</v>
      </c>
      <c r="U610" s="2">
        <f t="shared" si="56"/>
        <v>0</v>
      </c>
      <c r="V610" s="2" t="str">
        <f>IF(banking_loan_data[[#This Row],[Loan Status]]="FULLY PAID","GOOD",IF(banking_loan_data[[#This Row],[Loan Status]]="CURRENT","ACTIVE","BAD"))</f>
        <v>GOOD</v>
      </c>
      <c r="W61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10" s="3">
        <f t="shared" si="57"/>
        <v>17741.8</v>
      </c>
      <c r="Y610" s="4">
        <f t="shared" si="58"/>
        <v>0.12900024236548718</v>
      </c>
      <c r="Z610" s="2" t="str">
        <f t="shared" si="59"/>
        <v>High Risk</v>
      </c>
    </row>
    <row r="611" spans="1:26" x14ac:dyDescent="0.3">
      <c r="A611" t="s">
        <v>1264</v>
      </c>
      <c r="B611" s="1">
        <v>44265</v>
      </c>
      <c r="C611" t="s">
        <v>1265</v>
      </c>
      <c r="D611" t="s">
        <v>40</v>
      </c>
      <c r="E611">
        <v>25089</v>
      </c>
      <c r="F611">
        <v>15.5</v>
      </c>
      <c r="G611">
        <v>36</v>
      </c>
      <c r="H611" t="s">
        <v>60</v>
      </c>
      <c r="I611" t="s">
        <v>57</v>
      </c>
      <c r="J611" t="s">
        <v>28</v>
      </c>
      <c r="K611">
        <v>123065</v>
      </c>
      <c r="L611" t="s">
        <v>33</v>
      </c>
      <c r="M611">
        <v>0.35</v>
      </c>
      <c r="N611">
        <v>0.63</v>
      </c>
      <c r="O611">
        <v>0</v>
      </c>
      <c r="P611">
        <v>0</v>
      </c>
      <c r="Q611">
        <f ca="1">DATEDIF(banking_loan_data[[#This Row],[Issue Date]],TODAY(),"M")</f>
        <v>60</v>
      </c>
      <c r="R611">
        <f t="shared" si="54"/>
        <v>11666.385</v>
      </c>
      <c r="S611">
        <f>+banking_loan_data[[#This Row],[Loan Amount]]+banking_loan_data[[#This Row],[Interest earned]]</f>
        <v>36755.385000000002</v>
      </c>
      <c r="T611" s="2">
        <f t="shared" si="55"/>
        <v>-25089</v>
      </c>
      <c r="U611" s="2">
        <f t="shared" si="56"/>
        <v>0</v>
      </c>
      <c r="V611" s="2" t="str">
        <f>IF(banking_loan_data[[#This Row],[Loan Status]]="FULLY PAID","GOOD",IF(banking_loan_data[[#This Row],[Loan Status]]="CURRENT","ACTIVE","BAD"))</f>
        <v>BAD</v>
      </c>
      <c r="W61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11" s="3">
        <f t="shared" si="57"/>
        <v>32406.625000003511</v>
      </c>
      <c r="Y611" s="4">
        <f t="shared" si="58"/>
        <v>-1</v>
      </c>
      <c r="Z611" s="2" t="str">
        <f t="shared" si="59"/>
        <v>Normal</v>
      </c>
    </row>
    <row r="612" spans="1:26" x14ac:dyDescent="0.3">
      <c r="A612" t="s">
        <v>1266</v>
      </c>
      <c r="B612" s="1">
        <v>44742</v>
      </c>
      <c r="C612" t="s">
        <v>1267</v>
      </c>
      <c r="D612" t="s">
        <v>65</v>
      </c>
      <c r="E612">
        <v>37487</v>
      </c>
      <c r="F612">
        <v>15.2</v>
      </c>
      <c r="G612">
        <v>36</v>
      </c>
      <c r="H612" t="s">
        <v>19</v>
      </c>
      <c r="I612" t="s">
        <v>20</v>
      </c>
      <c r="J612" t="s">
        <v>37</v>
      </c>
      <c r="K612">
        <v>116402</v>
      </c>
      <c r="L612" t="s">
        <v>33</v>
      </c>
      <c r="M612">
        <v>0.36</v>
      </c>
      <c r="N612">
        <v>0.68</v>
      </c>
      <c r="O612">
        <v>43185.02</v>
      </c>
      <c r="P612">
        <v>0</v>
      </c>
      <c r="Q612">
        <f ca="1">DATEDIF(banking_loan_data[[#This Row],[Issue Date]],TODAY(),"M")</f>
        <v>44</v>
      </c>
      <c r="R612">
        <f t="shared" si="54"/>
        <v>17094.072</v>
      </c>
      <c r="S612">
        <f>+banking_loan_data[[#This Row],[Loan Amount]]+banking_loan_data[[#This Row],[Interest earned]]</f>
        <v>54581.072</v>
      </c>
      <c r="T612" s="2">
        <f t="shared" si="55"/>
        <v>5698.0199999999968</v>
      </c>
      <c r="U612" s="2">
        <f t="shared" si="56"/>
        <v>0</v>
      </c>
      <c r="V612" s="2" t="str">
        <f>IF(banking_loan_data[[#This Row],[Loan Status]]="FULLY PAID","GOOD",IF(banking_loan_data[[#This Row],[Loan Status]]="CURRENT","ACTIVE","BAD"))</f>
        <v>GOOD</v>
      </c>
      <c r="W61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12" s="3">
        <f t="shared" si="57"/>
        <v>47483.533333340965</v>
      </c>
      <c r="Y612" s="4">
        <f t="shared" si="58"/>
        <v>0.15199989329634264</v>
      </c>
      <c r="Z612" s="2" t="str">
        <f t="shared" si="59"/>
        <v>Normal</v>
      </c>
    </row>
    <row r="613" spans="1:26" x14ac:dyDescent="0.3">
      <c r="A613" t="s">
        <v>1268</v>
      </c>
      <c r="B613" s="1">
        <v>44249</v>
      </c>
      <c r="C613" t="s">
        <v>1269</v>
      </c>
      <c r="D613" t="s">
        <v>25</v>
      </c>
      <c r="E613">
        <v>1302</v>
      </c>
      <c r="F613">
        <v>8.3000000000000007</v>
      </c>
      <c r="G613">
        <v>60</v>
      </c>
      <c r="H613" t="s">
        <v>81</v>
      </c>
      <c r="I613" t="s">
        <v>73</v>
      </c>
      <c r="J613" t="s">
        <v>47</v>
      </c>
      <c r="K613">
        <v>44079</v>
      </c>
      <c r="L613" t="s">
        <v>22</v>
      </c>
      <c r="M613">
        <v>0.44</v>
      </c>
      <c r="N613">
        <v>0.81</v>
      </c>
      <c r="O613">
        <v>399.41</v>
      </c>
      <c r="P613">
        <v>452.5</v>
      </c>
      <c r="Q613">
        <f ca="1">DATEDIF(banking_loan_data[[#This Row],[Issue Date]],TODAY(),"M")</f>
        <v>60</v>
      </c>
      <c r="R613">
        <f t="shared" si="54"/>
        <v>540.33000000000004</v>
      </c>
      <c r="S613">
        <f>+banking_loan_data[[#This Row],[Loan Amount]]+banking_loan_data[[#This Row],[Interest earned]]</f>
        <v>1842.33</v>
      </c>
      <c r="T613" s="2">
        <f t="shared" si="55"/>
        <v>-450.08999999999992</v>
      </c>
      <c r="U613" s="2">
        <f t="shared" si="56"/>
        <v>1</v>
      </c>
      <c r="V613" s="2" t="str">
        <f>IF(banking_loan_data[[#This Row],[Loan Status]]="FULLY PAID","GOOD",IF(banking_loan_data[[#This Row],[Loan Status]]="CURRENT","ACTIVE","BAD"))</f>
        <v>BAD</v>
      </c>
      <c r="W61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13" s="3">
        <f t="shared" si="57"/>
        <v>900.55000000001803</v>
      </c>
      <c r="Y613" s="4">
        <f t="shared" si="58"/>
        <v>-0.34569124423963127</v>
      </c>
      <c r="Z613" s="2" t="str">
        <f t="shared" si="59"/>
        <v>High Risk</v>
      </c>
    </row>
    <row r="614" spans="1:26" x14ac:dyDescent="0.3">
      <c r="A614" t="s">
        <v>1270</v>
      </c>
      <c r="B614" s="1">
        <v>44401</v>
      </c>
      <c r="C614" t="s">
        <v>1271</v>
      </c>
      <c r="D614" t="s">
        <v>53</v>
      </c>
      <c r="E614">
        <v>32463</v>
      </c>
      <c r="F614">
        <v>17.899999999999999</v>
      </c>
      <c r="G614">
        <v>36</v>
      </c>
      <c r="H614" t="s">
        <v>19</v>
      </c>
      <c r="I614" t="s">
        <v>41</v>
      </c>
      <c r="J614" t="s">
        <v>37</v>
      </c>
      <c r="K614">
        <v>79850</v>
      </c>
      <c r="L614" t="s">
        <v>29</v>
      </c>
      <c r="M614">
        <v>0.23</v>
      </c>
      <c r="N614">
        <v>0.87</v>
      </c>
      <c r="O614">
        <v>38273.879999999997</v>
      </c>
      <c r="P614">
        <v>0</v>
      </c>
      <c r="Q614">
        <f ca="1">DATEDIF(banking_loan_data[[#This Row],[Issue Date]],TODAY(),"M")</f>
        <v>55</v>
      </c>
      <c r="R614">
        <f t="shared" si="54"/>
        <v>17432.630999999998</v>
      </c>
      <c r="S614">
        <f>+banking_loan_data[[#This Row],[Loan Amount]]+banking_loan_data[[#This Row],[Interest earned]]</f>
        <v>49895.630999999994</v>
      </c>
      <c r="T614" s="2">
        <f t="shared" si="55"/>
        <v>5810.8799999999974</v>
      </c>
      <c r="U614" s="2">
        <f t="shared" si="56"/>
        <v>0</v>
      </c>
      <c r="V614" s="2" t="str">
        <f>IF(banking_loan_data[[#This Row],[Loan Status]]="FULLY PAID","GOOD",IF(banking_loan_data[[#This Row],[Loan Status]]="CURRENT","ACTIVE","BAD"))</f>
        <v>GOOD</v>
      </c>
      <c r="W61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14" s="3">
        <f t="shared" si="57"/>
        <v>48423.975000000253</v>
      </c>
      <c r="Y614" s="4">
        <f t="shared" si="58"/>
        <v>0.17900009241290077</v>
      </c>
      <c r="Z614" s="2" t="str">
        <f t="shared" si="59"/>
        <v>High Risk</v>
      </c>
    </row>
    <row r="615" spans="1:26" x14ac:dyDescent="0.3">
      <c r="A615" t="s">
        <v>1272</v>
      </c>
      <c r="B615" s="1">
        <v>44322</v>
      </c>
      <c r="C615" t="s">
        <v>1273</v>
      </c>
      <c r="D615" t="s">
        <v>25</v>
      </c>
      <c r="E615">
        <v>30259</v>
      </c>
      <c r="F615">
        <v>5.9</v>
      </c>
      <c r="G615">
        <v>36</v>
      </c>
      <c r="H615" t="s">
        <v>26</v>
      </c>
      <c r="I615" t="s">
        <v>27</v>
      </c>
      <c r="J615" t="s">
        <v>47</v>
      </c>
      <c r="K615">
        <v>102779</v>
      </c>
      <c r="L615" t="s">
        <v>22</v>
      </c>
      <c r="M615">
        <v>0.37</v>
      </c>
      <c r="N615">
        <v>0.69</v>
      </c>
      <c r="O615">
        <v>2968.33</v>
      </c>
      <c r="P615">
        <v>0</v>
      </c>
      <c r="Q615">
        <f ca="1">DATEDIF(banking_loan_data[[#This Row],[Issue Date]],TODAY(),"M")</f>
        <v>58</v>
      </c>
      <c r="R615">
        <f t="shared" si="54"/>
        <v>5355.8429999999998</v>
      </c>
      <c r="S615">
        <f>+banking_loan_data[[#This Row],[Loan Amount]]+banking_loan_data[[#This Row],[Interest earned]]</f>
        <v>35614.843000000001</v>
      </c>
      <c r="T615" s="2">
        <f t="shared" si="55"/>
        <v>-27290.67</v>
      </c>
      <c r="U615" s="2">
        <f t="shared" si="56"/>
        <v>0</v>
      </c>
      <c r="V615" s="2" t="str">
        <f>IF(banking_loan_data[[#This Row],[Loan Status]]="FULLY PAID","GOOD",IF(banking_loan_data[[#This Row],[Loan Status]]="CURRENT","ACTIVE","BAD"))</f>
        <v>ACTIVE</v>
      </c>
      <c r="W61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15" s="3">
        <f t="shared" si="57"/>
        <v>14877.349990843977</v>
      </c>
      <c r="Y615" s="4">
        <f t="shared" si="58"/>
        <v>-0.90190257444066224</v>
      </c>
      <c r="Z615" s="2" t="str">
        <f t="shared" si="59"/>
        <v>Normal</v>
      </c>
    </row>
    <row r="616" spans="1:26" x14ac:dyDescent="0.3">
      <c r="A616" t="s">
        <v>1274</v>
      </c>
      <c r="B616" s="1">
        <v>44239</v>
      </c>
      <c r="C616" t="s">
        <v>1275</v>
      </c>
      <c r="D616" t="s">
        <v>56</v>
      </c>
      <c r="E616">
        <v>38208</v>
      </c>
      <c r="F616">
        <v>20.2</v>
      </c>
      <c r="G616">
        <v>36</v>
      </c>
      <c r="H616" t="s">
        <v>19</v>
      </c>
      <c r="I616" t="s">
        <v>57</v>
      </c>
      <c r="J616" t="s">
        <v>37</v>
      </c>
      <c r="K616">
        <v>125408</v>
      </c>
      <c r="L616" t="s">
        <v>22</v>
      </c>
      <c r="M616">
        <v>0.48</v>
      </c>
      <c r="N616">
        <v>0.64</v>
      </c>
      <c r="O616">
        <v>45926.02</v>
      </c>
      <c r="P616">
        <v>0</v>
      </c>
      <c r="Q616">
        <f ca="1">DATEDIF(banking_loan_data[[#This Row],[Issue Date]],TODAY(),"M")</f>
        <v>61</v>
      </c>
      <c r="R616">
        <f t="shared" si="54"/>
        <v>23154.047999999999</v>
      </c>
      <c r="S616">
        <f>+banking_loan_data[[#This Row],[Loan Amount]]+banking_loan_data[[#This Row],[Interest earned]]</f>
        <v>61362.047999999995</v>
      </c>
      <c r="T616" s="2">
        <f t="shared" si="55"/>
        <v>7718.0199999999968</v>
      </c>
      <c r="U616" s="2">
        <f t="shared" si="56"/>
        <v>0</v>
      </c>
      <c r="V616" s="2" t="str">
        <f>IF(banking_loan_data[[#This Row],[Loan Status]]="FULLY PAID","GOOD",IF(banking_loan_data[[#This Row],[Loan Status]]="CURRENT","ACTIVE","BAD"))</f>
        <v>GOOD</v>
      </c>
      <c r="W61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16" s="3">
        <f t="shared" si="57"/>
        <v>64316.800000000025</v>
      </c>
      <c r="Y616" s="4">
        <f t="shared" si="58"/>
        <v>0.20200010469011717</v>
      </c>
      <c r="Z616" s="2" t="str">
        <f t="shared" si="59"/>
        <v>High Risk</v>
      </c>
    </row>
    <row r="617" spans="1:26" x14ac:dyDescent="0.3">
      <c r="A617" t="s">
        <v>1276</v>
      </c>
      <c r="B617" s="1">
        <v>44307</v>
      </c>
      <c r="C617" t="s">
        <v>1277</v>
      </c>
      <c r="D617" t="s">
        <v>53</v>
      </c>
      <c r="E617">
        <v>31659</v>
      </c>
      <c r="F617">
        <v>23.9</v>
      </c>
      <c r="G617">
        <v>60</v>
      </c>
      <c r="H617" t="s">
        <v>26</v>
      </c>
      <c r="I617" t="s">
        <v>20</v>
      </c>
      <c r="J617" t="s">
        <v>32</v>
      </c>
      <c r="K617">
        <v>39018</v>
      </c>
      <c r="L617" t="s">
        <v>22</v>
      </c>
      <c r="M617">
        <v>0.39</v>
      </c>
      <c r="N617">
        <v>0.92</v>
      </c>
      <c r="O617">
        <v>13280.94</v>
      </c>
      <c r="P617">
        <v>0</v>
      </c>
      <c r="Q617">
        <f ca="1">DATEDIF(banking_loan_data[[#This Row],[Issue Date]],TODAY(),"M")</f>
        <v>58</v>
      </c>
      <c r="R617">
        <f t="shared" si="54"/>
        <v>37832.504999999997</v>
      </c>
      <c r="S617">
        <f>+banking_loan_data[[#This Row],[Loan Amount]]+banking_loan_data[[#This Row],[Interest earned]]</f>
        <v>69491.505000000005</v>
      </c>
      <c r="T617" s="2">
        <f t="shared" si="55"/>
        <v>-18378.059999999998</v>
      </c>
      <c r="U617" s="2">
        <f t="shared" si="56"/>
        <v>0</v>
      </c>
      <c r="V617" s="2" t="str">
        <f>IF(banking_loan_data[[#This Row],[Loan Status]]="FULLY PAID","GOOD",IF(banking_loan_data[[#This Row],[Loan Status]]="CURRENT","ACTIVE","BAD"))</f>
        <v>ACTIVE</v>
      </c>
      <c r="W61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17" s="3">
        <f t="shared" si="57"/>
        <v>63054.174999999996</v>
      </c>
      <c r="Y617" s="4">
        <f t="shared" si="58"/>
        <v>-0.58050033165924375</v>
      </c>
      <c r="Z617" s="2" t="str">
        <f t="shared" si="59"/>
        <v>High Risk</v>
      </c>
    </row>
    <row r="618" spans="1:26" x14ac:dyDescent="0.3">
      <c r="A618" t="s">
        <v>1278</v>
      </c>
      <c r="B618" s="1">
        <v>44957</v>
      </c>
      <c r="C618" t="s">
        <v>1279</v>
      </c>
      <c r="D618" t="s">
        <v>76</v>
      </c>
      <c r="E618">
        <v>36840</v>
      </c>
      <c r="F618">
        <v>11.8</v>
      </c>
      <c r="G618">
        <v>36</v>
      </c>
      <c r="H618" t="s">
        <v>19</v>
      </c>
      <c r="I618" t="s">
        <v>57</v>
      </c>
      <c r="J618" t="s">
        <v>28</v>
      </c>
      <c r="K618">
        <v>79500</v>
      </c>
      <c r="L618" t="s">
        <v>22</v>
      </c>
      <c r="M618">
        <v>0.3</v>
      </c>
      <c r="N618">
        <v>0.8</v>
      </c>
      <c r="O618">
        <v>41187.120000000003</v>
      </c>
      <c r="P618">
        <v>0</v>
      </c>
      <c r="Q618">
        <f ca="1">DATEDIF(banking_loan_data[[#This Row],[Issue Date]],TODAY(),"M")</f>
        <v>37</v>
      </c>
      <c r="R618">
        <f t="shared" si="54"/>
        <v>13041.36</v>
      </c>
      <c r="S618">
        <f>+banking_loan_data[[#This Row],[Loan Amount]]+banking_loan_data[[#This Row],[Interest earned]]</f>
        <v>49881.36</v>
      </c>
      <c r="T618" s="2">
        <f t="shared" si="55"/>
        <v>4347.1200000000026</v>
      </c>
      <c r="U618" s="2">
        <f t="shared" si="56"/>
        <v>0</v>
      </c>
      <c r="V618" s="2" t="str">
        <f>IF(banking_loan_data[[#This Row],[Loan Status]]="FULLY PAID","GOOD",IF(banking_loan_data[[#This Row],[Loan Status]]="CURRENT","ACTIVE","BAD"))</f>
        <v>GOOD</v>
      </c>
      <c r="W61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18" s="3">
        <f t="shared" si="57"/>
        <v>36226.000000712491</v>
      </c>
      <c r="Y618" s="4">
        <f t="shared" si="58"/>
        <v>0.11800000000000008</v>
      </c>
      <c r="Z618" s="2" t="str">
        <f t="shared" si="59"/>
        <v>Normal</v>
      </c>
    </row>
    <row r="619" spans="1:26" x14ac:dyDescent="0.3">
      <c r="A619" t="s">
        <v>1280</v>
      </c>
      <c r="B619" s="1">
        <v>45044</v>
      </c>
      <c r="C619" t="s">
        <v>1281</v>
      </c>
      <c r="D619" t="s">
        <v>65</v>
      </c>
      <c r="E619">
        <v>32890</v>
      </c>
      <c r="F619">
        <v>15.3</v>
      </c>
      <c r="G619">
        <v>36</v>
      </c>
      <c r="H619" t="s">
        <v>26</v>
      </c>
      <c r="I619" t="s">
        <v>73</v>
      </c>
      <c r="J619" t="s">
        <v>32</v>
      </c>
      <c r="K619">
        <v>42100</v>
      </c>
      <c r="L619" t="s">
        <v>29</v>
      </c>
      <c r="M619">
        <v>0.35</v>
      </c>
      <c r="N619">
        <v>0.55000000000000004</v>
      </c>
      <c r="O619">
        <v>8090.19</v>
      </c>
      <c r="P619">
        <v>0</v>
      </c>
      <c r="Q619">
        <f ca="1">DATEDIF(banking_loan_data[[#This Row],[Issue Date]],TODAY(),"M")</f>
        <v>34</v>
      </c>
      <c r="R619">
        <f t="shared" si="54"/>
        <v>15096.51</v>
      </c>
      <c r="S619">
        <f>+banking_loan_data[[#This Row],[Loan Amount]]+banking_loan_data[[#This Row],[Interest earned]]</f>
        <v>47986.51</v>
      </c>
      <c r="T619" s="2">
        <f t="shared" si="55"/>
        <v>-24799.81</v>
      </c>
      <c r="U619" s="2">
        <f t="shared" si="56"/>
        <v>0</v>
      </c>
      <c r="V619" s="2" t="str">
        <f>IF(banking_loan_data[[#This Row],[Loan Status]]="FULLY PAID","GOOD",IF(banking_loan_data[[#This Row],[Loan Status]]="CURRENT","ACTIVE","BAD"))</f>
        <v>ACTIVE</v>
      </c>
      <c r="W61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19" s="3">
        <f t="shared" si="57"/>
        <v>41934.750000005908</v>
      </c>
      <c r="Y619" s="4">
        <f t="shared" si="58"/>
        <v>-0.75402280328367288</v>
      </c>
      <c r="Z619" s="2" t="str">
        <f t="shared" si="59"/>
        <v>Normal</v>
      </c>
    </row>
    <row r="620" spans="1:26" x14ac:dyDescent="0.3">
      <c r="A620" t="s">
        <v>1282</v>
      </c>
      <c r="B620" s="1">
        <v>44291</v>
      </c>
      <c r="C620" t="s">
        <v>1283</v>
      </c>
      <c r="D620" t="s">
        <v>65</v>
      </c>
      <c r="E620">
        <v>14598</v>
      </c>
      <c r="F620">
        <v>12.6</v>
      </c>
      <c r="G620">
        <v>36</v>
      </c>
      <c r="H620" t="s">
        <v>19</v>
      </c>
      <c r="I620" t="s">
        <v>57</v>
      </c>
      <c r="J620" t="s">
        <v>28</v>
      </c>
      <c r="K620">
        <v>87021</v>
      </c>
      <c r="L620" t="s">
        <v>29</v>
      </c>
      <c r="M620">
        <v>0.4</v>
      </c>
      <c r="N620">
        <v>0.53</v>
      </c>
      <c r="O620">
        <v>16437.349999999999</v>
      </c>
      <c r="P620">
        <v>0</v>
      </c>
      <c r="Q620">
        <f ca="1">DATEDIF(banking_loan_data[[#This Row],[Issue Date]],TODAY(),"M")</f>
        <v>59</v>
      </c>
      <c r="R620">
        <f t="shared" si="54"/>
        <v>5518.043999999999</v>
      </c>
      <c r="S620">
        <f>+banking_loan_data[[#This Row],[Loan Amount]]+banking_loan_data[[#This Row],[Interest earned]]</f>
        <v>20116.043999999998</v>
      </c>
      <c r="T620" s="2">
        <f t="shared" si="55"/>
        <v>1839.3499999999985</v>
      </c>
      <c r="U620" s="2">
        <f t="shared" si="56"/>
        <v>0</v>
      </c>
      <c r="V620" s="2" t="str">
        <f>IF(banking_loan_data[[#This Row],[Loan Status]]="FULLY PAID","GOOD",IF(banking_loan_data[[#This Row],[Loan Status]]="CURRENT","ACTIVE","BAD"))</f>
        <v>GOOD</v>
      </c>
      <c r="W62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20" s="3">
        <f t="shared" si="57"/>
        <v>15327.900000091695</v>
      </c>
      <c r="Y620" s="4">
        <f t="shared" si="58"/>
        <v>0.1260001370050691</v>
      </c>
      <c r="Z620" s="2" t="str">
        <f t="shared" si="59"/>
        <v>Normal</v>
      </c>
    </row>
    <row r="621" spans="1:26" x14ac:dyDescent="0.3">
      <c r="A621" t="s">
        <v>1284</v>
      </c>
      <c r="B621" s="1">
        <v>45096</v>
      </c>
      <c r="C621" t="s">
        <v>1285</v>
      </c>
      <c r="D621" t="s">
        <v>72</v>
      </c>
      <c r="E621">
        <v>20508</v>
      </c>
      <c r="F621">
        <v>5.0999999999999996</v>
      </c>
      <c r="G621">
        <v>60</v>
      </c>
      <c r="H621" t="s">
        <v>81</v>
      </c>
      <c r="I621" t="s">
        <v>20</v>
      </c>
      <c r="J621" t="s">
        <v>21</v>
      </c>
      <c r="K621">
        <v>144995</v>
      </c>
      <c r="L621" t="s">
        <v>22</v>
      </c>
      <c r="M621">
        <v>0.34</v>
      </c>
      <c r="N621">
        <v>0.72</v>
      </c>
      <c r="O621">
        <v>2495.92</v>
      </c>
      <c r="P621">
        <v>3057.79</v>
      </c>
      <c r="Q621">
        <f ca="1">DATEDIF(banking_loan_data[[#This Row],[Issue Date]],TODAY(),"M")</f>
        <v>33</v>
      </c>
      <c r="R621">
        <f t="shared" si="54"/>
        <v>5229.54</v>
      </c>
      <c r="S621">
        <f>+banking_loan_data[[#This Row],[Loan Amount]]+banking_loan_data[[#This Row],[Interest earned]]</f>
        <v>25737.54</v>
      </c>
      <c r="T621" s="2">
        <f t="shared" si="55"/>
        <v>-14954.29</v>
      </c>
      <c r="U621" s="2">
        <f t="shared" si="56"/>
        <v>1</v>
      </c>
      <c r="V621" s="2" t="str">
        <f>IF(banking_loan_data[[#This Row],[Loan Status]]="FULLY PAID","GOOD",IF(banking_loan_data[[#This Row],[Loan Status]]="CURRENT","ACTIVE","BAD"))</f>
        <v>BAD</v>
      </c>
      <c r="W62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21" s="3">
        <f t="shared" si="57"/>
        <v>8715.900005145415</v>
      </c>
      <c r="Y621" s="4">
        <f t="shared" si="58"/>
        <v>-0.72919299785449587</v>
      </c>
      <c r="Z621" s="2" t="str">
        <f t="shared" si="59"/>
        <v>Normal</v>
      </c>
    </row>
    <row r="622" spans="1:26" x14ac:dyDescent="0.3">
      <c r="A622" t="s">
        <v>1286</v>
      </c>
      <c r="B622" s="1">
        <v>44556</v>
      </c>
      <c r="C622" t="s">
        <v>1287</v>
      </c>
      <c r="D622" t="s">
        <v>25</v>
      </c>
      <c r="E622">
        <v>14380</v>
      </c>
      <c r="F622">
        <v>12.7</v>
      </c>
      <c r="G622">
        <v>36</v>
      </c>
      <c r="H622" t="s">
        <v>19</v>
      </c>
      <c r="I622" t="s">
        <v>57</v>
      </c>
      <c r="J622" t="s">
        <v>47</v>
      </c>
      <c r="K622">
        <v>49800</v>
      </c>
      <c r="L622" t="s">
        <v>33</v>
      </c>
      <c r="M622">
        <v>0.11</v>
      </c>
      <c r="N622">
        <v>0.6</v>
      </c>
      <c r="O622">
        <v>16206.26</v>
      </c>
      <c r="P622">
        <v>0</v>
      </c>
      <c r="Q622">
        <f ca="1">DATEDIF(banking_loan_data[[#This Row],[Issue Date]],TODAY(),"M")</f>
        <v>50</v>
      </c>
      <c r="R622">
        <f t="shared" si="54"/>
        <v>5478.78</v>
      </c>
      <c r="S622">
        <f>+banking_loan_data[[#This Row],[Loan Amount]]+banking_loan_data[[#This Row],[Interest earned]]</f>
        <v>19858.78</v>
      </c>
      <c r="T622" s="2">
        <f t="shared" si="55"/>
        <v>1826.2600000000002</v>
      </c>
      <c r="U622" s="2">
        <f t="shared" si="56"/>
        <v>0</v>
      </c>
      <c r="V622" s="2" t="str">
        <f>IF(banking_loan_data[[#This Row],[Loan Status]]="FULLY PAID","GOOD",IF(banking_loan_data[[#This Row],[Loan Status]]="CURRENT","ACTIVE","BAD"))</f>
        <v>GOOD</v>
      </c>
      <c r="W62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22" s="3">
        <f t="shared" si="57"/>
        <v>15218.833333412005</v>
      </c>
      <c r="Y622" s="4">
        <f t="shared" si="58"/>
        <v>0.127</v>
      </c>
      <c r="Z622" s="2" t="str">
        <f t="shared" si="59"/>
        <v>Normal</v>
      </c>
    </row>
    <row r="623" spans="1:26" x14ac:dyDescent="0.3">
      <c r="A623" t="s">
        <v>1288</v>
      </c>
      <c r="B623" s="1">
        <v>45096</v>
      </c>
      <c r="C623" t="s">
        <v>1289</v>
      </c>
      <c r="D623" t="s">
        <v>50</v>
      </c>
      <c r="E623">
        <v>27984</v>
      </c>
      <c r="F623">
        <v>20.8</v>
      </c>
      <c r="G623">
        <v>36</v>
      </c>
      <c r="H623" t="s">
        <v>19</v>
      </c>
      <c r="I623" t="s">
        <v>57</v>
      </c>
      <c r="J623" t="s">
        <v>47</v>
      </c>
      <c r="K623">
        <v>93400</v>
      </c>
      <c r="L623" t="s">
        <v>29</v>
      </c>
      <c r="M623">
        <v>0.18</v>
      </c>
      <c r="N623">
        <v>0.61</v>
      </c>
      <c r="O623">
        <v>33804.67</v>
      </c>
      <c r="P623">
        <v>0</v>
      </c>
      <c r="Q623">
        <f ca="1">DATEDIF(banking_loan_data[[#This Row],[Issue Date]],TODAY(),"M")</f>
        <v>33</v>
      </c>
      <c r="R623">
        <f t="shared" si="54"/>
        <v>17462.016</v>
      </c>
      <c r="S623">
        <f>+banking_loan_data[[#This Row],[Loan Amount]]+banking_loan_data[[#This Row],[Interest earned]]</f>
        <v>45446.016000000003</v>
      </c>
      <c r="T623" s="2">
        <f t="shared" si="55"/>
        <v>5820.6699999999983</v>
      </c>
      <c r="U623" s="2">
        <f t="shared" si="56"/>
        <v>0</v>
      </c>
      <c r="V623" s="2" t="str">
        <f>IF(banking_loan_data[[#This Row],[Loan Status]]="FULLY PAID","GOOD",IF(banking_loan_data[[#This Row],[Loan Status]]="CURRENT","ACTIVE","BAD"))</f>
        <v>GOOD</v>
      </c>
      <c r="W62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23" s="3">
        <f t="shared" si="57"/>
        <v>48505.600000000013</v>
      </c>
      <c r="Y623" s="4">
        <f t="shared" si="58"/>
        <v>0.20799992853058885</v>
      </c>
      <c r="Z623" s="2" t="str">
        <f t="shared" si="59"/>
        <v>Normal</v>
      </c>
    </row>
    <row r="624" spans="1:26" x14ac:dyDescent="0.3">
      <c r="A624" t="s">
        <v>1290</v>
      </c>
      <c r="B624" s="1">
        <v>44477</v>
      </c>
      <c r="C624" t="s">
        <v>1291</v>
      </c>
      <c r="D624" t="s">
        <v>65</v>
      </c>
      <c r="E624">
        <v>9125</v>
      </c>
      <c r="F624">
        <v>16.899999999999999</v>
      </c>
      <c r="G624">
        <v>60</v>
      </c>
      <c r="H624" t="s">
        <v>26</v>
      </c>
      <c r="I624" t="s">
        <v>36</v>
      </c>
      <c r="J624" t="s">
        <v>21</v>
      </c>
      <c r="K624">
        <v>122446</v>
      </c>
      <c r="L624" t="s">
        <v>22</v>
      </c>
      <c r="M624">
        <v>0.42</v>
      </c>
      <c r="N624">
        <v>0.89</v>
      </c>
      <c r="O624">
        <v>3684.51</v>
      </c>
      <c r="P624">
        <v>0</v>
      </c>
      <c r="Q624">
        <f ca="1">DATEDIF(banking_loan_data[[#This Row],[Issue Date]],TODAY(),"M")</f>
        <v>53</v>
      </c>
      <c r="R624">
        <f t="shared" si="54"/>
        <v>7710.625</v>
      </c>
      <c r="S624">
        <f>+banking_loan_data[[#This Row],[Loan Amount]]+banking_loan_data[[#This Row],[Interest earned]]</f>
        <v>16835.625</v>
      </c>
      <c r="T624" s="2">
        <f t="shared" si="55"/>
        <v>-5440.49</v>
      </c>
      <c r="U624" s="2">
        <f t="shared" si="56"/>
        <v>0</v>
      </c>
      <c r="V624" s="2" t="str">
        <f>IF(banking_loan_data[[#This Row],[Loan Status]]="FULLY PAID","GOOD",IF(banking_loan_data[[#This Row],[Loan Status]]="CURRENT","ACTIVE","BAD"))</f>
        <v>ACTIVE</v>
      </c>
      <c r="W62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24" s="3">
        <f t="shared" si="57"/>
        <v>12851.041666666666</v>
      </c>
      <c r="Y624" s="4">
        <f t="shared" si="58"/>
        <v>-0.59621808219178085</v>
      </c>
      <c r="Z624" s="2" t="str">
        <f t="shared" si="59"/>
        <v>High Risk</v>
      </c>
    </row>
    <row r="625" spans="1:26" x14ac:dyDescent="0.3">
      <c r="A625" t="s">
        <v>1292</v>
      </c>
      <c r="B625" s="1">
        <v>44863</v>
      </c>
      <c r="C625" t="s">
        <v>1293</v>
      </c>
      <c r="D625" t="s">
        <v>65</v>
      </c>
      <c r="E625">
        <v>37059</v>
      </c>
      <c r="F625">
        <v>7</v>
      </c>
      <c r="G625">
        <v>60</v>
      </c>
      <c r="H625" t="s">
        <v>19</v>
      </c>
      <c r="I625" t="s">
        <v>20</v>
      </c>
      <c r="J625" t="s">
        <v>37</v>
      </c>
      <c r="K625">
        <v>59437</v>
      </c>
      <c r="L625" t="s">
        <v>33</v>
      </c>
      <c r="M625">
        <v>0.21</v>
      </c>
      <c r="N625">
        <v>0.54</v>
      </c>
      <c r="O625">
        <v>39653.129999999997</v>
      </c>
      <c r="P625">
        <v>0</v>
      </c>
      <c r="Q625">
        <f ca="1">DATEDIF(banking_loan_data[[#This Row],[Issue Date]],TODAY(),"M")</f>
        <v>40</v>
      </c>
      <c r="R625">
        <f t="shared" si="54"/>
        <v>12970.650000000001</v>
      </c>
      <c r="S625">
        <f>+banking_loan_data[[#This Row],[Loan Amount]]+banking_loan_data[[#This Row],[Interest earned]]</f>
        <v>50029.65</v>
      </c>
      <c r="T625" s="2">
        <f t="shared" si="55"/>
        <v>2594.1299999999974</v>
      </c>
      <c r="U625" s="2">
        <f t="shared" si="56"/>
        <v>0</v>
      </c>
      <c r="V625" s="2" t="str">
        <f>IF(banking_loan_data[[#This Row],[Loan Status]]="FULLY PAID","GOOD",IF(banking_loan_data[[#This Row],[Loan Status]]="CURRENT","ACTIVE","BAD"))</f>
        <v>GOOD</v>
      </c>
      <c r="W62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25" s="3">
        <f t="shared" si="57"/>
        <v>21617.750000022934</v>
      </c>
      <c r="Y625" s="4">
        <f t="shared" si="58"/>
        <v>6.9999999999999923E-2</v>
      </c>
      <c r="Z625" s="2" t="str">
        <f t="shared" si="59"/>
        <v>Normal</v>
      </c>
    </row>
    <row r="626" spans="1:26" x14ac:dyDescent="0.3">
      <c r="A626" t="s">
        <v>1294</v>
      </c>
      <c r="B626" s="1">
        <v>44289</v>
      </c>
      <c r="C626" t="s">
        <v>1295</v>
      </c>
      <c r="D626" t="s">
        <v>56</v>
      </c>
      <c r="E626">
        <v>5033</v>
      </c>
      <c r="F626">
        <v>21.9</v>
      </c>
      <c r="G626">
        <v>36</v>
      </c>
      <c r="H626" t="s">
        <v>26</v>
      </c>
      <c r="I626" t="s">
        <v>20</v>
      </c>
      <c r="J626" t="s">
        <v>21</v>
      </c>
      <c r="K626">
        <v>133124</v>
      </c>
      <c r="L626" t="s">
        <v>33</v>
      </c>
      <c r="M626">
        <v>0.39</v>
      </c>
      <c r="N626">
        <v>0.82</v>
      </c>
      <c r="O626">
        <v>1105.3900000000001</v>
      </c>
      <c r="P626">
        <v>0</v>
      </c>
      <c r="Q626">
        <f ca="1">DATEDIF(banking_loan_data[[#This Row],[Issue Date]],TODAY(),"M")</f>
        <v>59</v>
      </c>
      <c r="R626">
        <f t="shared" si="54"/>
        <v>3306.6809999999991</v>
      </c>
      <c r="S626">
        <f>+banking_loan_data[[#This Row],[Loan Amount]]+banking_loan_data[[#This Row],[Interest earned]]</f>
        <v>8339.6809999999987</v>
      </c>
      <c r="T626" s="2">
        <f t="shared" si="55"/>
        <v>-3927.6099999999997</v>
      </c>
      <c r="U626" s="2">
        <f t="shared" si="56"/>
        <v>0</v>
      </c>
      <c r="V626" s="2" t="str">
        <f>IF(banking_loan_data[[#This Row],[Loan Status]]="FULLY PAID","GOOD",IF(banking_loan_data[[#This Row],[Loan Status]]="CURRENT","ACTIVE","BAD"))</f>
        <v>ACTIVE</v>
      </c>
      <c r="W62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26" s="3">
        <f t="shared" si="57"/>
        <v>9185.2250000000022</v>
      </c>
      <c r="Y626" s="4">
        <f t="shared" si="58"/>
        <v>-0.78037154778462148</v>
      </c>
      <c r="Z626" s="2" t="str">
        <f t="shared" si="59"/>
        <v>High Risk</v>
      </c>
    </row>
    <row r="627" spans="1:26" x14ac:dyDescent="0.3">
      <c r="A627" t="s">
        <v>1296</v>
      </c>
      <c r="B627" s="1">
        <v>44868</v>
      </c>
      <c r="C627" t="s">
        <v>1297</v>
      </c>
      <c r="D627" t="s">
        <v>46</v>
      </c>
      <c r="E627">
        <v>38873</v>
      </c>
      <c r="F627">
        <v>15.6</v>
      </c>
      <c r="G627">
        <v>36</v>
      </c>
      <c r="H627" t="s">
        <v>60</v>
      </c>
      <c r="I627" t="s">
        <v>20</v>
      </c>
      <c r="J627" t="s">
        <v>21</v>
      </c>
      <c r="K627">
        <v>106537</v>
      </c>
      <c r="L627" t="s">
        <v>22</v>
      </c>
      <c r="M627">
        <v>0.25</v>
      </c>
      <c r="N627">
        <v>0.62</v>
      </c>
      <c r="O627">
        <v>0</v>
      </c>
      <c r="P627">
        <v>0</v>
      </c>
      <c r="Q627">
        <f ca="1">DATEDIF(banking_loan_data[[#This Row],[Issue Date]],TODAY(),"M")</f>
        <v>40</v>
      </c>
      <c r="R627">
        <f t="shared" si="54"/>
        <v>18192.563999999998</v>
      </c>
      <c r="S627">
        <f>+banking_loan_data[[#This Row],[Loan Amount]]+banking_loan_data[[#This Row],[Interest earned]]</f>
        <v>57065.563999999998</v>
      </c>
      <c r="T627" s="2">
        <f t="shared" si="55"/>
        <v>-38873</v>
      </c>
      <c r="U627" s="2">
        <f t="shared" si="56"/>
        <v>0</v>
      </c>
      <c r="V627" s="2" t="str">
        <f>IF(banking_loan_data[[#This Row],[Loan Status]]="FULLY PAID","GOOD",IF(banking_loan_data[[#This Row],[Loan Status]]="CURRENT","ACTIVE","BAD"))</f>
        <v>BAD</v>
      </c>
      <c r="W62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27" s="3">
        <f t="shared" si="57"/>
        <v>50534.900000004804</v>
      </c>
      <c r="Y627" s="4">
        <f t="shared" si="58"/>
        <v>-1</v>
      </c>
      <c r="Z627" s="2" t="str">
        <f t="shared" si="59"/>
        <v>Normal</v>
      </c>
    </row>
    <row r="628" spans="1:26" x14ac:dyDescent="0.3">
      <c r="A628" t="s">
        <v>1298</v>
      </c>
      <c r="B628" s="1">
        <v>44257</v>
      </c>
      <c r="C628" t="s">
        <v>1299</v>
      </c>
      <c r="D628" t="s">
        <v>56</v>
      </c>
      <c r="E628">
        <v>18087</v>
      </c>
      <c r="F628">
        <v>21.8</v>
      </c>
      <c r="G628">
        <v>60</v>
      </c>
      <c r="H628" t="s">
        <v>26</v>
      </c>
      <c r="I628" t="s">
        <v>57</v>
      </c>
      <c r="J628" t="s">
        <v>28</v>
      </c>
      <c r="K628">
        <v>76675</v>
      </c>
      <c r="L628" t="s">
        <v>29</v>
      </c>
      <c r="M628">
        <v>0.31</v>
      </c>
      <c r="N628">
        <v>0.84</v>
      </c>
      <c r="O628">
        <v>1721.26</v>
      </c>
      <c r="P628">
        <v>0</v>
      </c>
      <c r="Q628">
        <f ca="1">DATEDIF(banking_loan_data[[#This Row],[Issue Date]],TODAY(),"M")</f>
        <v>60</v>
      </c>
      <c r="R628">
        <f t="shared" si="54"/>
        <v>19714.830000000002</v>
      </c>
      <c r="S628">
        <f>+banking_loan_data[[#This Row],[Loan Amount]]+banking_loan_data[[#This Row],[Interest earned]]</f>
        <v>37801.83</v>
      </c>
      <c r="T628" s="2">
        <f t="shared" si="55"/>
        <v>-16365.74</v>
      </c>
      <c r="U628" s="2">
        <f t="shared" si="56"/>
        <v>0</v>
      </c>
      <c r="V628" s="2" t="str">
        <f>IF(banking_loan_data[[#This Row],[Loan Status]]="FULLY PAID","GOOD",IF(banking_loan_data[[#This Row],[Loan Status]]="CURRENT","ACTIVE","BAD"))</f>
        <v>ACTIVE</v>
      </c>
      <c r="W62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28" s="3">
        <f t="shared" si="57"/>
        <v>32858.050000000003</v>
      </c>
      <c r="Y628" s="4">
        <f t="shared" si="58"/>
        <v>-0.90483441145574173</v>
      </c>
      <c r="Z628" s="2" t="str">
        <f t="shared" si="59"/>
        <v>High Risk</v>
      </c>
    </row>
    <row r="629" spans="1:26" x14ac:dyDescent="0.3">
      <c r="A629" t="s">
        <v>1300</v>
      </c>
      <c r="B629" s="1">
        <v>44830</v>
      </c>
      <c r="C629" t="s">
        <v>1301</v>
      </c>
      <c r="D629" t="s">
        <v>56</v>
      </c>
      <c r="E629">
        <v>6704</v>
      </c>
      <c r="F629">
        <v>16.600000000000001</v>
      </c>
      <c r="G629">
        <v>60</v>
      </c>
      <c r="H629" t="s">
        <v>19</v>
      </c>
      <c r="I629" t="s">
        <v>27</v>
      </c>
      <c r="J629" t="s">
        <v>21</v>
      </c>
      <c r="K629">
        <v>49942</v>
      </c>
      <c r="L629" t="s">
        <v>33</v>
      </c>
      <c r="M629">
        <v>0.13</v>
      </c>
      <c r="N629">
        <v>0.83</v>
      </c>
      <c r="O629">
        <v>7816.86</v>
      </c>
      <c r="P629">
        <v>0</v>
      </c>
      <c r="Q629">
        <f ca="1">DATEDIF(banking_loan_data[[#This Row],[Issue Date]],TODAY(),"M")</f>
        <v>41</v>
      </c>
      <c r="R629">
        <f t="shared" si="54"/>
        <v>5564.32</v>
      </c>
      <c r="S629">
        <f>+banking_loan_data[[#This Row],[Loan Amount]]+banking_loan_data[[#This Row],[Interest earned]]</f>
        <v>12268.32</v>
      </c>
      <c r="T629" s="2">
        <f t="shared" si="55"/>
        <v>1112.8599999999997</v>
      </c>
      <c r="U629" s="2">
        <f t="shared" si="56"/>
        <v>0</v>
      </c>
      <c r="V629" s="2" t="str">
        <f>IF(banking_loan_data[[#This Row],[Loan Status]]="FULLY PAID","GOOD",IF(banking_loan_data[[#This Row],[Loan Status]]="CURRENT","ACTIVE","BAD"))</f>
        <v>GOOD</v>
      </c>
      <c r="W62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29" s="3">
        <f t="shared" si="57"/>
        <v>9273.8666666666686</v>
      </c>
      <c r="Y629" s="4">
        <f t="shared" si="58"/>
        <v>0.16599940334128874</v>
      </c>
      <c r="Z629" s="2" t="str">
        <f t="shared" si="59"/>
        <v>High Risk</v>
      </c>
    </row>
    <row r="630" spans="1:26" x14ac:dyDescent="0.3">
      <c r="A630" t="s">
        <v>1302</v>
      </c>
      <c r="B630" s="1">
        <v>45271</v>
      </c>
      <c r="C630" t="s">
        <v>1303</v>
      </c>
      <c r="D630" t="s">
        <v>46</v>
      </c>
      <c r="E630">
        <v>8848</v>
      </c>
      <c r="F630">
        <v>16.2</v>
      </c>
      <c r="G630">
        <v>60</v>
      </c>
      <c r="H630" t="s">
        <v>26</v>
      </c>
      <c r="I630" t="s">
        <v>27</v>
      </c>
      <c r="J630" t="s">
        <v>47</v>
      </c>
      <c r="K630">
        <v>50862</v>
      </c>
      <c r="L630" t="s">
        <v>29</v>
      </c>
      <c r="M630">
        <v>0.17</v>
      </c>
      <c r="N630">
        <v>0.5</v>
      </c>
      <c r="O630">
        <v>2965.85</v>
      </c>
      <c r="P630">
        <v>0</v>
      </c>
      <c r="Q630">
        <f ca="1">DATEDIF(banking_loan_data[[#This Row],[Issue Date]],TODAY(),"M")</f>
        <v>27</v>
      </c>
      <c r="R630">
        <f t="shared" si="54"/>
        <v>7166.88</v>
      </c>
      <c r="S630">
        <f>+banking_loan_data[[#This Row],[Loan Amount]]+banking_loan_data[[#This Row],[Interest earned]]</f>
        <v>16014.880000000001</v>
      </c>
      <c r="T630" s="2">
        <f t="shared" si="55"/>
        <v>-5882.15</v>
      </c>
      <c r="U630" s="2">
        <f t="shared" si="56"/>
        <v>0</v>
      </c>
      <c r="V630" s="2" t="str">
        <f>IF(banking_loan_data[[#This Row],[Loan Status]]="FULLY PAID","GOOD",IF(banking_loan_data[[#This Row],[Loan Status]]="CURRENT","ACTIVE","BAD"))</f>
        <v>ACTIVE</v>
      </c>
      <c r="W63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30" s="3">
        <f t="shared" si="57"/>
        <v>11944.8</v>
      </c>
      <c r="Y630" s="4">
        <f t="shared" si="58"/>
        <v>-0.66479995479204335</v>
      </c>
      <c r="Z630" s="2" t="str">
        <f t="shared" si="59"/>
        <v>Normal</v>
      </c>
    </row>
    <row r="631" spans="1:26" x14ac:dyDescent="0.3">
      <c r="A631" t="s">
        <v>1304</v>
      </c>
      <c r="B631" s="1">
        <v>45225</v>
      </c>
      <c r="C631" t="s">
        <v>1305</v>
      </c>
      <c r="D631" t="s">
        <v>25</v>
      </c>
      <c r="E631">
        <v>22592</v>
      </c>
      <c r="F631">
        <v>7.1</v>
      </c>
      <c r="G631">
        <v>60</v>
      </c>
      <c r="H631" t="s">
        <v>26</v>
      </c>
      <c r="I631" t="s">
        <v>73</v>
      </c>
      <c r="J631" t="s">
        <v>32</v>
      </c>
      <c r="K631">
        <v>41669</v>
      </c>
      <c r="L631" t="s">
        <v>29</v>
      </c>
      <c r="M631">
        <v>0.48</v>
      </c>
      <c r="N631">
        <v>0.73</v>
      </c>
      <c r="O631">
        <v>10077.370000000001</v>
      </c>
      <c r="P631">
        <v>0</v>
      </c>
      <c r="Q631">
        <f ca="1">DATEDIF(banking_loan_data[[#This Row],[Issue Date]],TODAY(),"M")</f>
        <v>28</v>
      </c>
      <c r="R631">
        <f t="shared" si="54"/>
        <v>8020.16</v>
      </c>
      <c r="S631">
        <f>+banking_loan_data[[#This Row],[Loan Amount]]+banking_loan_data[[#This Row],[Interest earned]]</f>
        <v>30612.16</v>
      </c>
      <c r="T631" s="2">
        <f t="shared" si="55"/>
        <v>-12514.63</v>
      </c>
      <c r="U631" s="2">
        <f t="shared" si="56"/>
        <v>0</v>
      </c>
      <c r="V631" s="2" t="str">
        <f>IF(banking_loan_data[[#This Row],[Loan Status]]="FULLY PAID","GOOD",IF(banking_loan_data[[#This Row],[Loan Status]]="CURRENT","ACTIVE","BAD"))</f>
        <v>ACTIVE</v>
      </c>
      <c r="W63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31" s="3">
        <f t="shared" si="57"/>
        <v>13366.933333343683</v>
      </c>
      <c r="Y631" s="4">
        <f t="shared" si="58"/>
        <v>-0.55394077549575071</v>
      </c>
      <c r="Z631" s="2" t="str">
        <f t="shared" si="59"/>
        <v>High Risk</v>
      </c>
    </row>
    <row r="632" spans="1:26" x14ac:dyDescent="0.3">
      <c r="A632" t="s">
        <v>1306</v>
      </c>
      <c r="B632" s="1">
        <v>44800</v>
      </c>
      <c r="C632" t="s">
        <v>1307</v>
      </c>
      <c r="D632" t="s">
        <v>53</v>
      </c>
      <c r="E632">
        <v>7924</v>
      </c>
      <c r="F632">
        <v>8.3000000000000007</v>
      </c>
      <c r="G632">
        <v>60</v>
      </c>
      <c r="H632" t="s">
        <v>26</v>
      </c>
      <c r="I632" t="s">
        <v>27</v>
      </c>
      <c r="J632" t="s">
        <v>28</v>
      </c>
      <c r="K632">
        <v>83772</v>
      </c>
      <c r="L632" t="s">
        <v>33</v>
      </c>
      <c r="M632">
        <v>0.46</v>
      </c>
      <c r="N632">
        <v>0.56000000000000005</v>
      </c>
      <c r="O632">
        <v>3561.75</v>
      </c>
      <c r="P632">
        <v>0</v>
      </c>
      <c r="Q632">
        <f ca="1">DATEDIF(banking_loan_data[[#This Row],[Issue Date]],TODAY(),"M")</f>
        <v>42</v>
      </c>
      <c r="R632">
        <f t="shared" si="54"/>
        <v>3288.4600000000005</v>
      </c>
      <c r="S632">
        <f>+banking_loan_data[[#This Row],[Loan Amount]]+banking_loan_data[[#This Row],[Interest earned]]</f>
        <v>11212.460000000001</v>
      </c>
      <c r="T632" s="2">
        <f t="shared" si="55"/>
        <v>-4362.25</v>
      </c>
      <c r="U632" s="2">
        <f t="shared" si="56"/>
        <v>0</v>
      </c>
      <c r="V632" s="2" t="str">
        <f>IF(banking_loan_data[[#This Row],[Loan Status]]="FULLY PAID","GOOD",IF(banking_loan_data[[#This Row],[Loan Status]]="CURRENT","ACTIVE","BAD"))</f>
        <v>ACTIVE</v>
      </c>
      <c r="W63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32" s="3">
        <f t="shared" si="57"/>
        <v>5480.7666666667765</v>
      </c>
      <c r="Y632" s="4">
        <f t="shared" si="58"/>
        <v>-0.55051110550227156</v>
      </c>
      <c r="Z632" s="2" t="str">
        <f t="shared" si="59"/>
        <v>High Risk</v>
      </c>
    </row>
    <row r="633" spans="1:26" x14ac:dyDescent="0.3">
      <c r="A633" t="s">
        <v>1308</v>
      </c>
      <c r="B633" s="1">
        <v>44878</v>
      </c>
      <c r="C633" t="s">
        <v>1309</v>
      </c>
      <c r="D633" t="s">
        <v>40</v>
      </c>
      <c r="E633">
        <v>28208</v>
      </c>
      <c r="F633">
        <v>24.4</v>
      </c>
      <c r="G633">
        <v>60</v>
      </c>
      <c r="H633" t="s">
        <v>19</v>
      </c>
      <c r="I633" t="s">
        <v>57</v>
      </c>
      <c r="J633" t="s">
        <v>28</v>
      </c>
      <c r="K633">
        <v>45916</v>
      </c>
      <c r="L633" t="s">
        <v>22</v>
      </c>
      <c r="M633">
        <v>0.36</v>
      </c>
      <c r="N633">
        <v>0.89</v>
      </c>
      <c r="O633">
        <v>35090.75</v>
      </c>
      <c r="P633">
        <v>0</v>
      </c>
      <c r="Q633">
        <f ca="1">DATEDIF(banking_loan_data[[#This Row],[Issue Date]],TODAY(),"M")</f>
        <v>40</v>
      </c>
      <c r="R633">
        <f t="shared" si="54"/>
        <v>34413.760000000002</v>
      </c>
      <c r="S633">
        <f>+banking_loan_data[[#This Row],[Loan Amount]]+banking_loan_data[[#This Row],[Interest earned]]</f>
        <v>62621.760000000002</v>
      </c>
      <c r="T633" s="2">
        <f t="shared" si="55"/>
        <v>6882.75</v>
      </c>
      <c r="U633" s="2">
        <f t="shared" si="56"/>
        <v>0</v>
      </c>
      <c r="V633" s="2" t="str">
        <f>IF(banking_loan_data[[#This Row],[Loan Status]]="FULLY PAID","GOOD",IF(banking_loan_data[[#This Row],[Loan Status]]="CURRENT","ACTIVE","BAD"))</f>
        <v>GOOD</v>
      </c>
      <c r="W63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33" s="3">
        <f t="shared" si="57"/>
        <v>57356.266666666663</v>
      </c>
      <c r="Y633" s="4">
        <f t="shared" si="58"/>
        <v>0.2439999290981282</v>
      </c>
      <c r="Z633" s="2" t="str">
        <f t="shared" si="59"/>
        <v>High Risk</v>
      </c>
    </row>
    <row r="634" spans="1:26" x14ac:dyDescent="0.3">
      <c r="A634" t="s">
        <v>1310</v>
      </c>
      <c r="B634" s="1">
        <v>44730</v>
      </c>
      <c r="C634" t="s">
        <v>1311</v>
      </c>
      <c r="D634" t="s">
        <v>50</v>
      </c>
      <c r="E634">
        <v>20614</v>
      </c>
      <c r="F634">
        <v>9.6</v>
      </c>
      <c r="G634">
        <v>60</v>
      </c>
      <c r="H634" t="s">
        <v>19</v>
      </c>
      <c r="I634" t="s">
        <v>27</v>
      </c>
      <c r="J634" t="s">
        <v>37</v>
      </c>
      <c r="K634">
        <v>40878</v>
      </c>
      <c r="L634" t="s">
        <v>33</v>
      </c>
      <c r="M634">
        <v>0.28000000000000003</v>
      </c>
      <c r="N634">
        <v>0.89</v>
      </c>
      <c r="O634">
        <v>22592.94</v>
      </c>
      <c r="P634">
        <v>0</v>
      </c>
      <c r="Q634">
        <f ca="1">DATEDIF(banking_loan_data[[#This Row],[Issue Date]],TODAY(),"M")</f>
        <v>45</v>
      </c>
      <c r="R634">
        <f t="shared" si="54"/>
        <v>9894.7199999999993</v>
      </c>
      <c r="S634">
        <f>+banking_loan_data[[#This Row],[Loan Amount]]+banking_loan_data[[#This Row],[Interest earned]]</f>
        <v>30508.720000000001</v>
      </c>
      <c r="T634" s="2">
        <f t="shared" si="55"/>
        <v>1978.9399999999987</v>
      </c>
      <c r="U634" s="2">
        <f t="shared" si="56"/>
        <v>0</v>
      </c>
      <c r="V634" s="2" t="str">
        <f>IF(banking_loan_data[[#This Row],[Loan Status]]="FULLY PAID","GOOD",IF(banking_loan_data[[#This Row],[Loan Status]]="CURRENT","ACTIVE","BAD"))</f>
        <v>GOOD</v>
      </c>
      <c r="W63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34" s="3">
        <f t="shared" si="57"/>
        <v>16491.200000000008</v>
      </c>
      <c r="Y634" s="4">
        <f t="shared" si="58"/>
        <v>9.5999805957116463E-2</v>
      </c>
      <c r="Z634" s="2" t="str">
        <f t="shared" si="59"/>
        <v>High Risk</v>
      </c>
    </row>
    <row r="635" spans="1:26" x14ac:dyDescent="0.3">
      <c r="A635" t="s">
        <v>1312</v>
      </c>
      <c r="B635" s="1">
        <v>45034</v>
      </c>
      <c r="C635" t="s">
        <v>1313</v>
      </c>
      <c r="D635" t="s">
        <v>65</v>
      </c>
      <c r="E635">
        <v>1488</v>
      </c>
      <c r="F635">
        <v>24.5</v>
      </c>
      <c r="G635">
        <v>36</v>
      </c>
      <c r="H635" t="s">
        <v>19</v>
      </c>
      <c r="I635" t="s">
        <v>20</v>
      </c>
      <c r="J635" t="s">
        <v>32</v>
      </c>
      <c r="K635">
        <v>32985</v>
      </c>
      <c r="L635" t="s">
        <v>33</v>
      </c>
      <c r="M635">
        <v>0.37</v>
      </c>
      <c r="N635">
        <v>0.69</v>
      </c>
      <c r="O635">
        <v>1852.56</v>
      </c>
      <c r="P635">
        <v>0</v>
      </c>
      <c r="Q635">
        <f ca="1">DATEDIF(banking_loan_data[[#This Row],[Issue Date]],TODAY(),"M")</f>
        <v>35</v>
      </c>
      <c r="R635">
        <f t="shared" si="54"/>
        <v>1093.68</v>
      </c>
      <c r="S635">
        <f>+banking_loan_data[[#This Row],[Loan Amount]]+banking_loan_data[[#This Row],[Interest earned]]</f>
        <v>2581.6800000000003</v>
      </c>
      <c r="T635" s="2">
        <f t="shared" si="55"/>
        <v>364.55999999999995</v>
      </c>
      <c r="U635" s="2">
        <f t="shared" si="56"/>
        <v>0</v>
      </c>
      <c r="V635" s="2" t="str">
        <f>IF(banking_loan_data[[#This Row],[Loan Status]]="FULLY PAID","GOOD",IF(banking_loan_data[[#This Row],[Loan Status]]="CURRENT","ACTIVE","BAD"))</f>
        <v>GOOD</v>
      </c>
      <c r="W63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35" s="3">
        <f t="shared" si="57"/>
        <v>3038</v>
      </c>
      <c r="Y635" s="4">
        <f t="shared" si="58"/>
        <v>0.24499999999999997</v>
      </c>
      <c r="Z635" s="2" t="str">
        <f t="shared" si="59"/>
        <v>Normal</v>
      </c>
    </row>
    <row r="636" spans="1:26" x14ac:dyDescent="0.3">
      <c r="A636" t="s">
        <v>1314</v>
      </c>
      <c r="B636" s="1">
        <v>44841</v>
      </c>
      <c r="C636" t="s">
        <v>1315</v>
      </c>
      <c r="D636" t="s">
        <v>72</v>
      </c>
      <c r="E636">
        <v>26923</v>
      </c>
      <c r="F636">
        <v>15.6</v>
      </c>
      <c r="G636">
        <v>60</v>
      </c>
      <c r="H636" t="s">
        <v>19</v>
      </c>
      <c r="I636" t="s">
        <v>57</v>
      </c>
      <c r="J636" t="s">
        <v>28</v>
      </c>
      <c r="K636">
        <v>127905</v>
      </c>
      <c r="L636" t="s">
        <v>29</v>
      </c>
      <c r="M636">
        <v>0.35</v>
      </c>
      <c r="N636">
        <v>0.7</v>
      </c>
      <c r="O636">
        <v>31122.99</v>
      </c>
      <c r="P636">
        <v>0</v>
      </c>
      <c r="Q636">
        <f ca="1">DATEDIF(banking_loan_data[[#This Row],[Issue Date]],TODAY(),"M")</f>
        <v>41</v>
      </c>
      <c r="R636">
        <f t="shared" si="54"/>
        <v>20999.940000000002</v>
      </c>
      <c r="S636">
        <f>+banking_loan_data[[#This Row],[Loan Amount]]+banking_loan_data[[#This Row],[Interest earned]]</f>
        <v>47922.94</v>
      </c>
      <c r="T636" s="2">
        <f t="shared" si="55"/>
        <v>4199.9900000000016</v>
      </c>
      <c r="U636" s="2">
        <f t="shared" si="56"/>
        <v>0</v>
      </c>
      <c r="V636" s="2" t="str">
        <f>IF(banking_loan_data[[#This Row],[Loan Status]]="FULLY PAID","GOOD",IF(banking_loan_data[[#This Row],[Loan Status]]="CURRENT","ACTIVE","BAD"))</f>
        <v>GOOD</v>
      </c>
      <c r="W63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36" s="3">
        <f t="shared" si="57"/>
        <v>34999.9</v>
      </c>
      <c r="Y636" s="4">
        <f t="shared" si="58"/>
        <v>0.1560000742859266</v>
      </c>
      <c r="Z636" s="2" t="str">
        <f t="shared" si="59"/>
        <v>Normal</v>
      </c>
    </row>
    <row r="637" spans="1:26" x14ac:dyDescent="0.3">
      <c r="A637" t="s">
        <v>1316</v>
      </c>
      <c r="B637" s="1">
        <v>44429</v>
      </c>
      <c r="C637" t="s">
        <v>1317</v>
      </c>
      <c r="D637" t="s">
        <v>50</v>
      </c>
      <c r="E637">
        <v>36941</v>
      </c>
      <c r="F637">
        <v>7.7</v>
      </c>
      <c r="G637">
        <v>60</v>
      </c>
      <c r="H637" t="s">
        <v>19</v>
      </c>
      <c r="I637" t="s">
        <v>84</v>
      </c>
      <c r="J637" t="s">
        <v>21</v>
      </c>
      <c r="K637">
        <v>103648</v>
      </c>
      <c r="L637" t="s">
        <v>22</v>
      </c>
      <c r="M637">
        <v>0.33</v>
      </c>
      <c r="N637">
        <v>0.64</v>
      </c>
      <c r="O637">
        <v>39785.46</v>
      </c>
      <c r="P637">
        <v>0</v>
      </c>
      <c r="Q637">
        <f ca="1">DATEDIF(banking_loan_data[[#This Row],[Issue Date]],TODAY(),"M")</f>
        <v>54</v>
      </c>
      <c r="R637">
        <f t="shared" si="54"/>
        <v>14222.285000000002</v>
      </c>
      <c r="S637">
        <f>+banking_loan_data[[#This Row],[Loan Amount]]+banking_loan_data[[#This Row],[Interest earned]]</f>
        <v>51163.285000000003</v>
      </c>
      <c r="T637" s="2">
        <f t="shared" si="55"/>
        <v>2844.4599999999991</v>
      </c>
      <c r="U637" s="2">
        <f t="shared" si="56"/>
        <v>0</v>
      </c>
      <c r="V637" s="2" t="str">
        <f>IF(banking_loan_data[[#This Row],[Loan Status]]="FULLY PAID","GOOD",IF(banking_loan_data[[#This Row],[Loan Status]]="CURRENT","ACTIVE","BAD"))</f>
        <v>GOOD</v>
      </c>
      <c r="W63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37" s="3">
        <f t="shared" si="57"/>
        <v>23703.808333336201</v>
      </c>
      <c r="Y637" s="4">
        <f t="shared" si="58"/>
        <v>7.7000081210579011E-2</v>
      </c>
      <c r="Z637" s="2" t="str">
        <f t="shared" si="59"/>
        <v>Normal</v>
      </c>
    </row>
    <row r="638" spans="1:26" x14ac:dyDescent="0.3">
      <c r="A638" t="s">
        <v>1318</v>
      </c>
      <c r="B638" s="1">
        <v>44720</v>
      </c>
      <c r="C638" t="s">
        <v>1319</v>
      </c>
      <c r="D638" t="s">
        <v>53</v>
      </c>
      <c r="E638">
        <v>30165</v>
      </c>
      <c r="F638">
        <v>7</v>
      </c>
      <c r="G638">
        <v>36</v>
      </c>
      <c r="H638" t="s">
        <v>19</v>
      </c>
      <c r="I638" t="s">
        <v>84</v>
      </c>
      <c r="J638" t="s">
        <v>28</v>
      </c>
      <c r="K638">
        <v>71235</v>
      </c>
      <c r="L638" t="s">
        <v>29</v>
      </c>
      <c r="M638">
        <v>0.12</v>
      </c>
      <c r="N638">
        <v>0.82</v>
      </c>
      <c r="O638">
        <v>32276.55</v>
      </c>
      <c r="P638">
        <v>0</v>
      </c>
      <c r="Q638">
        <f ca="1">DATEDIF(banking_loan_data[[#This Row],[Issue Date]],TODAY(),"M")</f>
        <v>45</v>
      </c>
      <c r="R638">
        <f t="shared" si="54"/>
        <v>6334.6500000000005</v>
      </c>
      <c r="S638">
        <f>+banking_loan_data[[#This Row],[Loan Amount]]+banking_loan_data[[#This Row],[Interest earned]]</f>
        <v>36499.65</v>
      </c>
      <c r="T638" s="2">
        <f t="shared" si="55"/>
        <v>2111.5499999999993</v>
      </c>
      <c r="U638" s="2">
        <f t="shared" si="56"/>
        <v>0</v>
      </c>
      <c r="V638" s="2" t="str">
        <f>IF(banking_loan_data[[#This Row],[Loan Status]]="FULLY PAID","GOOD",IF(banking_loan_data[[#This Row],[Loan Status]]="CURRENT","ACTIVE","BAD"))</f>
        <v>GOOD</v>
      </c>
      <c r="W63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38" s="3">
        <f t="shared" si="57"/>
        <v>17596.251150311273</v>
      </c>
      <c r="Y638" s="4">
        <f t="shared" si="58"/>
        <v>6.9999999999999979E-2</v>
      </c>
      <c r="Z638" s="2" t="str">
        <f t="shared" si="59"/>
        <v>High Risk</v>
      </c>
    </row>
    <row r="639" spans="1:26" x14ac:dyDescent="0.3">
      <c r="A639" t="s">
        <v>1320</v>
      </c>
      <c r="B639" s="1">
        <v>44542</v>
      </c>
      <c r="C639" t="s">
        <v>1321</v>
      </c>
      <c r="D639" t="s">
        <v>46</v>
      </c>
      <c r="E639">
        <v>2667</v>
      </c>
      <c r="F639">
        <v>9.1999999999999993</v>
      </c>
      <c r="G639">
        <v>60</v>
      </c>
      <c r="H639" t="s">
        <v>26</v>
      </c>
      <c r="I639" t="s">
        <v>27</v>
      </c>
      <c r="J639" t="s">
        <v>28</v>
      </c>
      <c r="K639">
        <v>48931</v>
      </c>
      <c r="L639" t="s">
        <v>33</v>
      </c>
      <c r="M639">
        <v>0.35</v>
      </c>
      <c r="N639">
        <v>0.66</v>
      </c>
      <c r="O639">
        <v>1282.69</v>
      </c>
      <c r="P639">
        <v>0</v>
      </c>
      <c r="Q639">
        <f ca="1">DATEDIF(banking_loan_data[[#This Row],[Issue Date]],TODAY(),"M")</f>
        <v>51</v>
      </c>
      <c r="R639">
        <f t="shared" si="54"/>
        <v>1226.82</v>
      </c>
      <c r="S639">
        <f>+banking_loan_data[[#This Row],[Loan Amount]]+banking_loan_data[[#This Row],[Interest earned]]</f>
        <v>3893.8199999999997</v>
      </c>
      <c r="T639" s="2">
        <f t="shared" si="55"/>
        <v>-1384.31</v>
      </c>
      <c r="U639" s="2">
        <f t="shared" si="56"/>
        <v>0</v>
      </c>
      <c r="V639" s="2" t="str">
        <f>IF(banking_loan_data[[#This Row],[Loan Status]]="FULLY PAID","GOOD",IF(banking_loan_data[[#This Row],[Loan Status]]="CURRENT","ACTIVE","BAD"))</f>
        <v>ACTIVE</v>
      </c>
      <c r="W63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39" s="3">
        <f t="shared" si="57"/>
        <v>2044.7000000000025</v>
      </c>
      <c r="Y639" s="4">
        <f t="shared" si="58"/>
        <v>-0.51905136857892764</v>
      </c>
      <c r="Z639" s="2" t="str">
        <f t="shared" si="59"/>
        <v>Normal</v>
      </c>
    </row>
    <row r="640" spans="1:26" x14ac:dyDescent="0.3">
      <c r="A640" t="s">
        <v>1322</v>
      </c>
      <c r="B640" s="1">
        <v>45266</v>
      </c>
      <c r="C640" t="s">
        <v>1323</v>
      </c>
      <c r="D640" t="s">
        <v>50</v>
      </c>
      <c r="E640">
        <v>27213</v>
      </c>
      <c r="F640">
        <v>23.5</v>
      </c>
      <c r="G640">
        <v>60</v>
      </c>
      <c r="H640" t="s">
        <v>81</v>
      </c>
      <c r="I640" t="s">
        <v>20</v>
      </c>
      <c r="J640" t="s">
        <v>28</v>
      </c>
      <c r="K640">
        <v>122876</v>
      </c>
      <c r="L640" t="s">
        <v>22</v>
      </c>
      <c r="M640">
        <v>0.41</v>
      </c>
      <c r="N640">
        <v>0.62</v>
      </c>
      <c r="O640">
        <v>9805.16</v>
      </c>
      <c r="P640">
        <v>8501.7099999999991</v>
      </c>
      <c r="Q640">
        <f ca="1">DATEDIF(banking_loan_data[[#This Row],[Issue Date]],TODAY(),"M")</f>
        <v>27</v>
      </c>
      <c r="R640">
        <f t="shared" si="54"/>
        <v>31975.275000000005</v>
      </c>
      <c r="S640">
        <f>+banking_loan_data[[#This Row],[Loan Amount]]+banking_loan_data[[#This Row],[Interest earned]]</f>
        <v>59188.275000000009</v>
      </c>
      <c r="T640" s="2">
        <f t="shared" si="55"/>
        <v>-8906.130000000001</v>
      </c>
      <c r="U640" s="2">
        <f t="shared" si="56"/>
        <v>1</v>
      </c>
      <c r="V640" s="2" t="str">
        <f>IF(banking_loan_data[[#This Row],[Loan Status]]="FULLY PAID","GOOD",IF(banking_loan_data[[#This Row],[Loan Status]]="CURRENT","ACTIVE","BAD"))</f>
        <v>BAD</v>
      </c>
      <c r="W64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40" s="3">
        <f t="shared" si="57"/>
        <v>53292.125</v>
      </c>
      <c r="Y640" s="4">
        <f t="shared" si="58"/>
        <v>-0.32727483188182122</v>
      </c>
      <c r="Z640" s="2" t="str">
        <f t="shared" si="59"/>
        <v>High Risk</v>
      </c>
    </row>
    <row r="641" spans="1:26" x14ac:dyDescent="0.3">
      <c r="A641" t="s">
        <v>1324</v>
      </c>
      <c r="B641" s="1">
        <v>44742</v>
      </c>
      <c r="C641" t="s">
        <v>1325</v>
      </c>
      <c r="D641" t="s">
        <v>65</v>
      </c>
      <c r="E641">
        <v>5114</v>
      </c>
      <c r="F641">
        <v>13.3</v>
      </c>
      <c r="G641">
        <v>36</v>
      </c>
      <c r="H641" t="s">
        <v>26</v>
      </c>
      <c r="I641" t="s">
        <v>20</v>
      </c>
      <c r="J641" t="s">
        <v>37</v>
      </c>
      <c r="K641">
        <v>30336</v>
      </c>
      <c r="L641" t="s">
        <v>22</v>
      </c>
      <c r="M641">
        <v>0.5</v>
      </c>
      <c r="N641">
        <v>0.69</v>
      </c>
      <c r="O641">
        <v>260.63</v>
      </c>
      <c r="P641">
        <v>0</v>
      </c>
      <c r="Q641">
        <f ca="1">DATEDIF(banking_loan_data[[#This Row],[Issue Date]],TODAY(),"M")</f>
        <v>44</v>
      </c>
      <c r="R641">
        <f t="shared" si="54"/>
        <v>2040.4859999999999</v>
      </c>
      <c r="S641">
        <f>+banking_loan_data[[#This Row],[Loan Amount]]+banking_loan_data[[#This Row],[Interest earned]]</f>
        <v>7154.4859999999999</v>
      </c>
      <c r="T641" s="2">
        <f t="shared" si="55"/>
        <v>-4853.37</v>
      </c>
      <c r="U641" s="2">
        <f t="shared" si="56"/>
        <v>0</v>
      </c>
      <c r="V641" s="2" t="str">
        <f>IF(banking_loan_data[[#This Row],[Loan Status]]="FULLY PAID","GOOD",IF(banking_loan_data[[#This Row],[Loan Status]]="CURRENT","ACTIVE","BAD"))</f>
        <v>ACTIVE</v>
      </c>
      <c r="W64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41" s="3">
        <f t="shared" si="57"/>
        <v>5668.0166666790155</v>
      </c>
      <c r="Y641" s="4">
        <f t="shared" si="58"/>
        <v>-0.94903597966366837</v>
      </c>
      <c r="Z641" s="2" t="str">
        <f t="shared" si="59"/>
        <v>High Risk</v>
      </c>
    </row>
    <row r="642" spans="1:26" x14ac:dyDescent="0.3">
      <c r="A642" t="s">
        <v>1326</v>
      </c>
      <c r="B642" s="1">
        <v>44990</v>
      </c>
      <c r="C642" t="s">
        <v>1327</v>
      </c>
      <c r="D642" t="s">
        <v>50</v>
      </c>
      <c r="E642">
        <v>37321</v>
      </c>
      <c r="F642">
        <v>12.9</v>
      </c>
      <c r="G642">
        <v>60</v>
      </c>
      <c r="H642" t="s">
        <v>19</v>
      </c>
      <c r="I642" t="s">
        <v>41</v>
      </c>
      <c r="J642" t="s">
        <v>28</v>
      </c>
      <c r="K642">
        <v>72933</v>
      </c>
      <c r="L642" t="s">
        <v>22</v>
      </c>
      <c r="M642">
        <v>0.1</v>
      </c>
      <c r="N642">
        <v>0.54</v>
      </c>
      <c r="O642">
        <v>42135.41</v>
      </c>
      <c r="P642">
        <v>0</v>
      </c>
      <c r="Q642">
        <f ca="1">DATEDIF(banking_loan_data[[#This Row],[Issue Date]],TODAY(),"M")</f>
        <v>36</v>
      </c>
      <c r="R642">
        <f t="shared" ref="R642:R705" si="60">(((E642*F642)/100)*G642)/12</f>
        <v>24072.045000000002</v>
      </c>
      <c r="S642">
        <f>+banking_loan_data[[#This Row],[Loan Amount]]+banking_loan_data[[#This Row],[Interest earned]]</f>
        <v>61393.044999999998</v>
      </c>
      <c r="T642" s="2">
        <f t="shared" ref="T642:T705" si="61">O642 + P642 - E642</f>
        <v>4814.4100000000035</v>
      </c>
      <c r="U642" s="2">
        <f t="shared" ref="U642:U705" si="62">IF(H642="CHARGED OFF",1,0)</f>
        <v>0</v>
      </c>
      <c r="V642" s="2" t="str">
        <f>IF(banking_loan_data[[#This Row],[Loan Status]]="FULLY PAID","GOOD",IF(banking_loan_data[[#This Row],[Loan Status]]="CURRENT","ACTIVE","BAD"))</f>
        <v>GOOD</v>
      </c>
      <c r="W64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42" s="3">
        <f t="shared" ref="X642:X705" si="63">PMT(F642/12,G642,-E642)</f>
        <v>40120.074999999997</v>
      </c>
      <c r="Y642" s="4">
        <f t="shared" ref="Y642:Y705" si="64">IF(E642=0,0,T642/E642)</f>
        <v>0.12900002679456615</v>
      </c>
      <c r="Z642" s="2" t="str">
        <f t="shared" ref="Z642:Z705" si="65">IF(OR(M642&gt;0.4,N642&gt;0.8),"High Risk","Normal")</f>
        <v>Normal</v>
      </c>
    </row>
    <row r="643" spans="1:26" x14ac:dyDescent="0.3">
      <c r="A643" t="s">
        <v>1328</v>
      </c>
      <c r="B643" s="1">
        <v>44445</v>
      </c>
      <c r="C643" t="s">
        <v>1329</v>
      </c>
      <c r="D643" t="s">
        <v>40</v>
      </c>
      <c r="E643">
        <v>8761</v>
      </c>
      <c r="F643">
        <v>11.3</v>
      </c>
      <c r="G643">
        <v>36</v>
      </c>
      <c r="H643" t="s">
        <v>19</v>
      </c>
      <c r="I643" t="s">
        <v>20</v>
      </c>
      <c r="J643" t="s">
        <v>28</v>
      </c>
      <c r="K643">
        <v>114899</v>
      </c>
      <c r="L643" t="s">
        <v>22</v>
      </c>
      <c r="M643">
        <v>0.39</v>
      </c>
      <c r="N643">
        <v>0.84</v>
      </c>
      <c r="O643">
        <v>9750.99</v>
      </c>
      <c r="P643">
        <v>0</v>
      </c>
      <c r="Q643">
        <f ca="1">DATEDIF(banking_loan_data[[#This Row],[Issue Date]],TODAY(),"M")</f>
        <v>54</v>
      </c>
      <c r="R643">
        <f t="shared" si="60"/>
        <v>2969.9789999999998</v>
      </c>
      <c r="S643">
        <f>+banking_loan_data[[#This Row],[Loan Amount]]+banking_loan_data[[#This Row],[Interest earned]]</f>
        <v>11730.978999999999</v>
      </c>
      <c r="T643" s="2">
        <f t="shared" si="61"/>
        <v>989.98999999999978</v>
      </c>
      <c r="U643" s="2">
        <f t="shared" si="62"/>
        <v>0</v>
      </c>
      <c r="V643" s="2" t="str">
        <f>IF(banking_loan_data[[#This Row],[Loan Status]]="FULLY PAID","GOOD",IF(banking_loan_data[[#This Row],[Loan Status]]="CURRENT","ACTIVE","BAD"))</f>
        <v>GOOD</v>
      </c>
      <c r="W64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43" s="3">
        <f t="shared" si="63"/>
        <v>8249.941667015135</v>
      </c>
      <c r="Y643" s="4">
        <f t="shared" si="64"/>
        <v>0.11299965757333635</v>
      </c>
      <c r="Z643" s="2" t="str">
        <f t="shared" si="65"/>
        <v>High Risk</v>
      </c>
    </row>
    <row r="644" spans="1:26" x14ac:dyDescent="0.3">
      <c r="A644" t="s">
        <v>1330</v>
      </c>
      <c r="B644" s="1">
        <v>44243</v>
      </c>
      <c r="C644" t="s">
        <v>1331</v>
      </c>
      <c r="D644" t="s">
        <v>46</v>
      </c>
      <c r="E644">
        <v>32116</v>
      </c>
      <c r="F644">
        <v>7.9</v>
      </c>
      <c r="G644">
        <v>36</v>
      </c>
      <c r="H644" t="s">
        <v>60</v>
      </c>
      <c r="I644" t="s">
        <v>20</v>
      </c>
      <c r="J644" t="s">
        <v>37</v>
      </c>
      <c r="K644">
        <v>75536</v>
      </c>
      <c r="L644" t="s">
        <v>22</v>
      </c>
      <c r="M644">
        <v>0.33</v>
      </c>
      <c r="N644">
        <v>0.51</v>
      </c>
      <c r="O644">
        <v>0</v>
      </c>
      <c r="P644">
        <v>0</v>
      </c>
      <c r="Q644">
        <f ca="1">DATEDIF(banking_loan_data[[#This Row],[Issue Date]],TODAY(),"M")</f>
        <v>61</v>
      </c>
      <c r="R644">
        <f t="shared" si="60"/>
        <v>7611.4920000000011</v>
      </c>
      <c r="S644">
        <f>+banking_loan_data[[#This Row],[Loan Amount]]+banking_loan_data[[#This Row],[Interest earned]]</f>
        <v>39727.491999999998</v>
      </c>
      <c r="T644" s="2">
        <f t="shared" si="61"/>
        <v>-32116</v>
      </c>
      <c r="U644" s="2">
        <f t="shared" si="62"/>
        <v>0</v>
      </c>
      <c r="V644" s="2" t="str">
        <f>IF(banking_loan_data[[#This Row],[Loan Status]]="FULLY PAID","GOOD",IF(banking_loan_data[[#This Row],[Loan Status]]="CURRENT","ACTIVE","BAD"))</f>
        <v>BAD</v>
      </c>
      <c r="W64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44" s="3">
        <f t="shared" si="63"/>
        <v>21143.033594538287</v>
      </c>
      <c r="Y644" s="4">
        <f t="shared" si="64"/>
        <v>-1</v>
      </c>
      <c r="Z644" s="2" t="str">
        <f t="shared" si="65"/>
        <v>Normal</v>
      </c>
    </row>
    <row r="645" spans="1:26" x14ac:dyDescent="0.3">
      <c r="A645" t="s">
        <v>1332</v>
      </c>
      <c r="B645" s="1">
        <v>44410</v>
      </c>
      <c r="C645" t="s">
        <v>1333</v>
      </c>
      <c r="D645" t="s">
        <v>50</v>
      </c>
      <c r="E645">
        <v>34768</v>
      </c>
      <c r="F645">
        <v>14.8</v>
      </c>
      <c r="G645">
        <v>36</v>
      </c>
      <c r="H645" t="s">
        <v>60</v>
      </c>
      <c r="I645" t="s">
        <v>20</v>
      </c>
      <c r="J645" t="s">
        <v>32</v>
      </c>
      <c r="K645">
        <v>99504</v>
      </c>
      <c r="L645" t="s">
        <v>33</v>
      </c>
      <c r="M645">
        <v>0.27</v>
      </c>
      <c r="N645">
        <v>0.79</v>
      </c>
      <c r="O645">
        <v>0</v>
      </c>
      <c r="P645">
        <v>0</v>
      </c>
      <c r="Q645">
        <f ca="1">DATEDIF(banking_loan_data[[#This Row],[Issue Date]],TODAY(),"M")</f>
        <v>55</v>
      </c>
      <c r="R645">
        <f t="shared" si="60"/>
        <v>15436.992000000004</v>
      </c>
      <c r="S645">
        <f>+banking_loan_data[[#This Row],[Loan Amount]]+banking_loan_data[[#This Row],[Interest earned]]</f>
        <v>50204.992000000006</v>
      </c>
      <c r="T645" s="2">
        <f t="shared" si="61"/>
        <v>-34768</v>
      </c>
      <c r="U645" s="2">
        <f t="shared" si="62"/>
        <v>0</v>
      </c>
      <c r="V645" s="2" t="str">
        <f>IF(banking_loan_data[[#This Row],[Loan Status]]="FULLY PAID","GOOD",IF(banking_loan_data[[#This Row],[Loan Status]]="CURRENT","ACTIVE","BAD"))</f>
        <v>BAD</v>
      </c>
      <c r="W64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45" s="3">
        <f t="shared" si="63"/>
        <v>42880.533333345084</v>
      </c>
      <c r="Y645" s="4">
        <f t="shared" si="64"/>
        <v>-1</v>
      </c>
      <c r="Z645" s="2" t="str">
        <f t="shared" si="65"/>
        <v>Normal</v>
      </c>
    </row>
    <row r="646" spans="1:26" x14ac:dyDescent="0.3">
      <c r="A646" t="s">
        <v>1334</v>
      </c>
      <c r="B646" s="1">
        <v>44435</v>
      </c>
      <c r="C646" t="s">
        <v>1335</v>
      </c>
      <c r="D646" t="s">
        <v>65</v>
      </c>
      <c r="E646">
        <v>26426</v>
      </c>
      <c r="F646">
        <v>7.6</v>
      </c>
      <c r="G646">
        <v>36</v>
      </c>
      <c r="H646" t="s">
        <v>81</v>
      </c>
      <c r="I646" t="s">
        <v>57</v>
      </c>
      <c r="J646" t="s">
        <v>47</v>
      </c>
      <c r="K646">
        <v>129214</v>
      </c>
      <c r="L646" t="s">
        <v>33</v>
      </c>
      <c r="M646">
        <v>0.15</v>
      </c>
      <c r="N646">
        <v>0.57999999999999996</v>
      </c>
      <c r="O646">
        <v>5657.08</v>
      </c>
      <c r="P646">
        <v>8575.9699999999993</v>
      </c>
      <c r="Q646">
        <f ca="1">DATEDIF(banking_loan_data[[#This Row],[Issue Date]],TODAY(),"M")</f>
        <v>54</v>
      </c>
      <c r="R646">
        <f t="shared" si="60"/>
        <v>6025.1279999999997</v>
      </c>
      <c r="S646">
        <f>+banking_loan_data[[#This Row],[Loan Amount]]+banking_loan_data[[#This Row],[Interest earned]]</f>
        <v>32451.128000000001</v>
      </c>
      <c r="T646" s="2">
        <f t="shared" si="61"/>
        <v>-12192.95</v>
      </c>
      <c r="U646" s="2">
        <f t="shared" si="62"/>
        <v>1</v>
      </c>
      <c r="V646" s="2" t="str">
        <f>IF(banking_loan_data[[#This Row],[Loan Status]]="FULLY PAID","GOOD",IF(banking_loan_data[[#This Row],[Loan Status]]="CURRENT","ACTIVE","BAD"))</f>
        <v>BAD</v>
      </c>
      <c r="W64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46" s="3">
        <f t="shared" si="63"/>
        <v>16736.467023914887</v>
      </c>
      <c r="Y646" s="4">
        <f t="shared" si="64"/>
        <v>-0.46139975781427384</v>
      </c>
      <c r="Z646" s="2" t="str">
        <f t="shared" si="65"/>
        <v>Normal</v>
      </c>
    </row>
    <row r="647" spans="1:26" x14ac:dyDescent="0.3">
      <c r="A647" t="s">
        <v>1336</v>
      </c>
      <c r="B647" s="1">
        <v>45276</v>
      </c>
      <c r="C647" t="s">
        <v>1337</v>
      </c>
      <c r="D647" t="s">
        <v>65</v>
      </c>
      <c r="E647">
        <v>18772</v>
      </c>
      <c r="F647">
        <v>21.7</v>
      </c>
      <c r="G647">
        <v>60</v>
      </c>
      <c r="H647" t="s">
        <v>26</v>
      </c>
      <c r="I647" t="s">
        <v>20</v>
      </c>
      <c r="J647" t="s">
        <v>37</v>
      </c>
      <c r="K647">
        <v>81148</v>
      </c>
      <c r="L647" t="s">
        <v>33</v>
      </c>
      <c r="M647">
        <v>0.26</v>
      </c>
      <c r="N647">
        <v>0.6</v>
      </c>
      <c r="O647">
        <v>7853.16</v>
      </c>
      <c r="P647">
        <v>0</v>
      </c>
      <c r="Q647">
        <f ca="1">DATEDIF(banking_loan_data[[#This Row],[Issue Date]],TODAY(),"M")</f>
        <v>27</v>
      </c>
      <c r="R647">
        <f t="shared" si="60"/>
        <v>20367.62</v>
      </c>
      <c r="S647">
        <f>+banking_loan_data[[#This Row],[Loan Amount]]+banking_loan_data[[#This Row],[Interest earned]]</f>
        <v>39139.619999999995</v>
      </c>
      <c r="T647" s="2">
        <f t="shared" si="61"/>
        <v>-10918.84</v>
      </c>
      <c r="U647" s="2">
        <f t="shared" si="62"/>
        <v>0</v>
      </c>
      <c r="V647" s="2" t="str">
        <f>IF(banking_loan_data[[#This Row],[Loan Status]]="FULLY PAID","GOOD",IF(banking_loan_data[[#This Row],[Loan Status]]="CURRENT","ACTIVE","BAD"))</f>
        <v>ACTIVE</v>
      </c>
      <c r="W64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47" s="3">
        <f t="shared" si="63"/>
        <v>33946.033333333333</v>
      </c>
      <c r="Y647" s="4">
        <f t="shared" si="64"/>
        <v>-0.58165565736202851</v>
      </c>
      <c r="Z647" s="2" t="str">
        <f t="shared" si="65"/>
        <v>Normal</v>
      </c>
    </row>
    <row r="648" spans="1:26" x14ac:dyDescent="0.3">
      <c r="A648" t="s">
        <v>1338</v>
      </c>
      <c r="B648" s="1">
        <v>44546</v>
      </c>
      <c r="C648" t="s">
        <v>1339</v>
      </c>
      <c r="D648" t="s">
        <v>50</v>
      </c>
      <c r="E648">
        <v>39218</v>
      </c>
      <c r="F648">
        <v>12.4</v>
      </c>
      <c r="G648">
        <v>36</v>
      </c>
      <c r="H648" t="s">
        <v>19</v>
      </c>
      <c r="I648" t="s">
        <v>73</v>
      </c>
      <c r="J648" t="s">
        <v>37</v>
      </c>
      <c r="K648">
        <v>143936</v>
      </c>
      <c r="L648" t="s">
        <v>29</v>
      </c>
      <c r="M648">
        <v>0.24</v>
      </c>
      <c r="N648">
        <v>0.79</v>
      </c>
      <c r="O648">
        <v>44081.03</v>
      </c>
      <c r="P648">
        <v>0</v>
      </c>
      <c r="Q648">
        <f ca="1">DATEDIF(banking_loan_data[[#This Row],[Issue Date]],TODAY(),"M")</f>
        <v>51</v>
      </c>
      <c r="R648">
        <f t="shared" si="60"/>
        <v>14589.096</v>
      </c>
      <c r="S648">
        <f>+banking_loan_data[[#This Row],[Loan Amount]]+banking_loan_data[[#This Row],[Interest earned]]</f>
        <v>53807.095999999998</v>
      </c>
      <c r="T648" s="2">
        <f t="shared" si="61"/>
        <v>4863.0299999999988</v>
      </c>
      <c r="U648" s="2">
        <f t="shared" si="62"/>
        <v>0</v>
      </c>
      <c r="V648" s="2" t="str">
        <f>IF(banking_loan_data[[#This Row],[Loan Status]]="FULLY PAID","GOOD",IF(banking_loan_data[[#This Row],[Loan Status]]="CURRENT","ACTIVE","BAD"))</f>
        <v>GOOD</v>
      </c>
      <c r="W64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48" s="3">
        <f t="shared" si="63"/>
        <v>40525.26666699192</v>
      </c>
      <c r="Y648" s="4">
        <f t="shared" si="64"/>
        <v>0.12399994900300879</v>
      </c>
      <c r="Z648" s="2" t="str">
        <f t="shared" si="65"/>
        <v>Normal</v>
      </c>
    </row>
    <row r="649" spans="1:26" x14ac:dyDescent="0.3">
      <c r="A649" t="s">
        <v>1340</v>
      </c>
      <c r="B649" s="1">
        <v>44303</v>
      </c>
      <c r="C649" t="s">
        <v>1341</v>
      </c>
      <c r="D649" t="s">
        <v>25</v>
      </c>
      <c r="E649">
        <v>4712</v>
      </c>
      <c r="F649">
        <v>12.5</v>
      </c>
      <c r="G649">
        <v>36</v>
      </c>
      <c r="H649" t="s">
        <v>26</v>
      </c>
      <c r="I649" t="s">
        <v>73</v>
      </c>
      <c r="J649" t="s">
        <v>28</v>
      </c>
      <c r="K649">
        <v>46279</v>
      </c>
      <c r="L649" t="s">
        <v>22</v>
      </c>
      <c r="M649">
        <v>0.22</v>
      </c>
      <c r="N649">
        <v>0.95</v>
      </c>
      <c r="O649">
        <v>1012.2</v>
      </c>
      <c r="P649">
        <v>0</v>
      </c>
      <c r="Q649">
        <f ca="1">DATEDIF(banking_loan_data[[#This Row],[Issue Date]],TODAY(),"M")</f>
        <v>59</v>
      </c>
      <c r="R649">
        <f t="shared" si="60"/>
        <v>1767</v>
      </c>
      <c r="S649">
        <f>+banking_loan_data[[#This Row],[Loan Amount]]+banking_loan_data[[#This Row],[Interest earned]]</f>
        <v>6479</v>
      </c>
      <c r="T649" s="2">
        <f t="shared" si="61"/>
        <v>-3699.8</v>
      </c>
      <c r="U649" s="2">
        <f t="shared" si="62"/>
        <v>0</v>
      </c>
      <c r="V649" s="2" t="str">
        <f>IF(banking_loan_data[[#This Row],[Loan Status]]="FULLY PAID","GOOD",IF(banking_loan_data[[#This Row],[Loan Status]]="CURRENT","ACTIVE","BAD"))</f>
        <v>ACTIVE</v>
      </c>
      <c r="W64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49" s="3">
        <f t="shared" si="63"/>
        <v>4908.3333333673336</v>
      </c>
      <c r="Y649" s="4">
        <f t="shared" si="64"/>
        <v>-0.7851867572156197</v>
      </c>
      <c r="Z649" s="2" t="str">
        <f t="shared" si="65"/>
        <v>High Risk</v>
      </c>
    </row>
    <row r="650" spans="1:26" x14ac:dyDescent="0.3">
      <c r="A650" t="s">
        <v>1342</v>
      </c>
      <c r="B650" s="1">
        <v>45027</v>
      </c>
      <c r="C650" t="s">
        <v>1343</v>
      </c>
      <c r="D650" t="s">
        <v>72</v>
      </c>
      <c r="E650">
        <v>2367</v>
      </c>
      <c r="F650">
        <v>14.5</v>
      </c>
      <c r="G650">
        <v>60</v>
      </c>
      <c r="H650" t="s">
        <v>19</v>
      </c>
      <c r="I650" t="s">
        <v>36</v>
      </c>
      <c r="J650" t="s">
        <v>28</v>
      </c>
      <c r="K650">
        <v>98665</v>
      </c>
      <c r="L650" t="s">
        <v>22</v>
      </c>
      <c r="M650">
        <v>0.39</v>
      </c>
      <c r="N650">
        <v>0.85</v>
      </c>
      <c r="O650">
        <v>2710.22</v>
      </c>
      <c r="P650">
        <v>0</v>
      </c>
      <c r="Q650">
        <f ca="1">DATEDIF(banking_loan_data[[#This Row],[Issue Date]],TODAY(),"M")</f>
        <v>35</v>
      </c>
      <c r="R650">
        <f t="shared" si="60"/>
        <v>1716.0749999999998</v>
      </c>
      <c r="S650">
        <f>+banking_loan_data[[#This Row],[Loan Amount]]+banking_loan_data[[#This Row],[Interest earned]]</f>
        <v>4083.0749999999998</v>
      </c>
      <c r="T650" s="2">
        <f t="shared" si="61"/>
        <v>343.2199999999998</v>
      </c>
      <c r="U650" s="2">
        <f t="shared" si="62"/>
        <v>0</v>
      </c>
      <c r="V650" s="2" t="str">
        <f>IF(banking_loan_data[[#This Row],[Loan Status]]="FULLY PAID","GOOD",IF(banking_loan_data[[#This Row],[Loan Status]]="CURRENT","ACTIVE","BAD"))</f>
        <v>GOOD</v>
      </c>
      <c r="W65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50" s="3">
        <f t="shared" si="63"/>
        <v>2860.125</v>
      </c>
      <c r="Y650" s="4">
        <f t="shared" si="64"/>
        <v>0.14500211237853816</v>
      </c>
      <c r="Z650" s="2" t="str">
        <f t="shared" si="65"/>
        <v>High Risk</v>
      </c>
    </row>
    <row r="651" spans="1:26" x14ac:dyDescent="0.3">
      <c r="A651" t="s">
        <v>1344</v>
      </c>
      <c r="B651" s="1">
        <v>44244</v>
      </c>
      <c r="C651" t="s">
        <v>1345</v>
      </c>
      <c r="D651" t="s">
        <v>18</v>
      </c>
      <c r="E651">
        <v>27200</v>
      </c>
      <c r="F651">
        <v>13.9</v>
      </c>
      <c r="G651">
        <v>36</v>
      </c>
      <c r="H651" t="s">
        <v>19</v>
      </c>
      <c r="I651" t="s">
        <v>20</v>
      </c>
      <c r="J651" t="s">
        <v>47</v>
      </c>
      <c r="K651">
        <v>133751</v>
      </c>
      <c r="L651" t="s">
        <v>33</v>
      </c>
      <c r="M651">
        <v>0.38</v>
      </c>
      <c r="N651">
        <v>0.6</v>
      </c>
      <c r="O651">
        <v>30980.799999999999</v>
      </c>
      <c r="P651">
        <v>0</v>
      </c>
      <c r="Q651">
        <f ca="1">DATEDIF(banking_loan_data[[#This Row],[Issue Date]],TODAY(),"M")</f>
        <v>61</v>
      </c>
      <c r="R651">
        <f t="shared" si="60"/>
        <v>11342.400000000001</v>
      </c>
      <c r="S651">
        <f>+banking_loan_data[[#This Row],[Loan Amount]]+banking_loan_data[[#This Row],[Interest earned]]</f>
        <v>38542.400000000001</v>
      </c>
      <c r="T651" s="2">
        <f t="shared" si="61"/>
        <v>3780.7999999999993</v>
      </c>
      <c r="U651" s="2">
        <f t="shared" si="62"/>
        <v>0</v>
      </c>
      <c r="V651" s="2" t="str">
        <f>IF(banking_loan_data[[#This Row],[Loan Status]]="FULLY PAID","GOOD",IF(banking_loan_data[[#This Row],[Loan Status]]="CURRENT","ACTIVE","BAD"))</f>
        <v>GOOD</v>
      </c>
      <c r="W65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51" s="3">
        <f t="shared" si="63"/>
        <v>31506.666666696194</v>
      </c>
      <c r="Y651" s="4">
        <f t="shared" si="64"/>
        <v>0.13899999999999998</v>
      </c>
      <c r="Z651" s="2" t="str">
        <f t="shared" si="65"/>
        <v>Normal</v>
      </c>
    </row>
    <row r="652" spans="1:26" x14ac:dyDescent="0.3">
      <c r="A652" t="s">
        <v>1346</v>
      </c>
      <c r="B652" s="1">
        <v>44533</v>
      </c>
      <c r="C652" t="s">
        <v>1347</v>
      </c>
      <c r="D652" t="s">
        <v>56</v>
      </c>
      <c r="E652">
        <v>4726</v>
      </c>
      <c r="F652">
        <v>24.9</v>
      </c>
      <c r="G652">
        <v>36</v>
      </c>
      <c r="H652" t="s">
        <v>26</v>
      </c>
      <c r="I652" t="s">
        <v>57</v>
      </c>
      <c r="J652" t="s">
        <v>28</v>
      </c>
      <c r="K652">
        <v>134433</v>
      </c>
      <c r="L652" t="s">
        <v>22</v>
      </c>
      <c r="M652">
        <v>0.34</v>
      </c>
      <c r="N652">
        <v>0.57999999999999996</v>
      </c>
      <c r="O652">
        <v>1515.61</v>
      </c>
      <c r="P652">
        <v>0</v>
      </c>
      <c r="Q652">
        <f ca="1">DATEDIF(banking_loan_data[[#This Row],[Issue Date]],TODAY(),"M")</f>
        <v>51</v>
      </c>
      <c r="R652">
        <f t="shared" si="60"/>
        <v>3530.3219999999997</v>
      </c>
      <c r="S652">
        <f>+banking_loan_data[[#This Row],[Loan Amount]]+banking_loan_data[[#This Row],[Interest earned]]</f>
        <v>8256.3220000000001</v>
      </c>
      <c r="T652" s="2">
        <f t="shared" si="61"/>
        <v>-3210.3900000000003</v>
      </c>
      <c r="U652" s="2">
        <f t="shared" si="62"/>
        <v>0</v>
      </c>
      <c r="V652" s="2" t="str">
        <f>IF(banking_loan_data[[#This Row],[Loan Status]]="FULLY PAID","GOOD",IF(banking_loan_data[[#This Row],[Loan Status]]="CURRENT","ACTIVE","BAD"))</f>
        <v>ACTIVE</v>
      </c>
      <c r="W65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52" s="3">
        <f t="shared" si="63"/>
        <v>9806.4499999999989</v>
      </c>
      <c r="Y652" s="4">
        <f t="shared" si="64"/>
        <v>-0.67930385103681767</v>
      </c>
      <c r="Z652" s="2" t="str">
        <f t="shared" si="65"/>
        <v>Normal</v>
      </c>
    </row>
    <row r="653" spans="1:26" x14ac:dyDescent="0.3">
      <c r="A653" t="s">
        <v>1348</v>
      </c>
      <c r="B653" s="1">
        <v>45246</v>
      </c>
      <c r="C653" t="s">
        <v>1349</v>
      </c>
      <c r="D653" t="s">
        <v>46</v>
      </c>
      <c r="E653">
        <v>24616</v>
      </c>
      <c r="F653">
        <v>15.9</v>
      </c>
      <c r="G653">
        <v>36</v>
      </c>
      <c r="H653" t="s">
        <v>19</v>
      </c>
      <c r="I653" t="s">
        <v>73</v>
      </c>
      <c r="J653" t="s">
        <v>21</v>
      </c>
      <c r="K653">
        <v>101386</v>
      </c>
      <c r="L653" t="s">
        <v>29</v>
      </c>
      <c r="M653">
        <v>0.48</v>
      </c>
      <c r="N653">
        <v>0.89</v>
      </c>
      <c r="O653">
        <v>28529.94</v>
      </c>
      <c r="P653">
        <v>0</v>
      </c>
      <c r="Q653">
        <f ca="1">DATEDIF(banking_loan_data[[#This Row],[Issue Date]],TODAY(),"M")</f>
        <v>28</v>
      </c>
      <c r="R653">
        <f t="shared" si="60"/>
        <v>11741.832000000002</v>
      </c>
      <c r="S653">
        <f>+banking_loan_data[[#This Row],[Loan Amount]]+banking_loan_data[[#This Row],[Interest earned]]</f>
        <v>36357.832000000002</v>
      </c>
      <c r="T653" s="2">
        <f t="shared" si="61"/>
        <v>3913.9399999999987</v>
      </c>
      <c r="U653" s="2">
        <f t="shared" si="62"/>
        <v>0</v>
      </c>
      <c r="V653" s="2" t="str">
        <f>IF(banking_loan_data[[#This Row],[Loan Status]]="FULLY PAID","GOOD",IF(banking_loan_data[[#This Row],[Loan Status]]="CURRENT","ACTIVE","BAD"))</f>
        <v>GOOD</v>
      </c>
      <c r="W65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53" s="3">
        <f t="shared" si="63"/>
        <v>32616.2000000021</v>
      </c>
      <c r="Y653" s="4">
        <f t="shared" si="64"/>
        <v>0.15899983750406235</v>
      </c>
      <c r="Z653" s="2" t="str">
        <f t="shared" si="65"/>
        <v>High Risk</v>
      </c>
    </row>
    <row r="654" spans="1:26" x14ac:dyDescent="0.3">
      <c r="A654" t="s">
        <v>1350</v>
      </c>
      <c r="B654" s="1">
        <v>45000</v>
      </c>
      <c r="C654" t="s">
        <v>1351</v>
      </c>
      <c r="D654" t="s">
        <v>18</v>
      </c>
      <c r="E654">
        <v>28723</v>
      </c>
      <c r="F654">
        <v>6.8</v>
      </c>
      <c r="G654">
        <v>36</v>
      </c>
      <c r="H654" t="s">
        <v>19</v>
      </c>
      <c r="I654" t="s">
        <v>73</v>
      </c>
      <c r="J654" t="s">
        <v>28</v>
      </c>
      <c r="K654">
        <v>116124</v>
      </c>
      <c r="L654" t="s">
        <v>22</v>
      </c>
      <c r="M654">
        <v>0.24</v>
      </c>
      <c r="N654">
        <v>0.7</v>
      </c>
      <c r="O654">
        <v>30676.16</v>
      </c>
      <c r="P654">
        <v>0</v>
      </c>
      <c r="Q654">
        <f ca="1">DATEDIF(banking_loan_data[[#This Row],[Issue Date]],TODAY(),"M")</f>
        <v>36</v>
      </c>
      <c r="R654">
        <f t="shared" si="60"/>
        <v>5859.4919999999993</v>
      </c>
      <c r="S654">
        <f>+banking_loan_data[[#This Row],[Loan Amount]]+banking_loan_data[[#This Row],[Interest earned]]</f>
        <v>34582.491999999998</v>
      </c>
      <c r="T654" s="2">
        <f t="shared" si="61"/>
        <v>1953.1599999999999</v>
      </c>
      <c r="U654" s="2">
        <f t="shared" si="62"/>
        <v>0</v>
      </c>
      <c r="V654" s="2" t="str">
        <f>IF(banking_loan_data[[#This Row],[Loan Status]]="FULLY PAID","GOOD",IF(banking_loan_data[[#This Row],[Loan Status]]="CURRENT","ACTIVE","BAD"))</f>
        <v>GOOD</v>
      </c>
      <c r="W65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54" s="3">
        <f t="shared" si="63"/>
        <v>16276.368224065303</v>
      </c>
      <c r="Y654" s="4">
        <f t="shared" si="64"/>
        <v>6.7999860738780768E-2</v>
      </c>
      <c r="Z654" s="2" t="str">
        <f t="shared" si="65"/>
        <v>Normal</v>
      </c>
    </row>
    <row r="655" spans="1:26" x14ac:dyDescent="0.3">
      <c r="A655" t="s">
        <v>1352</v>
      </c>
      <c r="B655" s="1">
        <v>44204</v>
      </c>
      <c r="C655" t="s">
        <v>1353</v>
      </c>
      <c r="D655" t="s">
        <v>53</v>
      </c>
      <c r="E655">
        <v>38574</v>
      </c>
      <c r="F655">
        <v>17.100000000000001</v>
      </c>
      <c r="G655">
        <v>60</v>
      </c>
      <c r="H655" t="s">
        <v>19</v>
      </c>
      <c r="I655" t="s">
        <v>73</v>
      </c>
      <c r="J655" t="s">
        <v>28</v>
      </c>
      <c r="K655">
        <v>135750</v>
      </c>
      <c r="L655" t="s">
        <v>22</v>
      </c>
      <c r="M655">
        <v>0.2</v>
      </c>
      <c r="N655">
        <v>0.56000000000000005</v>
      </c>
      <c r="O655">
        <v>45170.15</v>
      </c>
      <c r="P655">
        <v>0</v>
      </c>
      <c r="Q655">
        <f ca="1">DATEDIF(banking_loan_data[[#This Row],[Issue Date]],TODAY(),"M")</f>
        <v>62</v>
      </c>
      <c r="R655">
        <f t="shared" si="60"/>
        <v>32980.770000000004</v>
      </c>
      <c r="S655">
        <f>+banking_loan_data[[#This Row],[Loan Amount]]+banking_loan_data[[#This Row],[Interest earned]]</f>
        <v>71554.77</v>
      </c>
      <c r="T655" s="2">
        <f t="shared" si="61"/>
        <v>6596.1500000000015</v>
      </c>
      <c r="U655" s="2">
        <f t="shared" si="62"/>
        <v>0</v>
      </c>
      <c r="V655" s="2" t="str">
        <f>IF(banking_loan_data[[#This Row],[Loan Status]]="FULLY PAID","GOOD",IF(banking_loan_data[[#This Row],[Loan Status]]="CURRENT","ACTIVE","BAD"))</f>
        <v>GOOD</v>
      </c>
      <c r="W65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55" s="3">
        <f t="shared" si="63"/>
        <v>54967.950000000004</v>
      </c>
      <c r="Y655" s="4">
        <f t="shared" si="64"/>
        <v>0.17099989630320944</v>
      </c>
      <c r="Z655" s="2" t="str">
        <f t="shared" si="65"/>
        <v>Normal</v>
      </c>
    </row>
    <row r="656" spans="1:26" x14ac:dyDescent="0.3">
      <c r="A656" t="s">
        <v>1354</v>
      </c>
      <c r="B656" s="1">
        <v>44821</v>
      </c>
      <c r="C656" t="s">
        <v>1355</v>
      </c>
      <c r="D656" t="s">
        <v>53</v>
      </c>
      <c r="E656">
        <v>35958</v>
      </c>
      <c r="F656">
        <v>8</v>
      </c>
      <c r="G656">
        <v>36</v>
      </c>
      <c r="H656" t="s">
        <v>19</v>
      </c>
      <c r="I656" t="s">
        <v>84</v>
      </c>
      <c r="J656" t="s">
        <v>21</v>
      </c>
      <c r="K656">
        <v>107485</v>
      </c>
      <c r="L656" t="s">
        <v>29</v>
      </c>
      <c r="M656">
        <v>0.36</v>
      </c>
      <c r="N656">
        <v>0.89</v>
      </c>
      <c r="O656">
        <v>38834.639999999999</v>
      </c>
      <c r="P656">
        <v>0</v>
      </c>
      <c r="Q656">
        <f ca="1">DATEDIF(banking_loan_data[[#This Row],[Issue Date]],TODAY(),"M")</f>
        <v>42</v>
      </c>
      <c r="R656">
        <f t="shared" si="60"/>
        <v>8629.92</v>
      </c>
      <c r="S656">
        <f>+banking_loan_data[[#This Row],[Loan Amount]]+banking_loan_data[[#This Row],[Interest earned]]</f>
        <v>44587.92</v>
      </c>
      <c r="T656" s="2">
        <f t="shared" si="61"/>
        <v>2876.6399999999994</v>
      </c>
      <c r="U656" s="2">
        <f t="shared" si="62"/>
        <v>0</v>
      </c>
      <c r="V656" s="2" t="str">
        <f>IF(banking_loan_data[[#This Row],[Loan Status]]="FULLY PAID","GOOD",IF(banking_loan_data[[#This Row],[Loan Status]]="CURRENT","ACTIVE","BAD"))</f>
        <v>GOOD</v>
      </c>
      <c r="W65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56" s="3">
        <f t="shared" si="63"/>
        <v>23972.000247257391</v>
      </c>
      <c r="Y656" s="4">
        <f t="shared" si="64"/>
        <v>7.9999999999999988E-2</v>
      </c>
      <c r="Z656" s="2" t="str">
        <f t="shared" si="65"/>
        <v>High Risk</v>
      </c>
    </row>
    <row r="657" spans="1:26" x14ac:dyDescent="0.3">
      <c r="A657" t="s">
        <v>1356</v>
      </c>
      <c r="B657" s="1">
        <v>44915</v>
      </c>
      <c r="C657" t="s">
        <v>1357</v>
      </c>
      <c r="D657" t="s">
        <v>65</v>
      </c>
      <c r="E657">
        <v>10108</v>
      </c>
      <c r="F657">
        <v>5.6</v>
      </c>
      <c r="G657">
        <v>60</v>
      </c>
      <c r="H657" t="s">
        <v>81</v>
      </c>
      <c r="I657" t="s">
        <v>20</v>
      </c>
      <c r="J657" t="s">
        <v>47</v>
      </c>
      <c r="K657">
        <v>104055</v>
      </c>
      <c r="L657" t="s">
        <v>33</v>
      </c>
      <c r="M657">
        <v>0.18</v>
      </c>
      <c r="N657">
        <v>0.87</v>
      </c>
      <c r="O657">
        <v>2849.4</v>
      </c>
      <c r="P657">
        <v>2210.77</v>
      </c>
      <c r="Q657">
        <f ca="1">DATEDIF(banking_loan_data[[#This Row],[Issue Date]],TODAY(),"M")</f>
        <v>38</v>
      </c>
      <c r="R657">
        <f t="shared" si="60"/>
        <v>2830.24</v>
      </c>
      <c r="S657">
        <f>+banking_loan_data[[#This Row],[Loan Amount]]+banking_loan_data[[#This Row],[Interest earned]]</f>
        <v>12938.24</v>
      </c>
      <c r="T657" s="2">
        <f t="shared" si="61"/>
        <v>-5047.83</v>
      </c>
      <c r="U657" s="2">
        <f t="shared" si="62"/>
        <v>1</v>
      </c>
      <c r="V657" s="2" t="str">
        <f>IF(banking_loan_data[[#This Row],[Loan Status]]="FULLY PAID","GOOD",IF(banking_loan_data[[#This Row],[Loan Status]]="CURRENT","ACTIVE","BAD"))</f>
        <v>BAD</v>
      </c>
      <c r="W65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57" s="3">
        <f t="shared" si="63"/>
        <v>4717.0666671607341</v>
      </c>
      <c r="Y657" s="4">
        <f t="shared" si="64"/>
        <v>-0.49938959240205777</v>
      </c>
      <c r="Z657" s="2" t="str">
        <f t="shared" si="65"/>
        <v>High Risk</v>
      </c>
    </row>
    <row r="658" spans="1:26" x14ac:dyDescent="0.3">
      <c r="A658" t="s">
        <v>1358</v>
      </c>
      <c r="B658" s="1">
        <v>44499</v>
      </c>
      <c r="C658" t="s">
        <v>1359</v>
      </c>
      <c r="D658" t="s">
        <v>53</v>
      </c>
      <c r="E658">
        <v>13178</v>
      </c>
      <c r="F658">
        <v>24.4</v>
      </c>
      <c r="G658">
        <v>60</v>
      </c>
      <c r="H658" t="s">
        <v>19</v>
      </c>
      <c r="I658" t="s">
        <v>84</v>
      </c>
      <c r="J658" t="s">
        <v>21</v>
      </c>
      <c r="K658">
        <v>121911</v>
      </c>
      <c r="L658" t="s">
        <v>33</v>
      </c>
      <c r="M658">
        <v>0.23</v>
      </c>
      <c r="N658">
        <v>0.94</v>
      </c>
      <c r="O658">
        <v>16393.43</v>
      </c>
      <c r="P658">
        <v>0</v>
      </c>
      <c r="Q658">
        <f ca="1">DATEDIF(banking_loan_data[[#This Row],[Issue Date]],TODAY(),"M")</f>
        <v>52</v>
      </c>
      <c r="R658">
        <f t="shared" si="60"/>
        <v>16077.159999999996</v>
      </c>
      <c r="S658">
        <f>+banking_loan_data[[#This Row],[Loan Amount]]+banking_loan_data[[#This Row],[Interest earned]]</f>
        <v>29255.159999999996</v>
      </c>
      <c r="T658" s="2">
        <f t="shared" si="61"/>
        <v>3215.4300000000003</v>
      </c>
      <c r="U658" s="2">
        <f t="shared" si="62"/>
        <v>0</v>
      </c>
      <c r="V658" s="2" t="str">
        <f>IF(banking_loan_data[[#This Row],[Loan Status]]="FULLY PAID","GOOD",IF(banking_loan_data[[#This Row],[Loan Status]]="CURRENT","ACTIVE","BAD"))</f>
        <v>GOOD</v>
      </c>
      <c r="W65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58" s="3">
        <f t="shared" si="63"/>
        <v>26795.266666666666</v>
      </c>
      <c r="Y658" s="4">
        <f t="shared" si="64"/>
        <v>0.24399984823190168</v>
      </c>
      <c r="Z658" s="2" t="str">
        <f t="shared" si="65"/>
        <v>High Risk</v>
      </c>
    </row>
    <row r="659" spans="1:26" x14ac:dyDescent="0.3">
      <c r="A659" t="s">
        <v>1360</v>
      </c>
      <c r="B659" s="1">
        <v>44835</v>
      </c>
      <c r="C659" t="s">
        <v>1361</v>
      </c>
      <c r="D659" t="s">
        <v>25</v>
      </c>
      <c r="E659">
        <v>36643</v>
      </c>
      <c r="F659">
        <v>20.5</v>
      </c>
      <c r="G659">
        <v>36</v>
      </c>
      <c r="H659" t="s">
        <v>19</v>
      </c>
      <c r="I659" t="s">
        <v>73</v>
      </c>
      <c r="J659" t="s">
        <v>37</v>
      </c>
      <c r="K659">
        <v>128618</v>
      </c>
      <c r="L659" t="s">
        <v>22</v>
      </c>
      <c r="M659">
        <v>0.19</v>
      </c>
      <c r="N659">
        <v>0.91</v>
      </c>
      <c r="O659">
        <v>44154.82</v>
      </c>
      <c r="P659">
        <v>0</v>
      </c>
      <c r="Q659">
        <f ca="1">DATEDIF(banking_loan_data[[#This Row],[Issue Date]],TODAY(),"M")</f>
        <v>41</v>
      </c>
      <c r="R659">
        <f t="shared" si="60"/>
        <v>22535.444999999996</v>
      </c>
      <c r="S659">
        <f>+banking_loan_data[[#This Row],[Loan Amount]]+banking_loan_data[[#This Row],[Interest earned]]</f>
        <v>59178.444999999992</v>
      </c>
      <c r="T659" s="2">
        <f t="shared" si="61"/>
        <v>7511.82</v>
      </c>
      <c r="U659" s="2">
        <f t="shared" si="62"/>
        <v>0</v>
      </c>
      <c r="V659" s="2" t="str">
        <f>IF(banking_loan_data[[#This Row],[Loan Status]]="FULLY PAID","GOOD",IF(banking_loan_data[[#This Row],[Loan Status]]="CURRENT","ACTIVE","BAD"))</f>
        <v>GOOD</v>
      </c>
      <c r="W65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59" s="3">
        <f t="shared" si="63"/>
        <v>62598.458333333343</v>
      </c>
      <c r="Y659" s="4">
        <f t="shared" si="64"/>
        <v>0.20500013645170972</v>
      </c>
      <c r="Z659" s="2" t="str">
        <f t="shared" si="65"/>
        <v>High Risk</v>
      </c>
    </row>
    <row r="660" spans="1:26" x14ac:dyDescent="0.3">
      <c r="A660" t="s">
        <v>1362</v>
      </c>
      <c r="B660" s="1">
        <v>44252</v>
      </c>
      <c r="C660" t="s">
        <v>1363</v>
      </c>
      <c r="D660" t="s">
        <v>72</v>
      </c>
      <c r="E660">
        <v>32324</v>
      </c>
      <c r="F660">
        <v>24.6</v>
      </c>
      <c r="G660">
        <v>36</v>
      </c>
      <c r="H660" t="s">
        <v>19</v>
      </c>
      <c r="I660" t="s">
        <v>20</v>
      </c>
      <c r="J660" t="s">
        <v>21</v>
      </c>
      <c r="K660">
        <v>107273</v>
      </c>
      <c r="L660" t="s">
        <v>29</v>
      </c>
      <c r="M660">
        <v>0.13</v>
      </c>
      <c r="N660">
        <v>0.88</v>
      </c>
      <c r="O660">
        <v>40275.699999999997</v>
      </c>
      <c r="P660">
        <v>0</v>
      </c>
      <c r="Q660">
        <f ca="1">DATEDIF(banking_loan_data[[#This Row],[Issue Date]],TODAY(),"M")</f>
        <v>60</v>
      </c>
      <c r="R660">
        <f t="shared" si="60"/>
        <v>23855.112000000005</v>
      </c>
      <c r="S660">
        <f>+banking_loan_data[[#This Row],[Loan Amount]]+banking_loan_data[[#This Row],[Interest earned]]</f>
        <v>56179.112000000008</v>
      </c>
      <c r="T660" s="2">
        <f t="shared" si="61"/>
        <v>7951.6999999999971</v>
      </c>
      <c r="U660" s="2">
        <f t="shared" si="62"/>
        <v>0</v>
      </c>
      <c r="V660" s="2" t="str">
        <f>IF(banking_loan_data[[#This Row],[Loan Status]]="FULLY PAID","GOOD",IF(banking_loan_data[[#This Row],[Loan Status]]="CURRENT","ACTIVE","BAD"))</f>
        <v>GOOD</v>
      </c>
      <c r="W66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60" s="3">
        <f t="shared" si="63"/>
        <v>66264.200000000012</v>
      </c>
      <c r="Y660" s="4">
        <f t="shared" si="64"/>
        <v>0.2459998762529389</v>
      </c>
      <c r="Z660" s="2" t="str">
        <f t="shared" si="65"/>
        <v>High Risk</v>
      </c>
    </row>
    <row r="661" spans="1:26" x14ac:dyDescent="0.3">
      <c r="A661" t="s">
        <v>1364</v>
      </c>
      <c r="B661" s="1">
        <v>44922</v>
      </c>
      <c r="C661" t="s">
        <v>1365</v>
      </c>
      <c r="D661" t="s">
        <v>53</v>
      </c>
      <c r="E661">
        <v>39360</v>
      </c>
      <c r="F661">
        <v>14.6</v>
      </c>
      <c r="G661">
        <v>36</v>
      </c>
      <c r="H661" t="s">
        <v>19</v>
      </c>
      <c r="I661" t="s">
        <v>36</v>
      </c>
      <c r="J661" t="s">
        <v>32</v>
      </c>
      <c r="K661">
        <v>96670</v>
      </c>
      <c r="L661" t="s">
        <v>33</v>
      </c>
      <c r="M661">
        <v>0.43</v>
      </c>
      <c r="N661">
        <v>0.52</v>
      </c>
      <c r="O661">
        <v>45106.559999999998</v>
      </c>
      <c r="P661">
        <v>0</v>
      </c>
      <c r="Q661">
        <f ca="1">DATEDIF(banking_loan_data[[#This Row],[Issue Date]],TODAY(),"M")</f>
        <v>38</v>
      </c>
      <c r="R661">
        <f t="shared" si="60"/>
        <v>17239.68</v>
      </c>
      <c r="S661">
        <f>+banking_loan_data[[#This Row],[Loan Amount]]+banking_loan_data[[#This Row],[Interest earned]]</f>
        <v>56599.68</v>
      </c>
      <c r="T661" s="2">
        <f t="shared" si="61"/>
        <v>5746.5599999999977</v>
      </c>
      <c r="U661" s="2">
        <f t="shared" si="62"/>
        <v>0</v>
      </c>
      <c r="V661" s="2" t="str">
        <f>IF(banking_loan_data[[#This Row],[Loan Status]]="FULLY PAID","GOOD",IF(banking_loan_data[[#This Row],[Loan Status]]="CURRENT","ACTIVE","BAD"))</f>
        <v>GOOD</v>
      </c>
      <c r="W66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61" s="3">
        <f t="shared" si="63"/>
        <v>47888.000000017171</v>
      </c>
      <c r="Y661" s="4">
        <f t="shared" si="64"/>
        <v>0.14599999999999994</v>
      </c>
      <c r="Z661" s="2" t="str">
        <f t="shared" si="65"/>
        <v>High Risk</v>
      </c>
    </row>
    <row r="662" spans="1:26" x14ac:dyDescent="0.3">
      <c r="A662" t="s">
        <v>1366</v>
      </c>
      <c r="B662" s="1">
        <v>44722</v>
      </c>
      <c r="C662" t="s">
        <v>1367</v>
      </c>
      <c r="D662" t="s">
        <v>40</v>
      </c>
      <c r="E662">
        <v>18824</v>
      </c>
      <c r="F662">
        <v>15.6</v>
      </c>
      <c r="G662">
        <v>36</v>
      </c>
      <c r="H662" t="s">
        <v>19</v>
      </c>
      <c r="I662" t="s">
        <v>27</v>
      </c>
      <c r="J662" t="s">
        <v>37</v>
      </c>
      <c r="K662">
        <v>106474</v>
      </c>
      <c r="L662" t="s">
        <v>33</v>
      </c>
      <c r="M662">
        <v>0.2</v>
      </c>
      <c r="N662">
        <v>0.55000000000000004</v>
      </c>
      <c r="O662">
        <v>21760.54</v>
      </c>
      <c r="P662">
        <v>0</v>
      </c>
      <c r="Q662">
        <f ca="1">DATEDIF(banking_loan_data[[#This Row],[Issue Date]],TODAY(),"M")</f>
        <v>45</v>
      </c>
      <c r="R662">
        <f t="shared" si="60"/>
        <v>8809.6319999999996</v>
      </c>
      <c r="S662">
        <f>+banking_loan_data[[#This Row],[Loan Amount]]+banking_loan_data[[#This Row],[Interest earned]]</f>
        <v>27633.631999999998</v>
      </c>
      <c r="T662" s="2">
        <f t="shared" si="61"/>
        <v>2936.5400000000009</v>
      </c>
      <c r="U662" s="2">
        <f t="shared" si="62"/>
        <v>0</v>
      </c>
      <c r="V662" s="2" t="str">
        <f>IF(banking_loan_data[[#This Row],[Loan Status]]="FULLY PAID","GOOD",IF(banking_loan_data[[#This Row],[Loan Status]]="CURRENT","ACTIVE","BAD"))</f>
        <v>GOOD</v>
      </c>
      <c r="W66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62" s="3">
        <f t="shared" si="63"/>
        <v>24471.200000002329</v>
      </c>
      <c r="Y662" s="4">
        <f t="shared" si="64"/>
        <v>0.1559997875053124</v>
      </c>
      <c r="Z662" s="2" t="str">
        <f t="shared" si="65"/>
        <v>Normal</v>
      </c>
    </row>
    <row r="663" spans="1:26" x14ac:dyDescent="0.3">
      <c r="A663" t="s">
        <v>1368</v>
      </c>
      <c r="B663" s="1">
        <v>44670</v>
      </c>
      <c r="C663" t="s">
        <v>1369</v>
      </c>
      <c r="D663" t="s">
        <v>72</v>
      </c>
      <c r="E663">
        <v>9927</v>
      </c>
      <c r="F663">
        <v>8.4</v>
      </c>
      <c r="G663">
        <v>60</v>
      </c>
      <c r="H663" t="s">
        <v>26</v>
      </c>
      <c r="I663" t="s">
        <v>20</v>
      </c>
      <c r="J663" t="s">
        <v>28</v>
      </c>
      <c r="K663">
        <v>84028</v>
      </c>
      <c r="L663" t="s">
        <v>33</v>
      </c>
      <c r="M663">
        <v>0.28999999999999998</v>
      </c>
      <c r="N663">
        <v>0.76</v>
      </c>
      <c r="O663">
        <v>2126.9699999999998</v>
      </c>
      <c r="P663">
        <v>0</v>
      </c>
      <c r="Q663">
        <f ca="1">DATEDIF(banking_loan_data[[#This Row],[Issue Date]],TODAY(),"M")</f>
        <v>47</v>
      </c>
      <c r="R663">
        <f t="shared" si="60"/>
        <v>4169.34</v>
      </c>
      <c r="S663">
        <f>+banking_loan_data[[#This Row],[Loan Amount]]+banking_loan_data[[#This Row],[Interest earned]]</f>
        <v>14096.34</v>
      </c>
      <c r="T663" s="2">
        <f t="shared" si="61"/>
        <v>-7800.0300000000007</v>
      </c>
      <c r="U663" s="2">
        <f t="shared" si="62"/>
        <v>0</v>
      </c>
      <c r="V663" s="2" t="str">
        <f>IF(banking_loan_data[[#This Row],[Loan Status]]="FULLY PAID","GOOD",IF(banking_loan_data[[#This Row],[Loan Status]]="CURRENT","ACTIVE","BAD"))</f>
        <v>ACTIVE</v>
      </c>
      <c r="W66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63" s="3">
        <f t="shared" si="63"/>
        <v>6948.9000000001042</v>
      </c>
      <c r="Y663" s="4">
        <f t="shared" si="64"/>
        <v>-0.78573889392565732</v>
      </c>
      <c r="Z663" s="2" t="str">
        <f t="shared" si="65"/>
        <v>Normal</v>
      </c>
    </row>
    <row r="664" spans="1:26" x14ac:dyDescent="0.3">
      <c r="A664" t="s">
        <v>1370</v>
      </c>
      <c r="B664" s="1">
        <v>44224</v>
      </c>
      <c r="C664" t="s">
        <v>1371</v>
      </c>
      <c r="D664" t="s">
        <v>25</v>
      </c>
      <c r="E664">
        <v>29144</v>
      </c>
      <c r="F664">
        <v>9.9</v>
      </c>
      <c r="G664">
        <v>60</v>
      </c>
      <c r="H664" t="s">
        <v>19</v>
      </c>
      <c r="I664" t="s">
        <v>20</v>
      </c>
      <c r="J664" t="s">
        <v>37</v>
      </c>
      <c r="K664">
        <v>120022</v>
      </c>
      <c r="L664" t="s">
        <v>22</v>
      </c>
      <c r="M664">
        <v>0.12</v>
      </c>
      <c r="N664">
        <v>0.74</v>
      </c>
      <c r="O664">
        <v>32029.26</v>
      </c>
      <c r="P664">
        <v>0</v>
      </c>
      <c r="Q664">
        <f ca="1">DATEDIF(banking_loan_data[[#This Row],[Issue Date]],TODAY(),"M")</f>
        <v>61</v>
      </c>
      <c r="R664">
        <f t="shared" si="60"/>
        <v>14426.28</v>
      </c>
      <c r="S664">
        <f>+banking_loan_data[[#This Row],[Loan Amount]]+banking_loan_data[[#This Row],[Interest earned]]</f>
        <v>43570.28</v>
      </c>
      <c r="T664" s="2">
        <f t="shared" si="61"/>
        <v>2885.2599999999984</v>
      </c>
      <c r="U664" s="2">
        <f t="shared" si="62"/>
        <v>0</v>
      </c>
      <c r="V664" s="2" t="str">
        <f>IF(banking_loan_data[[#This Row],[Loan Status]]="FULLY PAID","GOOD",IF(banking_loan_data[[#This Row],[Loan Status]]="CURRENT","ACTIVE","BAD"))</f>
        <v>GOOD</v>
      </c>
      <c r="W66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64" s="3">
        <f t="shared" si="63"/>
        <v>24043.800000000007</v>
      </c>
      <c r="Y664" s="4">
        <f t="shared" si="64"/>
        <v>9.9000137249519574E-2</v>
      </c>
      <c r="Z664" s="2" t="str">
        <f t="shared" si="65"/>
        <v>Normal</v>
      </c>
    </row>
    <row r="665" spans="1:26" x14ac:dyDescent="0.3">
      <c r="A665" t="s">
        <v>1372</v>
      </c>
      <c r="B665" s="1">
        <v>44274</v>
      </c>
      <c r="C665" t="s">
        <v>1373</v>
      </c>
      <c r="D665" t="s">
        <v>18</v>
      </c>
      <c r="E665">
        <v>32010</v>
      </c>
      <c r="F665">
        <v>21.8</v>
      </c>
      <c r="G665">
        <v>60</v>
      </c>
      <c r="H665" t="s">
        <v>26</v>
      </c>
      <c r="I665" t="s">
        <v>20</v>
      </c>
      <c r="J665" t="s">
        <v>47</v>
      </c>
      <c r="K665">
        <v>143892</v>
      </c>
      <c r="L665" t="s">
        <v>29</v>
      </c>
      <c r="M665">
        <v>0.38</v>
      </c>
      <c r="N665">
        <v>0.71</v>
      </c>
      <c r="O665">
        <v>14628.99</v>
      </c>
      <c r="P665">
        <v>0</v>
      </c>
      <c r="Q665">
        <f ca="1">DATEDIF(banking_loan_data[[#This Row],[Issue Date]],TODAY(),"M")</f>
        <v>60</v>
      </c>
      <c r="R665">
        <f t="shared" si="60"/>
        <v>34890.9</v>
      </c>
      <c r="S665">
        <f>+banking_loan_data[[#This Row],[Loan Amount]]+banking_loan_data[[#This Row],[Interest earned]]</f>
        <v>66900.899999999994</v>
      </c>
      <c r="T665" s="2">
        <f t="shared" si="61"/>
        <v>-17381.010000000002</v>
      </c>
      <c r="U665" s="2">
        <f t="shared" si="62"/>
        <v>0</v>
      </c>
      <c r="V665" s="2" t="str">
        <f>IF(banking_loan_data[[#This Row],[Loan Status]]="FULLY PAID","GOOD",IF(banking_loan_data[[#This Row],[Loan Status]]="CURRENT","ACTIVE","BAD"))</f>
        <v>ACTIVE</v>
      </c>
      <c r="W66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65" s="3">
        <f t="shared" si="63"/>
        <v>58151.5</v>
      </c>
      <c r="Y665" s="4">
        <f t="shared" si="64"/>
        <v>-0.54298687910028121</v>
      </c>
      <c r="Z665" s="2" t="str">
        <f t="shared" si="65"/>
        <v>Normal</v>
      </c>
    </row>
    <row r="666" spans="1:26" x14ac:dyDescent="0.3">
      <c r="A666" t="s">
        <v>1374</v>
      </c>
      <c r="B666" s="1">
        <v>44561</v>
      </c>
      <c r="C666" t="s">
        <v>1375</v>
      </c>
      <c r="D666" t="s">
        <v>72</v>
      </c>
      <c r="E666">
        <v>23443</v>
      </c>
      <c r="F666">
        <v>12.1</v>
      </c>
      <c r="G666">
        <v>36</v>
      </c>
      <c r="H666" t="s">
        <v>315</v>
      </c>
      <c r="I666" t="s">
        <v>73</v>
      </c>
      <c r="J666" t="s">
        <v>47</v>
      </c>
      <c r="K666">
        <v>121632</v>
      </c>
      <c r="L666" t="s">
        <v>22</v>
      </c>
      <c r="M666">
        <v>0.23</v>
      </c>
      <c r="N666">
        <v>0.68</v>
      </c>
      <c r="O666">
        <v>0</v>
      </c>
      <c r="P666">
        <v>0</v>
      </c>
      <c r="Q666">
        <f ca="1">DATEDIF(banking_loan_data[[#This Row],[Issue Date]],TODAY(),"M")</f>
        <v>50</v>
      </c>
      <c r="R666">
        <f t="shared" si="60"/>
        <v>8509.8089999999993</v>
      </c>
      <c r="S666">
        <f>+banking_loan_data[[#This Row],[Loan Amount]]+banking_loan_data[[#This Row],[Interest earned]]</f>
        <v>31952.809000000001</v>
      </c>
      <c r="T666" s="2">
        <f t="shared" si="61"/>
        <v>-23443</v>
      </c>
      <c r="U666" s="2">
        <f t="shared" si="62"/>
        <v>0</v>
      </c>
      <c r="V666" s="2" t="str">
        <f>IF(banking_loan_data[[#This Row],[Loan Status]]="FULLY PAID","GOOD",IF(banking_loan_data[[#This Row],[Loan Status]]="CURRENT","ACTIVE","BAD"))</f>
        <v>BAD</v>
      </c>
      <c r="W66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66" s="3">
        <f t="shared" si="63"/>
        <v>23638.358333629498</v>
      </c>
      <c r="Y666" s="4">
        <f t="shared" si="64"/>
        <v>-1</v>
      </c>
      <c r="Z666" s="2" t="str">
        <f t="shared" si="65"/>
        <v>Normal</v>
      </c>
    </row>
    <row r="667" spans="1:26" x14ac:dyDescent="0.3">
      <c r="A667" t="s">
        <v>1376</v>
      </c>
      <c r="B667" s="1">
        <v>44862</v>
      </c>
      <c r="C667" t="s">
        <v>1377</v>
      </c>
      <c r="D667" t="s">
        <v>72</v>
      </c>
      <c r="E667">
        <v>15437</v>
      </c>
      <c r="F667">
        <v>21.5</v>
      </c>
      <c r="G667">
        <v>60</v>
      </c>
      <c r="H667" t="s">
        <v>26</v>
      </c>
      <c r="I667" t="s">
        <v>20</v>
      </c>
      <c r="J667" t="s">
        <v>21</v>
      </c>
      <c r="K667">
        <v>136651</v>
      </c>
      <c r="L667" t="s">
        <v>33</v>
      </c>
      <c r="M667">
        <v>0.4</v>
      </c>
      <c r="N667">
        <v>0.69</v>
      </c>
      <c r="O667">
        <v>4267.6000000000004</v>
      </c>
      <c r="P667">
        <v>0</v>
      </c>
      <c r="Q667">
        <f ca="1">DATEDIF(banking_loan_data[[#This Row],[Issue Date]],TODAY(),"M")</f>
        <v>40</v>
      </c>
      <c r="R667">
        <f t="shared" si="60"/>
        <v>16594.774999999998</v>
      </c>
      <c r="S667">
        <f>+banking_loan_data[[#This Row],[Loan Amount]]+banking_loan_data[[#This Row],[Interest earned]]</f>
        <v>32031.774999999998</v>
      </c>
      <c r="T667" s="2">
        <f t="shared" si="61"/>
        <v>-11169.4</v>
      </c>
      <c r="U667" s="2">
        <f t="shared" si="62"/>
        <v>0</v>
      </c>
      <c r="V667" s="2" t="str">
        <f>IF(banking_loan_data[[#This Row],[Loan Status]]="FULLY PAID","GOOD",IF(banking_loan_data[[#This Row],[Loan Status]]="CURRENT","ACTIVE","BAD"))</f>
        <v>ACTIVE</v>
      </c>
      <c r="W66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67" s="3">
        <f t="shared" si="63"/>
        <v>27657.958333333336</v>
      </c>
      <c r="Y667" s="4">
        <f t="shared" si="64"/>
        <v>-0.72354732137073263</v>
      </c>
      <c r="Z667" s="2" t="str">
        <f t="shared" si="65"/>
        <v>Normal</v>
      </c>
    </row>
    <row r="668" spans="1:26" x14ac:dyDescent="0.3">
      <c r="A668" t="s">
        <v>1378</v>
      </c>
      <c r="B668" s="1">
        <v>44722</v>
      </c>
      <c r="C668" t="s">
        <v>1379</v>
      </c>
      <c r="D668" t="s">
        <v>18</v>
      </c>
      <c r="E668">
        <v>12207</v>
      </c>
      <c r="F668">
        <v>19.2</v>
      </c>
      <c r="G668">
        <v>36</v>
      </c>
      <c r="H668" t="s">
        <v>19</v>
      </c>
      <c r="I668" t="s">
        <v>20</v>
      </c>
      <c r="J668" t="s">
        <v>37</v>
      </c>
      <c r="K668">
        <v>101128</v>
      </c>
      <c r="L668" t="s">
        <v>29</v>
      </c>
      <c r="M668">
        <v>0.26</v>
      </c>
      <c r="N668">
        <v>0.76</v>
      </c>
      <c r="O668">
        <v>14550.74</v>
      </c>
      <c r="P668">
        <v>0</v>
      </c>
      <c r="Q668">
        <f ca="1">DATEDIF(banking_loan_data[[#This Row],[Issue Date]],TODAY(),"M")</f>
        <v>45</v>
      </c>
      <c r="R668">
        <f t="shared" si="60"/>
        <v>7031.232</v>
      </c>
      <c r="S668">
        <f>+banking_loan_data[[#This Row],[Loan Amount]]+banking_loan_data[[#This Row],[Interest earned]]</f>
        <v>19238.232</v>
      </c>
      <c r="T668" s="2">
        <f t="shared" si="61"/>
        <v>2343.7399999999998</v>
      </c>
      <c r="U668" s="2">
        <f t="shared" si="62"/>
        <v>0</v>
      </c>
      <c r="V668" s="2" t="str">
        <f>IF(banking_loan_data[[#This Row],[Loan Status]]="FULLY PAID","GOOD",IF(banking_loan_data[[#This Row],[Loan Status]]="CURRENT","ACTIVE","BAD"))</f>
        <v>GOOD</v>
      </c>
      <c r="W66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68" s="3">
        <f t="shared" si="63"/>
        <v>19531.200000000019</v>
      </c>
      <c r="Y668" s="4">
        <f t="shared" si="64"/>
        <v>0.19199967231916112</v>
      </c>
      <c r="Z668" s="2" t="str">
        <f t="shared" si="65"/>
        <v>Normal</v>
      </c>
    </row>
    <row r="669" spans="1:26" x14ac:dyDescent="0.3">
      <c r="A669" t="s">
        <v>1380</v>
      </c>
      <c r="B669" s="1">
        <v>44895</v>
      </c>
      <c r="C669" t="s">
        <v>1381</v>
      </c>
      <c r="D669" t="s">
        <v>25</v>
      </c>
      <c r="E669">
        <v>26537</v>
      </c>
      <c r="F669">
        <v>8.5</v>
      </c>
      <c r="G669">
        <v>36</v>
      </c>
      <c r="H669" t="s">
        <v>19</v>
      </c>
      <c r="I669" t="s">
        <v>20</v>
      </c>
      <c r="J669" t="s">
        <v>28</v>
      </c>
      <c r="K669">
        <v>48108</v>
      </c>
      <c r="L669" t="s">
        <v>22</v>
      </c>
      <c r="M669">
        <v>0.18</v>
      </c>
      <c r="N669">
        <v>0.5</v>
      </c>
      <c r="O669">
        <v>28792.639999999999</v>
      </c>
      <c r="P669">
        <v>0</v>
      </c>
      <c r="Q669">
        <f ca="1">DATEDIF(banking_loan_data[[#This Row],[Issue Date]],TODAY(),"M")</f>
        <v>39</v>
      </c>
      <c r="R669">
        <f t="shared" si="60"/>
        <v>6766.9350000000004</v>
      </c>
      <c r="S669">
        <f>+banking_loan_data[[#This Row],[Loan Amount]]+banking_loan_data[[#This Row],[Interest earned]]</f>
        <v>33303.934999999998</v>
      </c>
      <c r="T669" s="2">
        <f t="shared" si="61"/>
        <v>2255.6399999999994</v>
      </c>
      <c r="U669" s="2">
        <f t="shared" si="62"/>
        <v>0</v>
      </c>
      <c r="V669" s="2" t="str">
        <f>IF(banking_loan_data[[#This Row],[Loan Status]]="FULLY PAID","GOOD",IF(banking_loan_data[[#This Row],[Loan Status]]="CURRENT","ACTIVE","BAD"))</f>
        <v>GOOD</v>
      </c>
      <c r="W66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69" s="3">
        <f t="shared" si="63"/>
        <v>18797.041746369796</v>
      </c>
      <c r="Y669" s="4">
        <f t="shared" si="64"/>
        <v>8.4999811583826329E-2</v>
      </c>
      <c r="Z669" s="2" t="str">
        <f t="shared" si="65"/>
        <v>Normal</v>
      </c>
    </row>
    <row r="670" spans="1:26" x14ac:dyDescent="0.3">
      <c r="A670" t="s">
        <v>1382</v>
      </c>
      <c r="B670" s="1">
        <v>45079</v>
      </c>
      <c r="C670" t="s">
        <v>1383</v>
      </c>
      <c r="D670" t="s">
        <v>53</v>
      </c>
      <c r="E670">
        <v>36757</v>
      </c>
      <c r="F670">
        <v>15.1</v>
      </c>
      <c r="G670">
        <v>36</v>
      </c>
      <c r="H670" t="s">
        <v>81</v>
      </c>
      <c r="I670" t="s">
        <v>27</v>
      </c>
      <c r="J670" t="s">
        <v>47</v>
      </c>
      <c r="K670">
        <v>82495</v>
      </c>
      <c r="L670" t="s">
        <v>33</v>
      </c>
      <c r="M670">
        <v>0.31</v>
      </c>
      <c r="N670">
        <v>0.62</v>
      </c>
      <c r="O670">
        <v>8800.92</v>
      </c>
      <c r="P670">
        <v>6346.33</v>
      </c>
      <c r="Q670">
        <f ca="1">DATEDIF(banking_loan_data[[#This Row],[Issue Date]],TODAY(),"M")</f>
        <v>33</v>
      </c>
      <c r="R670">
        <f t="shared" si="60"/>
        <v>16650.920999999998</v>
      </c>
      <c r="S670">
        <f>+banking_loan_data[[#This Row],[Loan Amount]]+banking_loan_data[[#This Row],[Interest earned]]</f>
        <v>53407.921000000002</v>
      </c>
      <c r="T670" s="2">
        <f t="shared" si="61"/>
        <v>-21609.75</v>
      </c>
      <c r="U670" s="2">
        <f t="shared" si="62"/>
        <v>1</v>
      </c>
      <c r="V670" s="2" t="str">
        <f>IF(banking_loan_data[[#This Row],[Loan Status]]="FULLY PAID","GOOD",IF(banking_loan_data[[#This Row],[Loan Status]]="CURRENT","ACTIVE","BAD"))</f>
        <v>BAD</v>
      </c>
      <c r="W67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70" s="3">
        <f t="shared" si="63"/>
        <v>46252.558333341818</v>
      </c>
      <c r="Y670" s="4">
        <f t="shared" si="64"/>
        <v>-0.58790842560600698</v>
      </c>
      <c r="Z670" s="2" t="str">
        <f t="shared" si="65"/>
        <v>Normal</v>
      </c>
    </row>
    <row r="671" spans="1:26" x14ac:dyDescent="0.3">
      <c r="A671" t="s">
        <v>1384</v>
      </c>
      <c r="B671" s="1">
        <v>45227</v>
      </c>
      <c r="C671" t="s">
        <v>1385</v>
      </c>
      <c r="D671" t="s">
        <v>65</v>
      </c>
      <c r="E671">
        <v>13040</v>
      </c>
      <c r="F671">
        <v>18.5</v>
      </c>
      <c r="G671">
        <v>36</v>
      </c>
      <c r="H671" t="s">
        <v>19</v>
      </c>
      <c r="I671" t="s">
        <v>84</v>
      </c>
      <c r="J671" t="s">
        <v>28</v>
      </c>
      <c r="K671">
        <v>112806</v>
      </c>
      <c r="L671" t="s">
        <v>33</v>
      </c>
      <c r="M671">
        <v>0.15</v>
      </c>
      <c r="N671">
        <v>0.73</v>
      </c>
      <c r="O671">
        <v>15452.4</v>
      </c>
      <c r="P671">
        <v>0</v>
      </c>
      <c r="Q671">
        <f ca="1">DATEDIF(banking_loan_data[[#This Row],[Issue Date]],TODAY(),"M")</f>
        <v>28</v>
      </c>
      <c r="R671">
        <f t="shared" si="60"/>
        <v>7237.2000000000007</v>
      </c>
      <c r="S671">
        <f>+banking_loan_data[[#This Row],[Loan Amount]]+banking_loan_data[[#This Row],[Interest earned]]</f>
        <v>20277.2</v>
      </c>
      <c r="T671" s="2">
        <f t="shared" si="61"/>
        <v>2412.3999999999996</v>
      </c>
      <c r="U671" s="2">
        <f t="shared" si="62"/>
        <v>0</v>
      </c>
      <c r="V671" s="2" t="str">
        <f>IF(banking_loan_data[[#This Row],[Loan Status]]="FULLY PAID","GOOD",IF(banking_loan_data[[#This Row],[Loan Status]]="CURRENT","ACTIVE","BAD"))</f>
        <v>GOOD</v>
      </c>
      <c r="W67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71" s="3">
        <f t="shared" si="63"/>
        <v>20103.333333333383</v>
      </c>
      <c r="Y671" s="4">
        <f t="shared" si="64"/>
        <v>0.18499999999999997</v>
      </c>
      <c r="Z671" s="2" t="str">
        <f t="shared" si="65"/>
        <v>Normal</v>
      </c>
    </row>
    <row r="672" spans="1:26" x14ac:dyDescent="0.3">
      <c r="A672" t="s">
        <v>1386</v>
      </c>
      <c r="B672" s="1">
        <v>45223</v>
      </c>
      <c r="C672" t="s">
        <v>1387</v>
      </c>
      <c r="D672" t="s">
        <v>46</v>
      </c>
      <c r="E672">
        <v>23612</v>
      </c>
      <c r="F672">
        <v>9.6999999999999993</v>
      </c>
      <c r="G672">
        <v>36</v>
      </c>
      <c r="H672" t="s">
        <v>26</v>
      </c>
      <c r="I672" t="s">
        <v>84</v>
      </c>
      <c r="J672" t="s">
        <v>32</v>
      </c>
      <c r="K672">
        <v>123185</v>
      </c>
      <c r="L672" t="s">
        <v>22</v>
      </c>
      <c r="M672">
        <v>0.28000000000000003</v>
      </c>
      <c r="N672">
        <v>0.82</v>
      </c>
      <c r="O672">
        <v>11779.58</v>
      </c>
      <c r="P672">
        <v>0</v>
      </c>
      <c r="Q672">
        <f ca="1">DATEDIF(banking_loan_data[[#This Row],[Issue Date]],TODAY(),"M")</f>
        <v>28</v>
      </c>
      <c r="R672">
        <f t="shared" si="60"/>
        <v>6871.0920000000006</v>
      </c>
      <c r="S672">
        <f>+banking_loan_data[[#This Row],[Loan Amount]]+banking_loan_data[[#This Row],[Interest earned]]</f>
        <v>30483.092000000001</v>
      </c>
      <c r="T672" s="2">
        <f t="shared" si="61"/>
        <v>-11832.42</v>
      </c>
      <c r="U672" s="2">
        <f t="shared" si="62"/>
        <v>0</v>
      </c>
      <c r="V672" s="2" t="str">
        <f>IF(banking_loan_data[[#This Row],[Loan Status]]="FULLY PAID","GOOD",IF(banking_loan_data[[#This Row],[Loan Status]]="CURRENT","ACTIVE","BAD"))</f>
        <v>ACTIVE</v>
      </c>
      <c r="W67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72" s="3">
        <f t="shared" si="63"/>
        <v>19086.366677106598</v>
      </c>
      <c r="Y672" s="4">
        <f t="shared" si="64"/>
        <v>-0.50111892258173807</v>
      </c>
      <c r="Z672" s="2" t="str">
        <f t="shared" si="65"/>
        <v>High Risk</v>
      </c>
    </row>
    <row r="673" spans="1:26" x14ac:dyDescent="0.3">
      <c r="A673" t="s">
        <v>1388</v>
      </c>
      <c r="B673" s="1">
        <v>45115</v>
      </c>
      <c r="C673" t="s">
        <v>1389</v>
      </c>
      <c r="D673" t="s">
        <v>18</v>
      </c>
      <c r="E673">
        <v>29441</v>
      </c>
      <c r="F673">
        <v>21.6</v>
      </c>
      <c r="G673">
        <v>60</v>
      </c>
      <c r="H673" t="s">
        <v>81</v>
      </c>
      <c r="I673" t="s">
        <v>20</v>
      </c>
      <c r="J673" t="s">
        <v>47</v>
      </c>
      <c r="K673">
        <v>106533</v>
      </c>
      <c r="L673" t="s">
        <v>33</v>
      </c>
      <c r="M673">
        <v>0.23</v>
      </c>
      <c r="N673">
        <v>0.57999999999999996</v>
      </c>
      <c r="O673">
        <v>7302.84</v>
      </c>
      <c r="P673">
        <v>11730.22</v>
      </c>
      <c r="Q673">
        <f ca="1">DATEDIF(banking_loan_data[[#This Row],[Issue Date]],TODAY(),"M")</f>
        <v>32</v>
      </c>
      <c r="R673">
        <f t="shared" si="60"/>
        <v>31796.28000000001</v>
      </c>
      <c r="S673">
        <f>+banking_loan_data[[#This Row],[Loan Amount]]+banking_loan_data[[#This Row],[Interest earned]]</f>
        <v>61237.280000000013</v>
      </c>
      <c r="T673" s="2">
        <f t="shared" si="61"/>
        <v>-10407.940000000002</v>
      </c>
      <c r="U673" s="2">
        <f t="shared" si="62"/>
        <v>1</v>
      </c>
      <c r="V673" s="2" t="str">
        <f>IF(banking_loan_data[[#This Row],[Loan Status]]="FULLY PAID","GOOD",IF(banking_loan_data[[#This Row],[Loan Status]]="CURRENT","ACTIVE","BAD"))</f>
        <v>BAD</v>
      </c>
      <c r="W67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73" s="3">
        <f t="shared" si="63"/>
        <v>52993.8</v>
      </c>
      <c r="Y673" s="4">
        <f t="shared" si="64"/>
        <v>-0.35351856254882652</v>
      </c>
      <c r="Z673" s="2" t="str">
        <f t="shared" si="65"/>
        <v>Normal</v>
      </c>
    </row>
    <row r="674" spans="1:26" x14ac:dyDescent="0.3">
      <c r="A674" t="s">
        <v>1390</v>
      </c>
      <c r="B674" s="1">
        <v>44946</v>
      </c>
      <c r="C674" t="s">
        <v>1391</v>
      </c>
      <c r="D674" t="s">
        <v>18</v>
      </c>
      <c r="E674">
        <v>7471</v>
      </c>
      <c r="F674">
        <v>15.9</v>
      </c>
      <c r="G674">
        <v>60</v>
      </c>
      <c r="H674" t="s">
        <v>81</v>
      </c>
      <c r="I674" t="s">
        <v>36</v>
      </c>
      <c r="J674" t="s">
        <v>21</v>
      </c>
      <c r="K674">
        <v>129025</v>
      </c>
      <c r="L674" t="s">
        <v>33</v>
      </c>
      <c r="M674">
        <v>0.46</v>
      </c>
      <c r="N674">
        <v>0.75</v>
      </c>
      <c r="O674">
        <v>1146.94</v>
      </c>
      <c r="P674">
        <v>2846.42</v>
      </c>
      <c r="Q674">
        <f ca="1">DATEDIF(banking_loan_data[[#This Row],[Issue Date]],TODAY(),"M")</f>
        <v>37</v>
      </c>
      <c r="R674">
        <f t="shared" si="60"/>
        <v>5939.4450000000006</v>
      </c>
      <c r="S674">
        <f>+banking_loan_data[[#This Row],[Loan Amount]]+banking_loan_data[[#This Row],[Interest earned]]</f>
        <v>13410.445</v>
      </c>
      <c r="T674" s="2">
        <f t="shared" si="61"/>
        <v>-3477.64</v>
      </c>
      <c r="U674" s="2">
        <f t="shared" si="62"/>
        <v>1</v>
      </c>
      <c r="V674" s="2" t="str">
        <f>IF(banking_loan_data[[#This Row],[Loan Status]]="FULLY PAID","GOOD",IF(banking_loan_data[[#This Row],[Loan Status]]="CURRENT","ACTIVE","BAD"))</f>
        <v>BAD</v>
      </c>
      <c r="W67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74" s="3">
        <f t="shared" si="63"/>
        <v>9899.0749999999989</v>
      </c>
      <c r="Y674" s="4">
        <f t="shared" si="64"/>
        <v>-0.46548520947664301</v>
      </c>
      <c r="Z674" s="2" t="str">
        <f t="shared" si="65"/>
        <v>High Risk</v>
      </c>
    </row>
    <row r="675" spans="1:26" x14ac:dyDescent="0.3">
      <c r="A675" t="s">
        <v>1392</v>
      </c>
      <c r="B675" s="1">
        <v>44559</v>
      </c>
      <c r="C675" t="s">
        <v>1393</v>
      </c>
      <c r="D675" t="s">
        <v>18</v>
      </c>
      <c r="E675">
        <v>36631</v>
      </c>
      <c r="F675">
        <v>8.3000000000000007</v>
      </c>
      <c r="G675">
        <v>36</v>
      </c>
      <c r="H675" t="s">
        <v>81</v>
      </c>
      <c r="I675" t="s">
        <v>27</v>
      </c>
      <c r="J675" t="s">
        <v>32</v>
      </c>
      <c r="K675">
        <v>86830</v>
      </c>
      <c r="L675" t="s">
        <v>29</v>
      </c>
      <c r="M675">
        <v>0.12</v>
      </c>
      <c r="N675">
        <v>0.82</v>
      </c>
      <c r="O675">
        <v>9301.3700000000008</v>
      </c>
      <c r="P675">
        <v>10217.73</v>
      </c>
      <c r="Q675">
        <f ca="1">DATEDIF(banking_loan_data[[#This Row],[Issue Date]],TODAY(),"M")</f>
        <v>50</v>
      </c>
      <c r="R675">
        <f t="shared" si="60"/>
        <v>9121.1190000000006</v>
      </c>
      <c r="S675">
        <f>+banking_loan_data[[#This Row],[Loan Amount]]+banking_loan_data[[#This Row],[Interest earned]]</f>
        <v>45752.118999999999</v>
      </c>
      <c r="T675" s="2">
        <f t="shared" si="61"/>
        <v>-17111.900000000001</v>
      </c>
      <c r="U675" s="2">
        <f t="shared" si="62"/>
        <v>1</v>
      </c>
      <c r="V675" s="2" t="str">
        <f>IF(banking_loan_data[[#This Row],[Loan Status]]="FULLY PAID","GOOD",IF(banking_loan_data[[#This Row],[Loan Status]]="CURRENT","ACTIVE","BAD"))</f>
        <v>BAD</v>
      </c>
      <c r="W67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75" s="3">
        <f t="shared" si="63"/>
        <v>25336.441819568652</v>
      </c>
      <c r="Y675" s="4">
        <f t="shared" si="64"/>
        <v>-0.4671425841500369</v>
      </c>
      <c r="Z675" s="2" t="str">
        <f t="shared" si="65"/>
        <v>High Risk</v>
      </c>
    </row>
    <row r="676" spans="1:26" x14ac:dyDescent="0.3">
      <c r="A676" t="s">
        <v>1394</v>
      </c>
      <c r="B676" s="1">
        <v>45002</v>
      </c>
      <c r="C676" t="s">
        <v>1395</v>
      </c>
      <c r="D676" t="s">
        <v>18</v>
      </c>
      <c r="E676">
        <v>27523</v>
      </c>
      <c r="F676">
        <v>16.7</v>
      </c>
      <c r="G676">
        <v>60</v>
      </c>
      <c r="H676" t="s">
        <v>26</v>
      </c>
      <c r="I676" t="s">
        <v>36</v>
      </c>
      <c r="J676" t="s">
        <v>37</v>
      </c>
      <c r="K676">
        <v>104640</v>
      </c>
      <c r="L676" t="s">
        <v>33</v>
      </c>
      <c r="M676">
        <v>0.38</v>
      </c>
      <c r="N676">
        <v>0.7</v>
      </c>
      <c r="O676">
        <v>11458.03</v>
      </c>
      <c r="P676">
        <v>0</v>
      </c>
      <c r="Q676">
        <f ca="1">DATEDIF(banking_loan_data[[#This Row],[Issue Date]],TODAY(),"M")</f>
        <v>36</v>
      </c>
      <c r="R676">
        <f t="shared" si="60"/>
        <v>22981.704999999998</v>
      </c>
      <c r="S676">
        <f>+banking_loan_data[[#This Row],[Loan Amount]]+banking_loan_data[[#This Row],[Interest earned]]</f>
        <v>50504.705000000002</v>
      </c>
      <c r="T676" s="2">
        <f t="shared" si="61"/>
        <v>-16064.97</v>
      </c>
      <c r="U676" s="2">
        <f t="shared" si="62"/>
        <v>0</v>
      </c>
      <c r="V676" s="2" t="str">
        <f>IF(banking_loan_data[[#This Row],[Loan Status]]="FULLY PAID","GOOD",IF(banking_loan_data[[#This Row],[Loan Status]]="CURRENT","ACTIVE","BAD"))</f>
        <v>ACTIVE</v>
      </c>
      <c r="W67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76" s="3">
        <f t="shared" si="63"/>
        <v>38302.841666666667</v>
      </c>
      <c r="Y676" s="4">
        <f t="shared" si="64"/>
        <v>-0.58369254805072124</v>
      </c>
      <c r="Z676" s="2" t="str">
        <f t="shared" si="65"/>
        <v>Normal</v>
      </c>
    </row>
    <row r="677" spans="1:26" x14ac:dyDescent="0.3">
      <c r="A677" t="s">
        <v>1396</v>
      </c>
      <c r="B677" s="1">
        <v>44935</v>
      </c>
      <c r="C677" t="s">
        <v>1397</v>
      </c>
      <c r="D677" t="s">
        <v>46</v>
      </c>
      <c r="E677">
        <v>32348</v>
      </c>
      <c r="F677">
        <v>25</v>
      </c>
      <c r="G677">
        <v>36</v>
      </c>
      <c r="H677" t="s">
        <v>19</v>
      </c>
      <c r="I677" t="s">
        <v>57</v>
      </c>
      <c r="J677" t="s">
        <v>28</v>
      </c>
      <c r="K677">
        <v>82509</v>
      </c>
      <c r="L677" t="s">
        <v>22</v>
      </c>
      <c r="M677">
        <v>0.17</v>
      </c>
      <c r="N677">
        <v>0.51</v>
      </c>
      <c r="O677">
        <v>40435</v>
      </c>
      <c r="P677">
        <v>0</v>
      </c>
      <c r="Q677">
        <f ca="1">DATEDIF(banking_loan_data[[#This Row],[Issue Date]],TODAY(),"M")</f>
        <v>38</v>
      </c>
      <c r="R677">
        <f t="shared" si="60"/>
        <v>24261</v>
      </c>
      <c r="S677">
        <f>+banking_loan_data[[#This Row],[Loan Amount]]+banking_loan_data[[#This Row],[Interest earned]]</f>
        <v>56609</v>
      </c>
      <c r="T677" s="2">
        <f t="shared" si="61"/>
        <v>8087</v>
      </c>
      <c r="U677" s="2">
        <f t="shared" si="62"/>
        <v>0</v>
      </c>
      <c r="V677" s="2" t="str">
        <f>IF(banking_loan_data[[#This Row],[Loan Status]]="FULLY PAID","GOOD",IF(banking_loan_data[[#This Row],[Loan Status]]="CURRENT","ACTIVE","BAD"))</f>
        <v>GOOD</v>
      </c>
      <c r="W67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77" s="3">
        <f t="shared" si="63"/>
        <v>67391.666666666672</v>
      </c>
      <c r="Y677" s="4">
        <f t="shared" si="64"/>
        <v>0.25</v>
      </c>
      <c r="Z677" s="2" t="str">
        <f t="shared" si="65"/>
        <v>Normal</v>
      </c>
    </row>
    <row r="678" spans="1:26" x14ac:dyDescent="0.3">
      <c r="A678" t="s">
        <v>1398</v>
      </c>
      <c r="B678" s="1">
        <v>45235</v>
      </c>
      <c r="C678" t="s">
        <v>1399</v>
      </c>
      <c r="D678" t="s">
        <v>46</v>
      </c>
      <c r="E678">
        <v>2177</v>
      </c>
      <c r="F678">
        <v>8</v>
      </c>
      <c r="G678">
        <v>36</v>
      </c>
      <c r="H678" t="s">
        <v>60</v>
      </c>
      <c r="I678" t="s">
        <v>57</v>
      </c>
      <c r="J678" t="s">
        <v>47</v>
      </c>
      <c r="K678">
        <v>96406</v>
      </c>
      <c r="L678" t="s">
        <v>29</v>
      </c>
      <c r="M678">
        <v>0.23</v>
      </c>
      <c r="N678">
        <v>0.7</v>
      </c>
      <c r="O678">
        <v>0</v>
      </c>
      <c r="P678">
        <v>0</v>
      </c>
      <c r="Q678">
        <f ca="1">DATEDIF(banking_loan_data[[#This Row],[Issue Date]],TODAY(),"M")</f>
        <v>28</v>
      </c>
      <c r="R678">
        <f t="shared" si="60"/>
        <v>522.48</v>
      </c>
      <c r="S678">
        <f>+banking_loan_data[[#This Row],[Loan Amount]]+banking_loan_data[[#This Row],[Interest earned]]</f>
        <v>2699.48</v>
      </c>
      <c r="T678" s="2">
        <f t="shared" si="61"/>
        <v>-2177</v>
      </c>
      <c r="U678" s="2">
        <f t="shared" si="62"/>
        <v>0</v>
      </c>
      <c r="V678" s="2" t="str">
        <f>IF(banking_loan_data[[#This Row],[Loan Status]]="FULLY PAID","GOOD",IF(banking_loan_data[[#This Row],[Loan Status]]="CURRENT","ACTIVE","BAD"))</f>
        <v>BAD</v>
      </c>
      <c r="W67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78" s="3">
        <f t="shared" si="63"/>
        <v>1451.3333483030019</v>
      </c>
      <c r="Y678" s="4">
        <f t="shared" si="64"/>
        <v>-1</v>
      </c>
      <c r="Z678" s="2" t="str">
        <f t="shared" si="65"/>
        <v>Normal</v>
      </c>
    </row>
    <row r="679" spans="1:26" x14ac:dyDescent="0.3">
      <c r="A679" t="s">
        <v>1400</v>
      </c>
      <c r="B679" s="1">
        <v>44681</v>
      </c>
      <c r="C679" t="s">
        <v>1401</v>
      </c>
      <c r="D679" t="s">
        <v>53</v>
      </c>
      <c r="E679">
        <v>5760</v>
      </c>
      <c r="F679">
        <v>21.3</v>
      </c>
      <c r="G679">
        <v>36</v>
      </c>
      <c r="H679" t="s">
        <v>19</v>
      </c>
      <c r="I679" t="s">
        <v>84</v>
      </c>
      <c r="J679" t="s">
        <v>32</v>
      </c>
      <c r="K679">
        <v>124220</v>
      </c>
      <c r="L679" t="s">
        <v>22</v>
      </c>
      <c r="M679">
        <v>0.27</v>
      </c>
      <c r="N679">
        <v>0.63</v>
      </c>
      <c r="O679">
        <v>6986.88</v>
      </c>
      <c r="P679">
        <v>0</v>
      </c>
      <c r="Q679">
        <f ca="1">DATEDIF(banking_loan_data[[#This Row],[Issue Date]],TODAY(),"M")</f>
        <v>46</v>
      </c>
      <c r="R679">
        <f t="shared" si="60"/>
        <v>3680.6400000000008</v>
      </c>
      <c r="S679">
        <f>+banking_loan_data[[#This Row],[Loan Amount]]+banking_loan_data[[#This Row],[Interest earned]]</f>
        <v>9440.6400000000012</v>
      </c>
      <c r="T679" s="2">
        <f t="shared" si="61"/>
        <v>1226.8800000000001</v>
      </c>
      <c r="U679" s="2">
        <f t="shared" si="62"/>
        <v>0</v>
      </c>
      <c r="V679" s="2" t="str">
        <f>IF(banking_loan_data[[#This Row],[Loan Status]]="FULLY PAID","GOOD",IF(banking_loan_data[[#This Row],[Loan Status]]="CURRENT","ACTIVE","BAD"))</f>
        <v>GOOD</v>
      </c>
      <c r="W67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79" s="3">
        <f t="shared" si="63"/>
        <v>10224.000000000002</v>
      </c>
      <c r="Y679" s="4">
        <f t="shared" si="64"/>
        <v>0.21300000000000002</v>
      </c>
      <c r="Z679" s="2" t="str">
        <f t="shared" si="65"/>
        <v>Normal</v>
      </c>
    </row>
    <row r="680" spans="1:26" x14ac:dyDescent="0.3">
      <c r="A680" t="s">
        <v>1402</v>
      </c>
      <c r="B680" s="1">
        <v>44224</v>
      </c>
      <c r="C680" t="s">
        <v>1403</v>
      </c>
      <c r="D680" t="s">
        <v>50</v>
      </c>
      <c r="E680">
        <v>33779</v>
      </c>
      <c r="F680">
        <v>9.1</v>
      </c>
      <c r="G680">
        <v>60</v>
      </c>
      <c r="H680" t="s">
        <v>19</v>
      </c>
      <c r="I680" t="s">
        <v>20</v>
      </c>
      <c r="J680" t="s">
        <v>32</v>
      </c>
      <c r="K680">
        <v>69519</v>
      </c>
      <c r="L680" t="s">
        <v>33</v>
      </c>
      <c r="M680">
        <v>0.46</v>
      </c>
      <c r="N680">
        <v>0.92</v>
      </c>
      <c r="O680">
        <v>36852.89</v>
      </c>
      <c r="P680">
        <v>0</v>
      </c>
      <c r="Q680">
        <f ca="1">DATEDIF(banking_loan_data[[#This Row],[Issue Date]],TODAY(),"M")</f>
        <v>61</v>
      </c>
      <c r="R680">
        <f t="shared" si="60"/>
        <v>15369.444999999998</v>
      </c>
      <c r="S680">
        <f>+banking_loan_data[[#This Row],[Loan Amount]]+banking_loan_data[[#This Row],[Interest earned]]</f>
        <v>49148.445</v>
      </c>
      <c r="T680" s="2">
        <f t="shared" si="61"/>
        <v>3073.8899999999994</v>
      </c>
      <c r="U680" s="2">
        <f t="shared" si="62"/>
        <v>0</v>
      </c>
      <c r="V680" s="2" t="str">
        <f>IF(banking_loan_data[[#This Row],[Loan Status]]="FULLY PAID","GOOD",IF(banking_loan_data[[#This Row],[Loan Status]]="CURRENT","ACTIVE","BAD"))</f>
        <v>GOOD</v>
      </c>
      <c r="W68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80" s="3">
        <f t="shared" si="63"/>
        <v>25615.741666666716</v>
      </c>
      <c r="Y680" s="4">
        <f t="shared" si="64"/>
        <v>9.1000029604191943E-2</v>
      </c>
      <c r="Z680" s="2" t="str">
        <f t="shared" si="65"/>
        <v>High Risk</v>
      </c>
    </row>
    <row r="681" spans="1:26" x14ac:dyDescent="0.3">
      <c r="A681" t="s">
        <v>1404</v>
      </c>
      <c r="B681" s="1">
        <v>44910</v>
      </c>
      <c r="C681" t="s">
        <v>1405</v>
      </c>
      <c r="D681" t="s">
        <v>50</v>
      </c>
      <c r="E681">
        <v>22636</v>
      </c>
      <c r="F681">
        <v>20.6</v>
      </c>
      <c r="G681">
        <v>36</v>
      </c>
      <c r="H681" t="s">
        <v>26</v>
      </c>
      <c r="I681" t="s">
        <v>73</v>
      </c>
      <c r="J681" t="s">
        <v>47</v>
      </c>
      <c r="K681">
        <v>79649</v>
      </c>
      <c r="L681" t="s">
        <v>29</v>
      </c>
      <c r="M681">
        <v>0.2</v>
      </c>
      <c r="N681">
        <v>0.56000000000000005</v>
      </c>
      <c r="O681">
        <v>9045.0499999999993</v>
      </c>
      <c r="P681">
        <v>0</v>
      </c>
      <c r="Q681">
        <f ca="1">DATEDIF(banking_loan_data[[#This Row],[Issue Date]],TODAY(),"M")</f>
        <v>39</v>
      </c>
      <c r="R681">
        <f t="shared" si="60"/>
        <v>13989.048000000003</v>
      </c>
      <c r="S681">
        <f>+banking_loan_data[[#This Row],[Loan Amount]]+banking_loan_data[[#This Row],[Interest earned]]</f>
        <v>36625.048000000003</v>
      </c>
      <c r="T681" s="2">
        <f t="shared" si="61"/>
        <v>-13590.95</v>
      </c>
      <c r="U681" s="2">
        <f t="shared" si="62"/>
        <v>0</v>
      </c>
      <c r="V681" s="2" t="str">
        <f>IF(banking_loan_data[[#This Row],[Loan Status]]="FULLY PAID","GOOD",IF(banking_loan_data[[#This Row],[Loan Status]]="CURRENT","ACTIVE","BAD"))</f>
        <v>ACTIVE</v>
      </c>
      <c r="W68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81" s="3">
        <f t="shared" si="63"/>
        <v>38858.466666666674</v>
      </c>
      <c r="Y681" s="4">
        <f t="shared" si="64"/>
        <v>-0.60041305884431884</v>
      </c>
      <c r="Z681" s="2" t="str">
        <f t="shared" si="65"/>
        <v>Normal</v>
      </c>
    </row>
    <row r="682" spans="1:26" x14ac:dyDescent="0.3">
      <c r="A682" t="s">
        <v>1406</v>
      </c>
      <c r="B682" s="1">
        <v>45259</v>
      </c>
      <c r="C682" t="s">
        <v>1407</v>
      </c>
      <c r="D682" t="s">
        <v>76</v>
      </c>
      <c r="E682">
        <v>17353</v>
      </c>
      <c r="F682">
        <v>19.7</v>
      </c>
      <c r="G682">
        <v>36</v>
      </c>
      <c r="H682" t="s">
        <v>26</v>
      </c>
      <c r="I682" t="s">
        <v>84</v>
      </c>
      <c r="J682" t="s">
        <v>37</v>
      </c>
      <c r="K682">
        <v>64524</v>
      </c>
      <c r="L682" t="s">
        <v>29</v>
      </c>
      <c r="M682">
        <v>0.14000000000000001</v>
      </c>
      <c r="N682">
        <v>0.79</v>
      </c>
      <c r="O682">
        <v>7025.57</v>
      </c>
      <c r="P682">
        <v>0</v>
      </c>
      <c r="Q682">
        <f ca="1">DATEDIF(banking_loan_data[[#This Row],[Issue Date]],TODAY(),"M")</f>
        <v>27</v>
      </c>
      <c r="R682">
        <f t="shared" si="60"/>
        <v>10255.623</v>
      </c>
      <c r="S682">
        <f>+banking_loan_data[[#This Row],[Loan Amount]]+banking_loan_data[[#This Row],[Interest earned]]</f>
        <v>27608.623</v>
      </c>
      <c r="T682" s="2">
        <f t="shared" si="61"/>
        <v>-10327.43</v>
      </c>
      <c r="U682" s="2">
        <f t="shared" si="62"/>
        <v>0</v>
      </c>
      <c r="V682" s="2" t="str">
        <f>IF(banking_loan_data[[#This Row],[Loan Status]]="FULLY PAID","GOOD",IF(banking_loan_data[[#This Row],[Loan Status]]="CURRENT","ACTIVE","BAD"))</f>
        <v>ACTIVE</v>
      </c>
      <c r="W68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82" s="3">
        <f t="shared" si="63"/>
        <v>28487.841666666685</v>
      </c>
      <c r="Y682" s="4">
        <f t="shared" si="64"/>
        <v>-0.59513801648130005</v>
      </c>
      <c r="Z682" s="2" t="str">
        <f t="shared" si="65"/>
        <v>Normal</v>
      </c>
    </row>
    <row r="683" spans="1:26" x14ac:dyDescent="0.3">
      <c r="A683" t="s">
        <v>1408</v>
      </c>
      <c r="B683" s="1">
        <v>44282</v>
      </c>
      <c r="C683" t="s">
        <v>1409</v>
      </c>
      <c r="D683" t="s">
        <v>18</v>
      </c>
      <c r="E683">
        <v>12556</v>
      </c>
      <c r="F683">
        <v>11</v>
      </c>
      <c r="G683">
        <v>60</v>
      </c>
      <c r="H683" t="s">
        <v>81</v>
      </c>
      <c r="I683" t="s">
        <v>84</v>
      </c>
      <c r="J683" t="s">
        <v>37</v>
      </c>
      <c r="K683">
        <v>126493</v>
      </c>
      <c r="L683" t="s">
        <v>29</v>
      </c>
      <c r="M683">
        <v>0.23</v>
      </c>
      <c r="N683">
        <v>0.52</v>
      </c>
      <c r="O683">
        <v>3922.58</v>
      </c>
      <c r="P683">
        <v>3494.67</v>
      </c>
      <c r="Q683">
        <f ca="1">DATEDIF(banking_loan_data[[#This Row],[Issue Date]],TODAY(),"M")</f>
        <v>59</v>
      </c>
      <c r="R683">
        <f t="shared" si="60"/>
        <v>6905.8</v>
      </c>
      <c r="S683">
        <f>+banking_loan_data[[#This Row],[Loan Amount]]+banking_loan_data[[#This Row],[Interest earned]]</f>
        <v>19461.8</v>
      </c>
      <c r="T683" s="2">
        <f t="shared" si="61"/>
        <v>-5138.75</v>
      </c>
      <c r="U683" s="2">
        <f t="shared" si="62"/>
        <v>1</v>
      </c>
      <c r="V683" s="2" t="str">
        <f>IF(banking_loan_data[[#This Row],[Loan Status]]="FULLY PAID","GOOD",IF(banking_loan_data[[#This Row],[Loan Status]]="CURRENT","ACTIVE","BAD"))</f>
        <v>BAD</v>
      </c>
      <c r="W68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83" s="3">
        <f t="shared" si="63"/>
        <v>11509.666666666666</v>
      </c>
      <c r="Y683" s="4">
        <f t="shared" si="64"/>
        <v>-0.40926648614208344</v>
      </c>
      <c r="Z683" s="2" t="str">
        <f t="shared" si="65"/>
        <v>Normal</v>
      </c>
    </row>
    <row r="684" spans="1:26" x14ac:dyDescent="0.3">
      <c r="A684" t="s">
        <v>1410</v>
      </c>
      <c r="B684" s="1">
        <v>44322</v>
      </c>
      <c r="C684" t="s">
        <v>1411</v>
      </c>
      <c r="D684" t="s">
        <v>18</v>
      </c>
      <c r="E684">
        <v>28598</v>
      </c>
      <c r="F684">
        <v>11.5</v>
      </c>
      <c r="G684">
        <v>60</v>
      </c>
      <c r="H684" t="s">
        <v>26</v>
      </c>
      <c r="I684" t="s">
        <v>36</v>
      </c>
      <c r="J684" t="s">
        <v>21</v>
      </c>
      <c r="K684">
        <v>63885</v>
      </c>
      <c r="L684" t="s">
        <v>29</v>
      </c>
      <c r="M684">
        <v>0.14000000000000001</v>
      </c>
      <c r="N684">
        <v>0.7</v>
      </c>
      <c r="O684">
        <v>4701.45</v>
      </c>
      <c r="P684">
        <v>0</v>
      </c>
      <c r="Q684">
        <f ca="1">DATEDIF(banking_loan_data[[#This Row],[Issue Date]],TODAY(),"M")</f>
        <v>58</v>
      </c>
      <c r="R684">
        <f t="shared" si="60"/>
        <v>16443.850000000002</v>
      </c>
      <c r="S684">
        <f>+banking_loan_data[[#This Row],[Loan Amount]]+banking_loan_data[[#This Row],[Interest earned]]</f>
        <v>45041.850000000006</v>
      </c>
      <c r="T684" s="2">
        <f t="shared" si="61"/>
        <v>-23896.55</v>
      </c>
      <c r="U684" s="2">
        <f t="shared" si="62"/>
        <v>0</v>
      </c>
      <c r="V684" s="2" t="str">
        <f>IF(banking_loan_data[[#This Row],[Loan Status]]="FULLY PAID","GOOD",IF(banking_loan_data[[#This Row],[Loan Status]]="CURRENT","ACTIVE","BAD"))</f>
        <v>ACTIVE</v>
      </c>
      <c r="W68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84" s="3">
        <f t="shared" si="63"/>
        <v>27406.416666666668</v>
      </c>
      <c r="Y684" s="4">
        <f t="shared" si="64"/>
        <v>-0.83560214000979083</v>
      </c>
      <c r="Z684" s="2" t="str">
        <f t="shared" si="65"/>
        <v>Normal</v>
      </c>
    </row>
    <row r="685" spans="1:26" x14ac:dyDescent="0.3">
      <c r="A685" t="s">
        <v>1412</v>
      </c>
      <c r="B685" s="1">
        <v>45008</v>
      </c>
      <c r="C685" t="s">
        <v>1413</v>
      </c>
      <c r="D685" t="s">
        <v>72</v>
      </c>
      <c r="E685">
        <v>12563</v>
      </c>
      <c r="F685">
        <v>20.9</v>
      </c>
      <c r="G685">
        <v>60</v>
      </c>
      <c r="H685" t="s">
        <v>19</v>
      </c>
      <c r="I685" t="s">
        <v>27</v>
      </c>
      <c r="J685" t="s">
        <v>37</v>
      </c>
      <c r="K685">
        <v>74369</v>
      </c>
      <c r="L685" t="s">
        <v>22</v>
      </c>
      <c r="M685">
        <v>0.15</v>
      </c>
      <c r="N685">
        <v>0.75</v>
      </c>
      <c r="O685">
        <v>15188.67</v>
      </c>
      <c r="P685">
        <v>0</v>
      </c>
      <c r="Q685">
        <f ca="1">DATEDIF(banking_loan_data[[#This Row],[Issue Date]],TODAY(),"M")</f>
        <v>35</v>
      </c>
      <c r="R685">
        <f t="shared" si="60"/>
        <v>13128.334999999997</v>
      </c>
      <c r="S685">
        <f>+banking_loan_data[[#This Row],[Loan Amount]]+banking_loan_data[[#This Row],[Interest earned]]</f>
        <v>25691.334999999999</v>
      </c>
      <c r="T685" s="2">
        <f t="shared" si="61"/>
        <v>2625.67</v>
      </c>
      <c r="U685" s="2">
        <f t="shared" si="62"/>
        <v>0</v>
      </c>
      <c r="V685" s="2" t="str">
        <f>IF(banking_loan_data[[#This Row],[Loan Status]]="FULLY PAID","GOOD",IF(banking_loan_data[[#This Row],[Loan Status]]="CURRENT","ACTIVE","BAD"))</f>
        <v>GOOD</v>
      </c>
      <c r="W68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85" s="3">
        <f t="shared" si="63"/>
        <v>21880.558333333331</v>
      </c>
      <c r="Y685" s="4">
        <f t="shared" si="64"/>
        <v>0.20900023879646581</v>
      </c>
      <c r="Z685" s="2" t="str">
        <f t="shared" si="65"/>
        <v>Normal</v>
      </c>
    </row>
    <row r="686" spans="1:26" x14ac:dyDescent="0.3">
      <c r="A686" t="s">
        <v>1414</v>
      </c>
      <c r="B686" s="1">
        <v>44733</v>
      </c>
      <c r="C686" t="s">
        <v>1415</v>
      </c>
      <c r="D686" t="s">
        <v>50</v>
      </c>
      <c r="E686">
        <v>9234</v>
      </c>
      <c r="F686">
        <v>14.2</v>
      </c>
      <c r="G686">
        <v>36</v>
      </c>
      <c r="H686" t="s">
        <v>60</v>
      </c>
      <c r="I686" t="s">
        <v>20</v>
      </c>
      <c r="J686" t="s">
        <v>21</v>
      </c>
      <c r="K686">
        <v>131132</v>
      </c>
      <c r="L686" t="s">
        <v>33</v>
      </c>
      <c r="M686">
        <v>0.33</v>
      </c>
      <c r="N686">
        <v>0.63</v>
      </c>
      <c r="O686">
        <v>0</v>
      </c>
      <c r="P686">
        <v>0</v>
      </c>
      <c r="Q686">
        <f ca="1">DATEDIF(banking_loan_data[[#This Row],[Issue Date]],TODAY(),"M")</f>
        <v>44</v>
      </c>
      <c r="R686">
        <f t="shared" si="60"/>
        <v>3933.6839999999993</v>
      </c>
      <c r="S686">
        <f>+banking_loan_data[[#This Row],[Loan Amount]]+banking_loan_data[[#This Row],[Interest earned]]</f>
        <v>13167.683999999999</v>
      </c>
      <c r="T686" s="2">
        <f t="shared" si="61"/>
        <v>-9234</v>
      </c>
      <c r="U686" s="2">
        <f t="shared" si="62"/>
        <v>0</v>
      </c>
      <c r="V686" s="2" t="str">
        <f>IF(banking_loan_data[[#This Row],[Loan Status]]="FULLY PAID","GOOD",IF(banking_loan_data[[#This Row],[Loan Status]]="CURRENT","ACTIVE","BAD"))</f>
        <v>BAD</v>
      </c>
      <c r="W68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86" s="3">
        <f t="shared" si="63"/>
        <v>10926.900000006763</v>
      </c>
      <c r="Y686" s="4">
        <f t="shared" si="64"/>
        <v>-1</v>
      </c>
      <c r="Z686" s="2" t="str">
        <f t="shared" si="65"/>
        <v>Normal</v>
      </c>
    </row>
    <row r="687" spans="1:26" x14ac:dyDescent="0.3">
      <c r="A687" t="s">
        <v>1416</v>
      </c>
      <c r="B687" s="1">
        <v>44341</v>
      </c>
      <c r="C687" t="s">
        <v>1417</v>
      </c>
      <c r="D687" t="s">
        <v>53</v>
      </c>
      <c r="E687">
        <v>26519</v>
      </c>
      <c r="F687">
        <v>19.600000000000001</v>
      </c>
      <c r="G687">
        <v>36</v>
      </c>
      <c r="H687" t="s">
        <v>26</v>
      </c>
      <c r="I687" t="s">
        <v>20</v>
      </c>
      <c r="J687" t="s">
        <v>32</v>
      </c>
      <c r="K687">
        <v>125402</v>
      </c>
      <c r="L687" t="s">
        <v>33</v>
      </c>
      <c r="M687">
        <v>0.12</v>
      </c>
      <c r="N687">
        <v>0.7</v>
      </c>
      <c r="O687">
        <v>11613.67</v>
      </c>
      <c r="P687">
        <v>0</v>
      </c>
      <c r="Q687">
        <f ca="1">DATEDIF(banking_loan_data[[#This Row],[Issue Date]],TODAY(),"M")</f>
        <v>57</v>
      </c>
      <c r="R687">
        <f t="shared" si="60"/>
        <v>15593.172</v>
      </c>
      <c r="S687">
        <f>+banking_loan_data[[#This Row],[Loan Amount]]+banking_loan_data[[#This Row],[Interest earned]]</f>
        <v>42112.171999999999</v>
      </c>
      <c r="T687" s="2">
        <f t="shared" si="61"/>
        <v>-14905.33</v>
      </c>
      <c r="U687" s="2">
        <f t="shared" si="62"/>
        <v>0</v>
      </c>
      <c r="V687" s="2" t="str">
        <f>IF(banking_loan_data[[#This Row],[Loan Status]]="FULLY PAID","GOOD",IF(banking_loan_data[[#This Row],[Loan Status]]="CURRENT","ACTIVE","BAD"))</f>
        <v>ACTIVE</v>
      </c>
      <c r="W68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87" s="3">
        <f t="shared" si="63"/>
        <v>43314.366666666705</v>
      </c>
      <c r="Y687" s="4">
        <f t="shared" si="64"/>
        <v>-0.56206229495833171</v>
      </c>
      <c r="Z687" s="2" t="str">
        <f t="shared" si="65"/>
        <v>Normal</v>
      </c>
    </row>
    <row r="688" spans="1:26" x14ac:dyDescent="0.3">
      <c r="A688" t="s">
        <v>1418</v>
      </c>
      <c r="B688" s="1">
        <v>44221</v>
      </c>
      <c r="C688" t="s">
        <v>1419</v>
      </c>
      <c r="D688" t="s">
        <v>65</v>
      </c>
      <c r="E688">
        <v>27966</v>
      </c>
      <c r="F688">
        <v>8</v>
      </c>
      <c r="G688">
        <v>60</v>
      </c>
      <c r="H688" t="s">
        <v>26</v>
      </c>
      <c r="I688" t="s">
        <v>73</v>
      </c>
      <c r="J688" t="s">
        <v>47</v>
      </c>
      <c r="K688">
        <v>60676</v>
      </c>
      <c r="L688" t="s">
        <v>29</v>
      </c>
      <c r="M688">
        <v>0.11</v>
      </c>
      <c r="N688">
        <v>0.56999999999999995</v>
      </c>
      <c r="O688">
        <v>12642.02</v>
      </c>
      <c r="P688">
        <v>0</v>
      </c>
      <c r="Q688">
        <f ca="1">DATEDIF(banking_loan_data[[#This Row],[Issue Date]],TODAY(),"M")</f>
        <v>61</v>
      </c>
      <c r="R688">
        <f t="shared" si="60"/>
        <v>11186.400000000001</v>
      </c>
      <c r="S688">
        <f>+banking_loan_data[[#This Row],[Loan Amount]]+banking_loan_data[[#This Row],[Interest earned]]</f>
        <v>39152.400000000001</v>
      </c>
      <c r="T688" s="2">
        <f t="shared" si="61"/>
        <v>-15323.98</v>
      </c>
      <c r="U688" s="2">
        <f t="shared" si="62"/>
        <v>0</v>
      </c>
      <c r="V688" s="2" t="str">
        <f>IF(banking_loan_data[[#This Row],[Loan Status]]="FULLY PAID","GOOD",IF(banking_loan_data[[#This Row],[Loan Status]]="CURRENT","ACTIVE","BAD"))</f>
        <v>ACTIVE</v>
      </c>
      <c r="W68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88" s="3">
        <f t="shared" si="63"/>
        <v>18644.000000000909</v>
      </c>
      <c r="Y688" s="4">
        <f t="shared" si="64"/>
        <v>-0.54795036830436961</v>
      </c>
      <c r="Z688" s="2" t="str">
        <f t="shared" si="65"/>
        <v>Normal</v>
      </c>
    </row>
    <row r="689" spans="1:26" x14ac:dyDescent="0.3">
      <c r="A689" t="s">
        <v>1420</v>
      </c>
      <c r="B689" s="1">
        <v>44263</v>
      </c>
      <c r="C689" t="s">
        <v>1421</v>
      </c>
      <c r="D689" t="s">
        <v>76</v>
      </c>
      <c r="E689">
        <v>17173</v>
      </c>
      <c r="F689">
        <v>22.1</v>
      </c>
      <c r="G689">
        <v>36</v>
      </c>
      <c r="H689" t="s">
        <v>19</v>
      </c>
      <c r="I689" t="s">
        <v>73</v>
      </c>
      <c r="J689" t="s">
        <v>37</v>
      </c>
      <c r="K689">
        <v>94093</v>
      </c>
      <c r="L689" t="s">
        <v>33</v>
      </c>
      <c r="M689">
        <v>0.39</v>
      </c>
      <c r="N689">
        <v>0.64</v>
      </c>
      <c r="O689">
        <v>20968.23</v>
      </c>
      <c r="P689">
        <v>0</v>
      </c>
      <c r="Q689">
        <f ca="1">DATEDIF(banking_loan_data[[#This Row],[Issue Date]],TODAY(),"M")</f>
        <v>60</v>
      </c>
      <c r="R689">
        <f t="shared" si="60"/>
        <v>11385.699000000002</v>
      </c>
      <c r="S689">
        <f>+banking_loan_data[[#This Row],[Loan Amount]]+banking_loan_data[[#This Row],[Interest earned]]</f>
        <v>28558.699000000001</v>
      </c>
      <c r="T689" s="2">
        <f t="shared" si="61"/>
        <v>3795.2299999999996</v>
      </c>
      <c r="U689" s="2">
        <f t="shared" si="62"/>
        <v>0</v>
      </c>
      <c r="V689" s="2" t="str">
        <f>IF(banking_loan_data[[#This Row],[Loan Status]]="FULLY PAID","GOOD",IF(banking_loan_data[[#This Row],[Loan Status]]="CURRENT","ACTIVE","BAD"))</f>
        <v>GOOD</v>
      </c>
      <c r="W68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89" s="3">
        <f t="shared" si="63"/>
        <v>31626.941666666669</v>
      </c>
      <c r="Y689" s="4">
        <f t="shared" si="64"/>
        <v>0.22099982530716819</v>
      </c>
      <c r="Z689" s="2" t="str">
        <f t="shared" si="65"/>
        <v>Normal</v>
      </c>
    </row>
    <row r="690" spans="1:26" x14ac:dyDescent="0.3">
      <c r="A690" t="s">
        <v>1422</v>
      </c>
      <c r="B690" s="1">
        <v>44429</v>
      </c>
      <c r="C690" t="s">
        <v>1423</v>
      </c>
      <c r="D690" t="s">
        <v>76</v>
      </c>
      <c r="E690">
        <v>27987</v>
      </c>
      <c r="F690">
        <v>19.2</v>
      </c>
      <c r="G690">
        <v>60</v>
      </c>
      <c r="H690" t="s">
        <v>19</v>
      </c>
      <c r="I690" t="s">
        <v>20</v>
      </c>
      <c r="J690" t="s">
        <v>21</v>
      </c>
      <c r="K690">
        <v>77764</v>
      </c>
      <c r="L690" t="s">
        <v>22</v>
      </c>
      <c r="M690">
        <v>0.24</v>
      </c>
      <c r="N690">
        <v>0.78</v>
      </c>
      <c r="O690">
        <v>33360.5</v>
      </c>
      <c r="P690">
        <v>0</v>
      </c>
      <c r="Q690">
        <f ca="1">DATEDIF(banking_loan_data[[#This Row],[Issue Date]],TODAY(),"M")</f>
        <v>54</v>
      </c>
      <c r="R690">
        <f t="shared" si="60"/>
        <v>26867.52</v>
      </c>
      <c r="S690">
        <f>+banking_loan_data[[#This Row],[Loan Amount]]+banking_loan_data[[#This Row],[Interest earned]]</f>
        <v>54854.520000000004</v>
      </c>
      <c r="T690" s="2">
        <f t="shared" si="61"/>
        <v>5373.5</v>
      </c>
      <c r="U690" s="2">
        <f t="shared" si="62"/>
        <v>0</v>
      </c>
      <c r="V690" s="2" t="str">
        <f>IF(banking_loan_data[[#This Row],[Loan Status]]="FULLY PAID","GOOD",IF(banking_loan_data[[#This Row],[Loan Status]]="CURRENT","ACTIVE","BAD"))</f>
        <v>GOOD</v>
      </c>
      <c r="W69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90" s="3">
        <f t="shared" si="63"/>
        <v>44779.199999999997</v>
      </c>
      <c r="Y690" s="4">
        <f t="shared" si="64"/>
        <v>0.1919998570764998</v>
      </c>
      <c r="Z690" s="2" t="str">
        <f t="shared" si="65"/>
        <v>Normal</v>
      </c>
    </row>
    <row r="691" spans="1:26" x14ac:dyDescent="0.3">
      <c r="A691" t="s">
        <v>1424</v>
      </c>
      <c r="B691" s="1">
        <v>44305</v>
      </c>
      <c r="C691" t="s">
        <v>1425</v>
      </c>
      <c r="D691" t="s">
        <v>53</v>
      </c>
      <c r="E691">
        <v>14178</v>
      </c>
      <c r="F691">
        <v>23.1</v>
      </c>
      <c r="G691">
        <v>60</v>
      </c>
      <c r="H691" t="s">
        <v>26</v>
      </c>
      <c r="I691" t="s">
        <v>20</v>
      </c>
      <c r="J691" t="s">
        <v>32</v>
      </c>
      <c r="K691">
        <v>80799</v>
      </c>
      <c r="L691" t="s">
        <v>33</v>
      </c>
      <c r="M691">
        <v>0.15</v>
      </c>
      <c r="N691">
        <v>0.64</v>
      </c>
      <c r="O691">
        <v>1947.61</v>
      </c>
      <c r="P691">
        <v>0</v>
      </c>
      <c r="Q691">
        <f ca="1">DATEDIF(banking_loan_data[[#This Row],[Issue Date]],TODAY(),"M")</f>
        <v>59</v>
      </c>
      <c r="R691">
        <f t="shared" si="60"/>
        <v>16375.590000000002</v>
      </c>
      <c r="S691">
        <f>+banking_loan_data[[#This Row],[Loan Amount]]+banking_loan_data[[#This Row],[Interest earned]]</f>
        <v>30553.590000000004</v>
      </c>
      <c r="T691" s="2">
        <f t="shared" si="61"/>
        <v>-12230.39</v>
      </c>
      <c r="U691" s="2">
        <f t="shared" si="62"/>
        <v>0</v>
      </c>
      <c r="V691" s="2" t="str">
        <f>IF(banking_loan_data[[#This Row],[Loan Status]]="FULLY PAID","GOOD",IF(banking_loan_data[[#This Row],[Loan Status]]="CURRENT","ACTIVE","BAD"))</f>
        <v>ACTIVE</v>
      </c>
      <c r="W69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691" s="3">
        <f t="shared" si="63"/>
        <v>27292.65</v>
      </c>
      <c r="Y691" s="4">
        <f t="shared" si="64"/>
        <v>-0.86263154182536317</v>
      </c>
      <c r="Z691" s="2" t="str">
        <f t="shared" si="65"/>
        <v>Normal</v>
      </c>
    </row>
    <row r="692" spans="1:26" x14ac:dyDescent="0.3">
      <c r="A692" t="s">
        <v>1426</v>
      </c>
      <c r="B692" s="1">
        <v>44307</v>
      </c>
      <c r="C692" t="s">
        <v>1427</v>
      </c>
      <c r="D692" t="s">
        <v>65</v>
      </c>
      <c r="E692">
        <v>25596</v>
      </c>
      <c r="F692">
        <v>7.6</v>
      </c>
      <c r="G692">
        <v>36</v>
      </c>
      <c r="H692" t="s">
        <v>19</v>
      </c>
      <c r="I692" t="s">
        <v>73</v>
      </c>
      <c r="J692" t="s">
        <v>37</v>
      </c>
      <c r="K692">
        <v>109414</v>
      </c>
      <c r="L692" t="s">
        <v>22</v>
      </c>
      <c r="M692">
        <v>0.2</v>
      </c>
      <c r="N692">
        <v>0.9</v>
      </c>
      <c r="O692">
        <v>27541.3</v>
      </c>
      <c r="P692">
        <v>0</v>
      </c>
      <c r="Q692">
        <f ca="1">DATEDIF(banking_loan_data[[#This Row],[Issue Date]],TODAY(),"M")</f>
        <v>58</v>
      </c>
      <c r="R692">
        <f t="shared" si="60"/>
        <v>5835.887999999999</v>
      </c>
      <c r="S692">
        <f>+banking_loan_data[[#This Row],[Loan Amount]]+banking_loan_data[[#This Row],[Interest earned]]</f>
        <v>31431.887999999999</v>
      </c>
      <c r="T692" s="2">
        <f t="shared" si="61"/>
        <v>1945.2999999999993</v>
      </c>
      <c r="U692" s="2">
        <f t="shared" si="62"/>
        <v>0</v>
      </c>
      <c r="V692" s="2" t="str">
        <f>IF(banking_loan_data[[#This Row],[Loan Status]]="FULLY PAID","GOOD",IF(banking_loan_data[[#This Row],[Loan Status]]="CURRENT","ACTIVE","BAD"))</f>
        <v>GOOD</v>
      </c>
      <c r="W69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92" s="3">
        <f t="shared" si="63"/>
        <v>16210.800346027603</v>
      </c>
      <c r="Y692" s="4">
        <f t="shared" si="64"/>
        <v>7.6000156274417849E-2</v>
      </c>
      <c r="Z692" s="2" t="str">
        <f t="shared" si="65"/>
        <v>High Risk</v>
      </c>
    </row>
    <row r="693" spans="1:26" x14ac:dyDescent="0.3">
      <c r="A693" t="s">
        <v>1428</v>
      </c>
      <c r="B693" s="1">
        <v>44424</v>
      </c>
      <c r="C693" t="s">
        <v>1429</v>
      </c>
      <c r="D693" t="s">
        <v>72</v>
      </c>
      <c r="E693">
        <v>34174</v>
      </c>
      <c r="F693">
        <v>16.899999999999999</v>
      </c>
      <c r="G693">
        <v>36</v>
      </c>
      <c r="H693" t="s">
        <v>19</v>
      </c>
      <c r="I693" t="s">
        <v>27</v>
      </c>
      <c r="J693" t="s">
        <v>28</v>
      </c>
      <c r="K693">
        <v>135296</v>
      </c>
      <c r="L693" t="s">
        <v>22</v>
      </c>
      <c r="M693">
        <v>0.36</v>
      </c>
      <c r="N693">
        <v>0.78</v>
      </c>
      <c r="O693">
        <v>39949.410000000003</v>
      </c>
      <c r="P693">
        <v>0</v>
      </c>
      <c r="Q693">
        <f ca="1">DATEDIF(banking_loan_data[[#This Row],[Issue Date]],TODAY(),"M")</f>
        <v>55</v>
      </c>
      <c r="R693">
        <f t="shared" si="60"/>
        <v>17326.218000000001</v>
      </c>
      <c r="S693">
        <f>+banking_loan_data[[#This Row],[Loan Amount]]+banking_loan_data[[#This Row],[Interest earned]]</f>
        <v>51500.218000000001</v>
      </c>
      <c r="T693" s="2">
        <f t="shared" si="61"/>
        <v>5775.4100000000035</v>
      </c>
      <c r="U693" s="2">
        <f t="shared" si="62"/>
        <v>0</v>
      </c>
      <c r="V693" s="2" t="str">
        <f>IF(banking_loan_data[[#This Row],[Loan Status]]="FULLY PAID","GOOD",IF(banking_loan_data[[#This Row],[Loan Status]]="CURRENT","ACTIVE","BAD"))</f>
        <v>GOOD</v>
      </c>
      <c r="W69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93" s="3">
        <f t="shared" si="63"/>
        <v>48128.383333334197</v>
      </c>
      <c r="Y693" s="4">
        <f t="shared" si="64"/>
        <v>0.16900011704804832</v>
      </c>
      <c r="Z693" s="2" t="str">
        <f t="shared" si="65"/>
        <v>Normal</v>
      </c>
    </row>
    <row r="694" spans="1:26" x14ac:dyDescent="0.3">
      <c r="A694" t="s">
        <v>1430</v>
      </c>
      <c r="B694" s="1">
        <v>44307</v>
      </c>
      <c r="C694" t="s">
        <v>1431</v>
      </c>
      <c r="D694" t="s">
        <v>46</v>
      </c>
      <c r="E694">
        <v>5431</v>
      </c>
      <c r="F694">
        <v>17</v>
      </c>
      <c r="G694">
        <v>60</v>
      </c>
      <c r="H694" t="s">
        <v>26</v>
      </c>
      <c r="I694" t="s">
        <v>41</v>
      </c>
      <c r="J694" t="s">
        <v>32</v>
      </c>
      <c r="K694">
        <v>123095</v>
      </c>
      <c r="L694" t="s">
        <v>33</v>
      </c>
      <c r="M694">
        <v>0.21</v>
      </c>
      <c r="N694">
        <v>0.7</v>
      </c>
      <c r="O694">
        <v>590.38</v>
      </c>
      <c r="P694">
        <v>0</v>
      </c>
      <c r="Q694">
        <f ca="1">DATEDIF(banking_loan_data[[#This Row],[Issue Date]],TODAY(),"M")</f>
        <v>58</v>
      </c>
      <c r="R694">
        <f t="shared" si="60"/>
        <v>4616.3499999999995</v>
      </c>
      <c r="S694">
        <f>+banking_loan_data[[#This Row],[Loan Amount]]+banking_loan_data[[#This Row],[Interest earned]]</f>
        <v>10047.349999999999</v>
      </c>
      <c r="T694" s="2">
        <f t="shared" si="61"/>
        <v>-4840.62</v>
      </c>
      <c r="U694" s="2">
        <f t="shared" si="62"/>
        <v>0</v>
      </c>
      <c r="V694" s="2" t="str">
        <f>IF(banking_loan_data[[#This Row],[Loan Status]]="FULLY PAID","GOOD",IF(banking_loan_data[[#This Row],[Loan Status]]="CURRENT","ACTIVE","BAD"))</f>
        <v>ACTIVE</v>
      </c>
      <c r="W69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94" s="3">
        <f t="shared" si="63"/>
        <v>7693.916666666667</v>
      </c>
      <c r="Y694" s="4">
        <f t="shared" si="64"/>
        <v>-0.89129442091695821</v>
      </c>
      <c r="Z694" s="2" t="str">
        <f t="shared" si="65"/>
        <v>Normal</v>
      </c>
    </row>
    <row r="695" spans="1:26" x14ac:dyDescent="0.3">
      <c r="A695" t="s">
        <v>1432</v>
      </c>
      <c r="B695" s="1">
        <v>44230</v>
      </c>
      <c r="C695" t="s">
        <v>1433</v>
      </c>
      <c r="D695" t="s">
        <v>56</v>
      </c>
      <c r="E695">
        <v>28764</v>
      </c>
      <c r="F695">
        <v>12.1</v>
      </c>
      <c r="G695">
        <v>60</v>
      </c>
      <c r="H695" t="s">
        <v>19</v>
      </c>
      <c r="I695" t="s">
        <v>27</v>
      </c>
      <c r="J695" t="s">
        <v>37</v>
      </c>
      <c r="K695">
        <v>142082</v>
      </c>
      <c r="L695" t="s">
        <v>22</v>
      </c>
      <c r="M695">
        <v>0.3</v>
      </c>
      <c r="N695">
        <v>0.52</v>
      </c>
      <c r="O695">
        <v>32244.44</v>
      </c>
      <c r="P695">
        <v>0</v>
      </c>
      <c r="Q695">
        <f ca="1">DATEDIF(banking_loan_data[[#This Row],[Issue Date]],TODAY(),"M")</f>
        <v>61</v>
      </c>
      <c r="R695">
        <f t="shared" si="60"/>
        <v>17402.219999999998</v>
      </c>
      <c r="S695">
        <f>+banking_loan_data[[#This Row],[Loan Amount]]+banking_loan_data[[#This Row],[Interest earned]]</f>
        <v>46166.22</v>
      </c>
      <c r="T695" s="2">
        <f t="shared" si="61"/>
        <v>3480.4399999999987</v>
      </c>
      <c r="U695" s="2">
        <f t="shared" si="62"/>
        <v>0</v>
      </c>
      <c r="V695" s="2" t="str">
        <f>IF(banking_loan_data[[#This Row],[Loan Status]]="FULLY PAID","GOOD",IF(banking_loan_data[[#This Row],[Loan Status]]="CURRENT","ACTIVE","BAD"))</f>
        <v>GOOD</v>
      </c>
      <c r="W69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95" s="3">
        <f t="shared" si="63"/>
        <v>29003.7</v>
      </c>
      <c r="Y695" s="4">
        <f t="shared" si="64"/>
        <v>0.12099986093728267</v>
      </c>
      <c r="Z695" s="2" t="str">
        <f t="shared" si="65"/>
        <v>Normal</v>
      </c>
    </row>
    <row r="696" spans="1:26" x14ac:dyDescent="0.3">
      <c r="A696" t="s">
        <v>1434</v>
      </c>
      <c r="B696" s="1">
        <v>44819</v>
      </c>
      <c r="C696" t="s">
        <v>1435</v>
      </c>
      <c r="D696" t="s">
        <v>50</v>
      </c>
      <c r="E696">
        <v>22627</v>
      </c>
      <c r="F696">
        <v>14.2</v>
      </c>
      <c r="G696">
        <v>60</v>
      </c>
      <c r="H696" t="s">
        <v>19</v>
      </c>
      <c r="I696" t="s">
        <v>84</v>
      </c>
      <c r="J696" t="s">
        <v>32</v>
      </c>
      <c r="K696">
        <v>102307</v>
      </c>
      <c r="L696" t="s">
        <v>22</v>
      </c>
      <c r="M696">
        <v>0.15</v>
      </c>
      <c r="N696">
        <v>0.72</v>
      </c>
      <c r="O696">
        <v>25840.03</v>
      </c>
      <c r="P696">
        <v>0</v>
      </c>
      <c r="Q696">
        <f ca="1">DATEDIF(banking_loan_data[[#This Row],[Issue Date]],TODAY(),"M")</f>
        <v>42</v>
      </c>
      <c r="R696">
        <f t="shared" si="60"/>
        <v>16065.169999999998</v>
      </c>
      <c r="S696">
        <f>+banking_loan_data[[#This Row],[Loan Amount]]+banking_loan_data[[#This Row],[Interest earned]]</f>
        <v>38692.17</v>
      </c>
      <c r="T696" s="2">
        <f t="shared" si="61"/>
        <v>3213.0299999999988</v>
      </c>
      <c r="U696" s="2">
        <f t="shared" si="62"/>
        <v>0</v>
      </c>
      <c r="V696" s="2" t="str">
        <f>IF(banking_loan_data[[#This Row],[Loan Status]]="FULLY PAID","GOOD",IF(banking_loan_data[[#This Row],[Loan Status]]="CURRENT","ACTIVE","BAD"))</f>
        <v>GOOD</v>
      </c>
      <c r="W69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96" s="3">
        <f t="shared" si="63"/>
        <v>26775.283333333333</v>
      </c>
      <c r="Y696" s="4">
        <f t="shared" si="64"/>
        <v>0.14199982322004678</v>
      </c>
      <c r="Z696" s="2" t="str">
        <f t="shared" si="65"/>
        <v>Normal</v>
      </c>
    </row>
    <row r="697" spans="1:26" x14ac:dyDescent="0.3">
      <c r="A697" t="s">
        <v>1436</v>
      </c>
      <c r="B697" s="1">
        <v>44944</v>
      </c>
      <c r="C697" t="s">
        <v>1437</v>
      </c>
      <c r="D697" t="s">
        <v>18</v>
      </c>
      <c r="E697">
        <v>9906</v>
      </c>
      <c r="F697">
        <v>5.8</v>
      </c>
      <c r="G697">
        <v>60</v>
      </c>
      <c r="H697" t="s">
        <v>19</v>
      </c>
      <c r="I697" t="s">
        <v>73</v>
      </c>
      <c r="J697" t="s">
        <v>47</v>
      </c>
      <c r="K697">
        <v>112062</v>
      </c>
      <c r="L697" t="s">
        <v>22</v>
      </c>
      <c r="M697">
        <v>0.34</v>
      </c>
      <c r="N697">
        <v>0.84</v>
      </c>
      <c r="O697">
        <v>10480.549999999999</v>
      </c>
      <c r="P697">
        <v>0</v>
      </c>
      <c r="Q697">
        <f ca="1">DATEDIF(banking_loan_data[[#This Row],[Issue Date]],TODAY(),"M")</f>
        <v>38</v>
      </c>
      <c r="R697">
        <f t="shared" si="60"/>
        <v>2872.74</v>
      </c>
      <c r="S697">
        <f>+banking_loan_data[[#This Row],[Loan Amount]]+banking_loan_data[[#This Row],[Interest earned]]</f>
        <v>12778.74</v>
      </c>
      <c r="T697" s="2">
        <f t="shared" si="61"/>
        <v>574.54999999999927</v>
      </c>
      <c r="U697" s="2">
        <f t="shared" si="62"/>
        <v>0</v>
      </c>
      <c r="V697" s="2" t="str">
        <f>IF(banking_loan_data[[#This Row],[Loan Status]]="FULLY PAID","GOOD",IF(banking_loan_data[[#This Row],[Loan Status]]="CURRENT","ACTIVE","BAD"))</f>
        <v>GOOD</v>
      </c>
      <c r="W69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697" s="3">
        <f t="shared" si="63"/>
        <v>4787.9000002545772</v>
      </c>
      <c r="Y697" s="4">
        <f t="shared" si="64"/>
        <v>5.8000201897839616E-2</v>
      </c>
      <c r="Z697" s="2" t="str">
        <f t="shared" si="65"/>
        <v>High Risk</v>
      </c>
    </row>
    <row r="698" spans="1:26" x14ac:dyDescent="0.3">
      <c r="A698" t="s">
        <v>1438</v>
      </c>
      <c r="B698" s="1">
        <v>44791</v>
      </c>
      <c r="C698" t="s">
        <v>1439</v>
      </c>
      <c r="D698" t="s">
        <v>53</v>
      </c>
      <c r="E698">
        <v>37914</v>
      </c>
      <c r="F698">
        <v>19.899999999999999</v>
      </c>
      <c r="G698">
        <v>36</v>
      </c>
      <c r="H698" t="s">
        <v>19</v>
      </c>
      <c r="I698" t="s">
        <v>41</v>
      </c>
      <c r="J698" t="s">
        <v>47</v>
      </c>
      <c r="K698">
        <v>125432</v>
      </c>
      <c r="L698" t="s">
        <v>22</v>
      </c>
      <c r="M698">
        <v>0.23</v>
      </c>
      <c r="N698">
        <v>0.62</v>
      </c>
      <c r="O698">
        <v>45458.89</v>
      </c>
      <c r="P698">
        <v>0</v>
      </c>
      <c r="Q698">
        <f ca="1">DATEDIF(banking_loan_data[[#This Row],[Issue Date]],TODAY(),"M")</f>
        <v>43</v>
      </c>
      <c r="R698">
        <f t="shared" si="60"/>
        <v>22634.657999999999</v>
      </c>
      <c r="S698">
        <f>+banking_loan_data[[#This Row],[Loan Amount]]+banking_loan_data[[#This Row],[Interest earned]]</f>
        <v>60548.657999999996</v>
      </c>
      <c r="T698" s="2">
        <f t="shared" si="61"/>
        <v>7544.8899999999994</v>
      </c>
      <c r="U698" s="2">
        <f t="shared" si="62"/>
        <v>0</v>
      </c>
      <c r="V698" s="2" t="str">
        <f>IF(banking_loan_data[[#This Row],[Loan Status]]="FULLY PAID","GOOD",IF(banking_loan_data[[#This Row],[Loan Status]]="CURRENT","ACTIVE","BAD"))</f>
        <v>GOOD</v>
      </c>
      <c r="W69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698" s="3">
        <f t="shared" si="63"/>
        <v>62874.050000000032</v>
      </c>
      <c r="Y698" s="4">
        <f t="shared" si="64"/>
        <v>0.1990001055019254</v>
      </c>
      <c r="Z698" s="2" t="str">
        <f t="shared" si="65"/>
        <v>Normal</v>
      </c>
    </row>
    <row r="699" spans="1:26" x14ac:dyDescent="0.3">
      <c r="A699" t="s">
        <v>1440</v>
      </c>
      <c r="B699" s="1">
        <v>44621</v>
      </c>
      <c r="C699" t="s">
        <v>1441</v>
      </c>
      <c r="D699" t="s">
        <v>50</v>
      </c>
      <c r="E699">
        <v>14076</v>
      </c>
      <c r="F699">
        <v>16</v>
      </c>
      <c r="G699">
        <v>60</v>
      </c>
      <c r="H699" t="s">
        <v>26</v>
      </c>
      <c r="I699" t="s">
        <v>27</v>
      </c>
      <c r="J699" t="s">
        <v>47</v>
      </c>
      <c r="K699">
        <v>61923</v>
      </c>
      <c r="L699" t="s">
        <v>29</v>
      </c>
      <c r="M699">
        <v>0.35</v>
      </c>
      <c r="N699">
        <v>0.86</v>
      </c>
      <c r="O699">
        <v>6883.48</v>
      </c>
      <c r="P699">
        <v>0</v>
      </c>
      <c r="Q699">
        <f ca="1">DATEDIF(banking_loan_data[[#This Row],[Issue Date]],TODAY(),"M")</f>
        <v>48</v>
      </c>
      <c r="R699">
        <f t="shared" si="60"/>
        <v>11260.799999999997</v>
      </c>
      <c r="S699">
        <f>+banking_loan_data[[#This Row],[Loan Amount]]+banking_loan_data[[#This Row],[Interest earned]]</f>
        <v>25336.799999999996</v>
      </c>
      <c r="T699" s="2">
        <f t="shared" si="61"/>
        <v>-7192.52</v>
      </c>
      <c r="U699" s="2">
        <f t="shared" si="62"/>
        <v>0</v>
      </c>
      <c r="V699" s="2" t="str">
        <f>IF(banking_loan_data[[#This Row],[Loan Status]]="FULLY PAID","GOOD",IF(banking_loan_data[[#This Row],[Loan Status]]="CURRENT","ACTIVE","BAD"))</f>
        <v>ACTIVE</v>
      </c>
      <c r="W69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699" s="3">
        <f t="shared" si="63"/>
        <v>18768</v>
      </c>
      <c r="Y699" s="4">
        <f t="shared" si="64"/>
        <v>-0.51097755044046611</v>
      </c>
      <c r="Z699" s="2" t="str">
        <f t="shared" si="65"/>
        <v>High Risk</v>
      </c>
    </row>
    <row r="700" spans="1:26" x14ac:dyDescent="0.3">
      <c r="A700" t="s">
        <v>1442</v>
      </c>
      <c r="B700" s="1">
        <v>44809</v>
      </c>
      <c r="C700" t="s">
        <v>1443</v>
      </c>
      <c r="D700" t="s">
        <v>18</v>
      </c>
      <c r="E700">
        <v>38650</v>
      </c>
      <c r="F700">
        <v>6.2</v>
      </c>
      <c r="G700">
        <v>60</v>
      </c>
      <c r="H700" t="s">
        <v>19</v>
      </c>
      <c r="I700" t="s">
        <v>84</v>
      </c>
      <c r="J700" t="s">
        <v>28</v>
      </c>
      <c r="K700">
        <v>147449</v>
      </c>
      <c r="L700" t="s">
        <v>33</v>
      </c>
      <c r="M700">
        <v>0.42</v>
      </c>
      <c r="N700">
        <v>0.61</v>
      </c>
      <c r="O700">
        <v>41046.300000000003</v>
      </c>
      <c r="P700">
        <v>0</v>
      </c>
      <c r="Q700">
        <f ca="1">DATEDIF(banking_loan_data[[#This Row],[Issue Date]],TODAY(),"M")</f>
        <v>42</v>
      </c>
      <c r="R700">
        <f t="shared" si="60"/>
        <v>11981.5</v>
      </c>
      <c r="S700">
        <f>+banking_loan_data[[#This Row],[Loan Amount]]+banking_loan_data[[#This Row],[Interest earned]]</f>
        <v>50631.5</v>
      </c>
      <c r="T700" s="2">
        <f t="shared" si="61"/>
        <v>2396.3000000000029</v>
      </c>
      <c r="U700" s="2">
        <f t="shared" si="62"/>
        <v>0</v>
      </c>
      <c r="V700" s="2" t="str">
        <f>IF(banking_loan_data[[#This Row],[Loan Status]]="FULLY PAID","GOOD",IF(banking_loan_data[[#This Row],[Loan Status]]="CURRENT","ACTIVE","BAD"))</f>
        <v>GOOD</v>
      </c>
      <c r="W70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00" s="3">
        <f t="shared" si="63"/>
        <v>19969.166666946534</v>
      </c>
      <c r="Y700" s="4">
        <f t="shared" si="64"/>
        <v>6.2000000000000076E-2</v>
      </c>
      <c r="Z700" s="2" t="str">
        <f t="shared" si="65"/>
        <v>High Risk</v>
      </c>
    </row>
    <row r="701" spans="1:26" x14ac:dyDescent="0.3">
      <c r="A701" t="s">
        <v>1444</v>
      </c>
      <c r="B701" s="1">
        <v>44888</v>
      </c>
      <c r="C701" t="s">
        <v>1445</v>
      </c>
      <c r="D701" t="s">
        <v>56</v>
      </c>
      <c r="E701">
        <v>7012</v>
      </c>
      <c r="F701">
        <v>18.600000000000001</v>
      </c>
      <c r="G701">
        <v>60</v>
      </c>
      <c r="H701" t="s">
        <v>19</v>
      </c>
      <c r="I701" t="s">
        <v>36</v>
      </c>
      <c r="J701" t="s">
        <v>47</v>
      </c>
      <c r="K701">
        <v>131739</v>
      </c>
      <c r="L701" t="s">
        <v>29</v>
      </c>
      <c r="M701">
        <v>0.34</v>
      </c>
      <c r="N701">
        <v>0.87</v>
      </c>
      <c r="O701">
        <v>8316.23</v>
      </c>
      <c r="P701">
        <v>0</v>
      </c>
      <c r="Q701">
        <f ca="1">DATEDIF(banking_loan_data[[#This Row],[Issue Date]],TODAY(),"M")</f>
        <v>39</v>
      </c>
      <c r="R701">
        <f t="shared" si="60"/>
        <v>6521.1600000000008</v>
      </c>
      <c r="S701">
        <f>+banking_loan_data[[#This Row],[Loan Amount]]+banking_loan_data[[#This Row],[Interest earned]]</f>
        <v>13533.16</v>
      </c>
      <c r="T701" s="2">
        <f t="shared" si="61"/>
        <v>1304.2299999999996</v>
      </c>
      <c r="U701" s="2">
        <f t="shared" si="62"/>
        <v>0</v>
      </c>
      <c r="V701" s="2" t="str">
        <f>IF(banking_loan_data[[#This Row],[Loan Status]]="FULLY PAID","GOOD",IF(banking_loan_data[[#This Row],[Loan Status]]="CURRENT","ACTIVE","BAD"))</f>
        <v>GOOD</v>
      </c>
      <c r="W70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01" s="3">
        <f t="shared" si="63"/>
        <v>10868.6</v>
      </c>
      <c r="Y701" s="4">
        <f t="shared" si="64"/>
        <v>0.18599971477467192</v>
      </c>
      <c r="Z701" s="2" t="str">
        <f t="shared" si="65"/>
        <v>High Risk</v>
      </c>
    </row>
    <row r="702" spans="1:26" x14ac:dyDescent="0.3">
      <c r="A702" t="s">
        <v>1446</v>
      </c>
      <c r="B702" s="1">
        <v>44511</v>
      </c>
      <c r="C702" t="s">
        <v>1447</v>
      </c>
      <c r="D702" t="s">
        <v>56</v>
      </c>
      <c r="E702">
        <v>8151</v>
      </c>
      <c r="F702">
        <v>14.3</v>
      </c>
      <c r="G702">
        <v>36</v>
      </c>
      <c r="H702" t="s">
        <v>26</v>
      </c>
      <c r="I702" t="s">
        <v>36</v>
      </c>
      <c r="J702" t="s">
        <v>28</v>
      </c>
      <c r="K702">
        <v>134926</v>
      </c>
      <c r="L702" t="s">
        <v>22</v>
      </c>
      <c r="M702">
        <v>0.22</v>
      </c>
      <c r="N702">
        <v>0.54</v>
      </c>
      <c r="O702">
        <v>3592.52</v>
      </c>
      <c r="P702">
        <v>0</v>
      </c>
      <c r="Q702">
        <f ca="1">DATEDIF(banking_loan_data[[#This Row],[Issue Date]],TODAY(),"M")</f>
        <v>52</v>
      </c>
      <c r="R702">
        <f t="shared" si="60"/>
        <v>3496.7790000000005</v>
      </c>
      <c r="S702">
        <f>+banking_loan_data[[#This Row],[Loan Amount]]+banking_loan_data[[#This Row],[Interest earned]]</f>
        <v>11647.779</v>
      </c>
      <c r="T702" s="2">
        <f t="shared" si="61"/>
        <v>-4558.4799999999996</v>
      </c>
      <c r="U702" s="2">
        <f t="shared" si="62"/>
        <v>0</v>
      </c>
      <c r="V702" s="2" t="str">
        <f>IF(banking_loan_data[[#This Row],[Loan Status]]="FULLY PAID","GOOD",IF(banking_loan_data[[#This Row],[Loan Status]]="CURRENT","ACTIVE","BAD"))</f>
        <v>ACTIVE</v>
      </c>
      <c r="W70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02" s="3">
        <f t="shared" si="63"/>
        <v>9713.275000005242</v>
      </c>
      <c r="Y702" s="4">
        <f t="shared" si="64"/>
        <v>-0.55925407925407922</v>
      </c>
      <c r="Z702" s="2" t="str">
        <f t="shared" si="65"/>
        <v>Normal</v>
      </c>
    </row>
    <row r="703" spans="1:26" x14ac:dyDescent="0.3">
      <c r="A703" t="s">
        <v>1448</v>
      </c>
      <c r="B703" s="1">
        <v>45073</v>
      </c>
      <c r="C703" t="s">
        <v>1449</v>
      </c>
      <c r="D703" t="s">
        <v>46</v>
      </c>
      <c r="E703">
        <v>29211</v>
      </c>
      <c r="F703">
        <v>5.7</v>
      </c>
      <c r="G703">
        <v>36</v>
      </c>
      <c r="H703" t="s">
        <v>60</v>
      </c>
      <c r="I703" t="s">
        <v>57</v>
      </c>
      <c r="J703" t="s">
        <v>47</v>
      </c>
      <c r="K703">
        <v>108388</v>
      </c>
      <c r="L703" t="s">
        <v>33</v>
      </c>
      <c r="M703">
        <v>0.2</v>
      </c>
      <c r="N703">
        <v>0.89</v>
      </c>
      <c r="O703">
        <v>0</v>
      </c>
      <c r="P703">
        <v>0</v>
      </c>
      <c r="Q703">
        <f ca="1">DATEDIF(banking_loan_data[[#This Row],[Issue Date]],TODAY(),"M")</f>
        <v>33</v>
      </c>
      <c r="R703">
        <f t="shared" si="60"/>
        <v>4995.0810000000001</v>
      </c>
      <c r="S703">
        <f>+banking_loan_data[[#This Row],[Loan Amount]]+banking_loan_data[[#This Row],[Interest earned]]</f>
        <v>34206.080999999998</v>
      </c>
      <c r="T703" s="2">
        <f t="shared" si="61"/>
        <v>-29211</v>
      </c>
      <c r="U703" s="2">
        <f t="shared" si="62"/>
        <v>0</v>
      </c>
      <c r="V703" s="2" t="str">
        <f>IF(banking_loan_data[[#This Row],[Loan Status]]="FULLY PAID","GOOD",IF(banking_loan_data[[#This Row],[Loan Status]]="CURRENT","ACTIVE","BAD"))</f>
        <v>BAD</v>
      </c>
      <c r="W70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03" s="3">
        <f t="shared" si="63"/>
        <v>13875.236633962704</v>
      </c>
      <c r="Y703" s="4">
        <f t="shared" si="64"/>
        <v>-1</v>
      </c>
      <c r="Z703" s="2" t="str">
        <f t="shared" si="65"/>
        <v>High Risk</v>
      </c>
    </row>
    <row r="704" spans="1:26" x14ac:dyDescent="0.3">
      <c r="A704" t="s">
        <v>1450</v>
      </c>
      <c r="B704" s="1">
        <v>44858</v>
      </c>
      <c r="C704" t="s">
        <v>1451</v>
      </c>
      <c r="D704" t="s">
        <v>25</v>
      </c>
      <c r="E704">
        <v>28117</v>
      </c>
      <c r="F704">
        <v>24.4</v>
      </c>
      <c r="G704">
        <v>60</v>
      </c>
      <c r="H704" t="s">
        <v>26</v>
      </c>
      <c r="I704" t="s">
        <v>20</v>
      </c>
      <c r="J704" t="s">
        <v>32</v>
      </c>
      <c r="K704">
        <v>77574</v>
      </c>
      <c r="L704" t="s">
        <v>22</v>
      </c>
      <c r="M704">
        <v>0.23</v>
      </c>
      <c r="N704">
        <v>0.72</v>
      </c>
      <c r="O704">
        <v>12707.65</v>
      </c>
      <c r="P704">
        <v>0</v>
      </c>
      <c r="Q704">
        <f ca="1">DATEDIF(banking_loan_data[[#This Row],[Issue Date]],TODAY(),"M")</f>
        <v>40</v>
      </c>
      <c r="R704">
        <f t="shared" si="60"/>
        <v>34302.74</v>
      </c>
      <c r="S704">
        <f>+banking_loan_data[[#This Row],[Loan Amount]]+banking_loan_data[[#This Row],[Interest earned]]</f>
        <v>62419.74</v>
      </c>
      <c r="T704" s="2">
        <f t="shared" si="61"/>
        <v>-15409.35</v>
      </c>
      <c r="U704" s="2">
        <f t="shared" si="62"/>
        <v>0</v>
      </c>
      <c r="V704" s="2" t="str">
        <f>IF(banking_loan_data[[#This Row],[Loan Status]]="FULLY PAID","GOOD",IF(banking_loan_data[[#This Row],[Loan Status]]="CURRENT","ACTIVE","BAD"))</f>
        <v>ACTIVE</v>
      </c>
      <c r="W70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04" s="3">
        <f t="shared" si="63"/>
        <v>57171.23333333333</v>
      </c>
      <c r="Y704" s="4">
        <f t="shared" si="64"/>
        <v>-0.54804388803926452</v>
      </c>
      <c r="Z704" s="2" t="str">
        <f t="shared" si="65"/>
        <v>Normal</v>
      </c>
    </row>
    <row r="705" spans="1:26" x14ac:dyDescent="0.3">
      <c r="A705" t="s">
        <v>1452</v>
      </c>
      <c r="B705" s="1">
        <v>44473</v>
      </c>
      <c r="C705" t="s">
        <v>1453</v>
      </c>
      <c r="D705" t="s">
        <v>56</v>
      </c>
      <c r="E705">
        <v>37378</v>
      </c>
      <c r="F705">
        <v>24</v>
      </c>
      <c r="G705">
        <v>36</v>
      </c>
      <c r="H705" t="s">
        <v>19</v>
      </c>
      <c r="I705" t="s">
        <v>20</v>
      </c>
      <c r="J705" t="s">
        <v>37</v>
      </c>
      <c r="K705">
        <v>73391</v>
      </c>
      <c r="L705" t="s">
        <v>33</v>
      </c>
      <c r="M705">
        <v>0.17</v>
      </c>
      <c r="N705">
        <v>0.63</v>
      </c>
      <c r="O705">
        <v>46348.72</v>
      </c>
      <c r="P705">
        <v>0</v>
      </c>
      <c r="Q705">
        <f ca="1">DATEDIF(banking_loan_data[[#This Row],[Issue Date]],TODAY(),"M")</f>
        <v>53</v>
      </c>
      <c r="R705">
        <f t="shared" si="60"/>
        <v>26912.16</v>
      </c>
      <c r="S705">
        <f>+banking_loan_data[[#This Row],[Loan Amount]]+banking_loan_data[[#This Row],[Interest earned]]</f>
        <v>64290.16</v>
      </c>
      <c r="T705" s="2">
        <f t="shared" si="61"/>
        <v>8970.7200000000012</v>
      </c>
      <c r="U705" s="2">
        <f t="shared" si="62"/>
        <v>0</v>
      </c>
      <c r="V705" s="2" t="str">
        <f>IF(banking_loan_data[[#This Row],[Loan Status]]="FULLY PAID","GOOD",IF(banking_loan_data[[#This Row],[Loan Status]]="CURRENT","ACTIVE","BAD"))</f>
        <v>GOOD</v>
      </c>
      <c r="W70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05" s="3">
        <f t="shared" si="63"/>
        <v>74756</v>
      </c>
      <c r="Y705" s="4">
        <f t="shared" si="64"/>
        <v>0.24000000000000002</v>
      </c>
      <c r="Z705" s="2" t="str">
        <f t="shared" si="65"/>
        <v>Normal</v>
      </c>
    </row>
    <row r="706" spans="1:26" x14ac:dyDescent="0.3">
      <c r="A706" t="s">
        <v>1454</v>
      </c>
      <c r="B706" s="1">
        <v>44820</v>
      </c>
      <c r="C706" t="s">
        <v>1455</v>
      </c>
      <c r="D706" t="s">
        <v>50</v>
      </c>
      <c r="E706">
        <v>7894</v>
      </c>
      <c r="F706">
        <v>15.3</v>
      </c>
      <c r="G706">
        <v>36</v>
      </c>
      <c r="H706" t="s">
        <v>19</v>
      </c>
      <c r="I706" t="s">
        <v>20</v>
      </c>
      <c r="J706" t="s">
        <v>37</v>
      </c>
      <c r="K706">
        <v>83664</v>
      </c>
      <c r="L706" t="s">
        <v>29</v>
      </c>
      <c r="M706">
        <v>0.17</v>
      </c>
      <c r="N706">
        <v>0.62</v>
      </c>
      <c r="O706">
        <v>9101.7800000000007</v>
      </c>
      <c r="P706">
        <v>0</v>
      </c>
      <c r="Q706">
        <f ca="1">DATEDIF(banking_loan_data[[#This Row],[Issue Date]],TODAY(),"M")</f>
        <v>42</v>
      </c>
      <c r="R706">
        <f t="shared" ref="R706:R769" si="66">(((E706*F706)/100)*G706)/12</f>
        <v>3623.346</v>
      </c>
      <c r="S706">
        <f>+banking_loan_data[[#This Row],[Loan Amount]]+banking_loan_data[[#This Row],[Interest earned]]</f>
        <v>11517.346</v>
      </c>
      <c r="T706" s="2">
        <f t="shared" ref="T706:T769" si="67">O706 + P706 - E706</f>
        <v>1207.7800000000007</v>
      </c>
      <c r="U706" s="2">
        <f t="shared" ref="U706:U769" si="68">IF(H706="CHARGED OFF",1,0)</f>
        <v>0</v>
      </c>
      <c r="V706" s="2" t="str">
        <f>IF(banking_loan_data[[#This Row],[Loan Status]]="FULLY PAID","GOOD",IF(banking_loan_data[[#This Row],[Loan Status]]="CURRENT","ACTIVE","BAD"))</f>
        <v>GOOD</v>
      </c>
      <c r="W70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06" s="3">
        <f t="shared" ref="X706:X769" si="69">PMT(F706/12,G706,-E706)</f>
        <v>10064.850000001417</v>
      </c>
      <c r="Y706" s="4">
        <f t="shared" ref="Y706:Y769" si="70">IF(E706=0,0,T706/E706)</f>
        <v>0.1529997466430201</v>
      </c>
      <c r="Z706" s="2" t="str">
        <f t="shared" ref="Z706:Z769" si="71">IF(OR(M706&gt;0.4,N706&gt;0.8),"High Risk","Normal")</f>
        <v>Normal</v>
      </c>
    </row>
    <row r="707" spans="1:26" x14ac:dyDescent="0.3">
      <c r="A707" t="s">
        <v>1456</v>
      </c>
      <c r="B707" s="1">
        <v>44712</v>
      </c>
      <c r="C707" t="s">
        <v>1457</v>
      </c>
      <c r="D707" t="s">
        <v>40</v>
      </c>
      <c r="E707">
        <v>14467</v>
      </c>
      <c r="F707">
        <v>6.9</v>
      </c>
      <c r="G707">
        <v>36</v>
      </c>
      <c r="H707" t="s">
        <v>81</v>
      </c>
      <c r="I707" t="s">
        <v>20</v>
      </c>
      <c r="J707" t="s">
        <v>47</v>
      </c>
      <c r="K707">
        <v>97384</v>
      </c>
      <c r="L707" t="s">
        <v>33</v>
      </c>
      <c r="M707">
        <v>0.42</v>
      </c>
      <c r="N707">
        <v>0.69</v>
      </c>
      <c r="O707">
        <v>5293.66</v>
      </c>
      <c r="P707">
        <v>1335.02</v>
      </c>
      <c r="Q707">
        <f ca="1">DATEDIF(banking_loan_data[[#This Row],[Issue Date]],TODAY(),"M")</f>
        <v>45</v>
      </c>
      <c r="R707">
        <f t="shared" si="66"/>
        <v>2994.6690000000003</v>
      </c>
      <c r="S707">
        <f>+banking_loan_data[[#This Row],[Loan Amount]]+banking_loan_data[[#This Row],[Interest earned]]</f>
        <v>17461.669000000002</v>
      </c>
      <c r="T707" s="2">
        <f t="shared" si="67"/>
        <v>-7838.32</v>
      </c>
      <c r="U707" s="2">
        <f t="shared" si="68"/>
        <v>1</v>
      </c>
      <c r="V707" s="2" t="str">
        <f>IF(banking_loan_data[[#This Row],[Loan Status]]="FULLY PAID","GOOD",IF(banking_loan_data[[#This Row],[Loan Status]]="CURRENT","ACTIVE","BAD"))</f>
        <v>BAD</v>
      </c>
      <c r="W70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07" s="3">
        <f t="shared" si="69"/>
        <v>8318.5256575764761</v>
      </c>
      <c r="Y707" s="4">
        <f t="shared" si="70"/>
        <v>-0.54180687080942835</v>
      </c>
      <c r="Z707" s="2" t="str">
        <f t="shared" si="71"/>
        <v>High Risk</v>
      </c>
    </row>
    <row r="708" spans="1:26" x14ac:dyDescent="0.3">
      <c r="A708" t="s">
        <v>1458</v>
      </c>
      <c r="B708" s="1">
        <v>45039</v>
      </c>
      <c r="C708" t="s">
        <v>1459</v>
      </c>
      <c r="D708" t="s">
        <v>40</v>
      </c>
      <c r="E708">
        <v>32010</v>
      </c>
      <c r="F708">
        <v>20.100000000000001</v>
      </c>
      <c r="G708">
        <v>60</v>
      </c>
      <c r="H708" t="s">
        <v>19</v>
      </c>
      <c r="I708" t="s">
        <v>20</v>
      </c>
      <c r="J708" t="s">
        <v>37</v>
      </c>
      <c r="K708">
        <v>61027</v>
      </c>
      <c r="L708" t="s">
        <v>22</v>
      </c>
      <c r="M708">
        <v>0.25</v>
      </c>
      <c r="N708">
        <v>0.95</v>
      </c>
      <c r="O708">
        <v>38444.01</v>
      </c>
      <c r="P708">
        <v>0</v>
      </c>
      <c r="Q708">
        <f ca="1">DATEDIF(banking_loan_data[[#This Row],[Issue Date]],TODAY(),"M")</f>
        <v>34</v>
      </c>
      <c r="R708">
        <f t="shared" si="66"/>
        <v>32170.050000000003</v>
      </c>
      <c r="S708">
        <f>+banking_loan_data[[#This Row],[Loan Amount]]+banking_loan_data[[#This Row],[Interest earned]]</f>
        <v>64180.05</v>
      </c>
      <c r="T708" s="2">
        <f t="shared" si="67"/>
        <v>6434.010000000002</v>
      </c>
      <c r="U708" s="2">
        <f t="shared" si="68"/>
        <v>0</v>
      </c>
      <c r="V708" s="2" t="str">
        <f>IF(banking_loan_data[[#This Row],[Loan Status]]="FULLY PAID","GOOD",IF(banking_loan_data[[#This Row],[Loan Status]]="CURRENT","ACTIVE","BAD"))</f>
        <v>GOOD</v>
      </c>
      <c r="W70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08" s="3">
        <f t="shared" si="69"/>
        <v>53616.75</v>
      </c>
      <c r="Y708" s="4">
        <f t="shared" si="70"/>
        <v>0.20100000000000007</v>
      </c>
      <c r="Z708" s="2" t="str">
        <f t="shared" si="71"/>
        <v>High Risk</v>
      </c>
    </row>
    <row r="709" spans="1:26" x14ac:dyDescent="0.3">
      <c r="A709" t="s">
        <v>1460</v>
      </c>
      <c r="B709" s="1">
        <v>44546</v>
      </c>
      <c r="C709" t="s">
        <v>1461</v>
      </c>
      <c r="D709" t="s">
        <v>18</v>
      </c>
      <c r="E709">
        <v>13289</v>
      </c>
      <c r="F709">
        <v>14.8</v>
      </c>
      <c r="G709">
        <v>60</v>
      </c>
      <c r="H709" t="s">
        <v>26</v>
      </c>
      <c r="I709" t="s">
        <v>57</v>
      </c>
      <c r="J709" t="s">
        <v>47</v>
      </c>
      <c r="K709">
        <v>65464</v>
      </c>
      <c r="L709" t="s">
        <v>33</v>
      </c>
      <c r="M709">
        <v>0.27</v>
      </c>
      <c r="N709">
        <v>0.6</v>
      </c>
      <c r="O709">
        <v>3903.76</v>
      </c>
      <c r="P709">
        <v>0</v>
      </c>
      <c r="Q709">
        <f ca="1">DATEDIF(banking_loan_data[[#This Row],[Issue Date]],TODAY(),"M")</f>
        <v>51</v>
      </c>
      <c r="R709">
        <f t="shared" si="66"/>
        <v>9833.86</v>
      </c>
      <c r="S709">
        <f>+banking_loan_data[[#This Row],[Loan Amount]]+banking_loan_data[[#This Row],[Interest earned]]</f>
        <v>23122.86</v>
      </c>
      <c r="T709" s="2">
        <f t="shared" si="67"/>
        <v>-9385.24</v>
      </c>
      <c r="U709" s="2">
        <f t="shared" si="68"/>
        <v>0</v>
      </c>
      <c r="V709" s="2" t="str">
        <f>IF(banking_loan_data[[#This Row],[Loan Status]]="FULLY PAID","GOOD",IF(banking_loan_data[[#This Row],[Loan Status]]="CURRENT","ACTIVE","BAD"))</f>
        <v>ACTIVE</v>
      </c>
      <c r="W70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09" s="3">
        <f t="shared" si="69"/>
        <v>16389.766666666666</v>
      </c>
      <c r="Y709" s="4">
        <f t="shared" si="70"/>
        <v>-0.70624125216344347</v>
      </c>
      <c r="Z709" s="2" t="str">
        <f t="shared" si="71"/>
        <v>Normal</v>
      </c>
    </row>
    <row r="710" spans="1:26" x14ac:dyDescent="0.3">
      <c r="A710" t="s">
        <v>1462</v>
      </c>
      <c r="B710" s="1">
        <v>45019</v>
      </c>
      <c r="C710" t="s">
        <v>1463</v>
      </c>
      <c r="D710" t="s">
        <v>18</v>
      </c>
      <c r="E710">
        <v>24171</v>
      </c>
      <c r="F710">
        <v>11</v>
      </c>
      <c r="G710">
        <v>36</v>
      </c>
      <c r="H710" t="s">
        <v>19</v>
      </c>
      <c r="I710" t="s">
        <v>73</v>
      </c>
      <c r="J710" t="s">
        <v>47</v>
      </c>
      <c r="K710">
        <v>64485</v>
      </c>
      <c r="L710" t="s">
        <v>33</v>
      </c>
      <c r="M710">
        <v>0.34</v>
      </c>
      <c r="N710">
        <v>0.55000000000000004</v>
      </c>
      <c r="O710">
        <v>26829.81</v>
      </c>
      <c r="P710">
        <v>0</v>
      </c>
      <c r="Q710">
        <f ca="1">DATEDIF(banking_loan_data[[#This Row],[Issue Date]],TODAY(),"M")</f>
        <v>35</v>
      </c>
      <c r="R710">
        <f t="shared" si="66"/>
        <v>7976.43</v>
      </c>
      <c r="S710">
        <f>+banking_loan_data[[#This Row],[Loan Amount]]+banking_loan_data[[#This Row],[Interest earned]]</f>
        <v>32147.43</v>
      </c>
      <c r="T710" s="2">
        <f t="shared" si="67"/>
        <v>2658.8100000000013</v>
      </c>
      <c r="U710" s="2">
        <f t="shared" si="68"/>
        <v>0</v>
      </c>
      <c r="V710" s="2" t="str">
        <f>IF(banking_loan_data[[#This Row],[Loan Status]]="FULLY PAID","GOOD",IF(banking_loan_data[[#This Row],[Loan Status]]="CURRENT","ACTIVE","BAD"))</f>
        <v>GOOD</v>
      </c>
      <c r="W71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10" s="3">
        <f t="shared" si="69"/>
        <v>22156.750001492204</v>
      </c>
      <c r="Y710" s="4">
        <f t="shared" si="70"/>
        <v>0.11000000000000006</v>
      </c>
      <c r="Z710" s="2" t="str">
        <f t="shared" si="71"/>
        <v>Normal</v>
      </c>
    </row>
    <row r="711" spans="1:26" x14ac:dyDescent="0.3">
      <c r="A711" t="s">
        <v>1464</v>
      </c>
      <c r="B711" s="1">
        <v>44955</v>
      </c>
      <c r="C711" t="s">
        <v>1465</v>
      </c>
      <c r="D711" t="s">
        <v>25</v>
      </c>
      <c r="E711">
        <v>35905</v>
      </c>
      <c r="F711">
        <v>14.8</v>
      </c>
      <c r="G711">
        <v>60</v>
      </c>
      <c r="H711" t="s">
        <v>19</v>
      </c>
      <c r="I711" t="s">
        <v>27</v>
      </c>
      <c r="J711" t="s">
        <v>21</v>
      </c>
      <c r="K711">
        <v>49456</v>
      </c>
      <c r="L711" t="s">
        <v>29</v>
      </c>
      <c r="M711">
        <v>0.34</v>
      </c>
      <c r="N711">
        <v>0.76</v>
      </c>
      <c r="O711">
        <v>41218.94</v>
      </c>
      <c r="P711">
        <v>0</v>
      </c>
      <c r="Q711">
        <f ca="1">DATEDIF(banking_loan_data[[#This Row],[Issue Date]],TODAY(),"M")</f>
        <v>37</v>
      </c>
      <c r="R711">
        <f t="shared" si="66"/>
        <v>26569.699999999997</v>
      </c>
      <c r="S711">
        <f>+banking_loan_data[[#This Row],[Loan Amount]]+banking_loan_data[[#This Row],[Interest earned]]</f>
        <v>62474.7</v>
      </c>
      <c r="T711" s="2">
        <f t="shared" si="67"/>
        <v>5313.9400000000023</v>
      </c>
      <c r="U711" s="2">
        <f t="shared" si="68"/>
        <v>0</v>
      </c>
      <c r="V711" s="2" t="str">
        <f>IF(banking_loan_data[[#This Row],[Loan Status]]="FULLY PAID","GOOD",IF(banking_loan_data[[#This Row],[Loan Status]]="CURRENT","ACTIVE","BAD"))</f>
        <v>GOOD</v>
      </c>
      <c r="W71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11" s="3">
        <f t="shared" si="69"/>
        <v>44282.833333333336</v>
      </c>
      <c r="Y711" s="4">
        <f t="shared" si="70"/>
        <v>0.14800000000000008</v>
      </c>
      <c r="Z711" s="2" t="str">
        <f t="shared" si="71"/>
        <v>Normal</v>
      </c>
    </row>
    <row r="712" spans="1:26" x14ac:dyDescent="0.3">
      <c r="A712" t="s">
        <v>1466</v>
      </c>
      <c r="B712" s="1">
        <v>45095</v>
      </c>
      <c r="C712" t="s">
        <v>1467</v>
      </c>
      <c r="D712" t="s">
        <v>40</v>
      </c>
      <c r="E712">
        <v>21829</v>
      </c>
      <c r="F712">
        <v>15.4</v>
      </c>
      <c r="G712">
        <v>60</v>
      </c>
      <c r="H712" t="s">
        <v>26</v>
      </c>
      <c r="I712" t="s">
        <v>20</v>
      </c>
      <c r="J712" t="s">
        <v>21</v>
      </c>
      <c r="K712">
        <v>104795</v>
      </c>
      <c r="L712" t="s">
        <v>22</v>
      </c>
      <c r="M712">
        <v>0.13</v>
      </c>
      <c r="N712">
        <v>0.72</v>
      </c>
      <c r="O712">
        <v>7441.09</v>
      </c>
      <c r="P712">
        <v>0</v>
      </c>
      <c r="Q712">
        <f ca="1">DATEDIF(banking_loan_data[[#This Row],[Issue Date]],TODAY(),"M")</f>
        <v>33</v>
      </c>
      <c r="R712">
        <f t="shared" si="66"/>
        <v>16808.330000000002</v>
      </c>
      <c r="S712">
        <f>+banking_loan_data[[#This Row],[Loan Amount]]+banking_loan_data[[#This Row],[Interest earned]]</f>
        <v>38637.33</v>
      </c>
      <c r="T712" s="2">
        <f t="shared" si="67"/>
        <v>-14387.91</v>
      </c>
      <c r="U712" s="2">
        <f t="shared" si="68"/>
        <v>0</v>
      </c>
      <c r="V712" s="2" t="str">
        <f>IF(banking_loan_data[[#This Row],[Loan Status]]="FULLY PAID","GOOD",IF(banking_loan_data[[#This Row],[Loan Status]]="CURRENT","ACTIVE","BAD"))</f>
        <v>ACTIVE</v>
      </c>
      <c r="W71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12" s="3">
        <f t="shared" si="69"/>
        <v>28013.883333333335</v>
      </c>
      <c r="Y712" s="4">
        <f t="shared" si="70"/>
        <v>-0.65911906179852486</v>
      </c>
      <c r="Z712" s="2" t="str">
        <f t="shared" si="71"/>
        <v>Normal</v>
      </c>
    </row>
    <row r="713" spans="1:26" x14ac:dyDescent="0.3">
      <c r="A713" t="s">
        <v>1468</v>
      </c>
      <c r="B713" s="1">
        <v>44439</v>
      </c>
      <c r="C713" t="s">
        <v>1469</v>
      </c>
      <c r="D713" t="s">
        <v>18</v>
      </c>
      <c r="E713">
        <v>35054</v>
      </c>
      <c r="F713">
        <v>16.3</v>
      </c>
      <c r="G713">
        <v>36</v>
      </c>
      <c r="H713" t="s">
        <v>26</v>
      </c>
      <c r="I713" t="s">
        <v>27</v>
      </c>
      <c r="J713" t="s">
        <v>21</v>
      </c>
      <c r="K713">
        <v>65554</v>
      </c>
      <c r="L713" t="s">
        <v>33</v>
      </c>
      <c r="M713">
        <v>0.43</v>
      </c>
      <c r="N713">
        <v>0.74</v>
      </c>
      <c r="O713">
        <v>10355.42</v>
      </c>
      <c r="P713">
        <v>0</v>
      </c>
      <c r="Q713">
        <f ca="1">DATEDIF(banking_loan_data[[#This Row],[Issue Date]],TODAY(),"M")</f>
        <v>54</v>
      </c>
      <c r="R713">
        <f t="shared" si="66"/>
        <v>17141.406000000003</v>
      </c>
      <c r="S713">
        <f>+banking_loan_data[[#This Row],[Loan Amount]]+banking_loan_data[[#This Row],[Interest earned]]</f>
        <v>52195.406000000003</v>
      </c>
      <c r="T713" s="2">
        <f t="shared" si="67"/>
        <v>-24698.58</v>
      </c>
      <c r="U713" s="2">
        <f t="shared" si="68"/>
        <v>0</v>
      </c>
      <c r="V713" s="2" t="str">
        <f>IF(banking_loan_data[[#This Row],[Loan Status]]="FULLY PAID","GOOD",IF(banking_loan_data[[#This Row],[Loan Status]]="CURRENT","ACTIVE","BAD"))</f>
        <v>ACTIVE</v>
      </c>
      <c r="W71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13" s="3">
        <f t="shared" si="69"/>
        <v>47615.016666668504</v>
      </c>
      <c r="Y713" s="4">
        <f t="shared" si="70"/>
        <v>-0.7045866377588863</v>
      </c>
      <c r="Z713" s="2" t="str">
        <f t="shared" si="71"/>
        <v>High Risk</v>
      </c>
    </row>
    <row r="714" spans="1:26" x14ac:dyDescent="0.3">
      <c r="A714" t="s">
        <v>1470</v>
      </c>
      <c r="B714" s="1">
        <v>44739</v>
      </c>
      <c r="C714" t="s">
        <v>1471</v>
      </c>
      <c r="D714" t="s">
        <v>56</v>
      </c>
      <c r="E714">
        <v>30734</v>
      </c>
      <c r="F714">
        <v>13.8</v>
      </c>
      <c r="G714">
        <v>36</v>
      </c>
      <c r="H714" t="s">
        <v>26</v>
      </c>
      <c r="I714" t="s">
        <v>27</v>
      </c>
      <c r="J714" t="s">
        <v>28</v>
      </c>
      <c r="K714">
        <v>76922</v>
      </c>
      <c r="L714" t="s">
        <v>29</v>
      </c>
      <c r="M714">
        <v>0.17</v>
      </c>
      <c r="N714">
        <v>0.8</v>
      </c>
      <c r="O714">
        <v>2244.9</v>
      </c>
      <c r="P714">
        <v>0</v>
      </c>
      <c r="Q714">
        <f ca="1">DATEDIF(banking_loan_data[[#This Row],[Issue Date]],TODAY(),"M")</f>
        <v>44</v>
      </c>
      <c r="R714">
        <f t="shared" si="66"/>
        <v>12723.876000000002</v>
      </c>
      <c r="S714">
        <f>+banking_loan_data[[#This Row],[Loan Amount]]+banking_loan_data[[#This Row],[Interest earned]]</f>
        <v>43457.876000000004</v>
      </c>
      <c r="T714" s="2">
        <f t="shared" si="67"/>
        <v>-28489.1</v>
      </c>
      <c r="U714" s="2">
        <f t="shared" si="68"/>
        <v>0</v>
      </c>
      <c r="V714" s="2" t="str">
        <f>IF(banking_loan_data[[#This Row],[Loan Status]]="FULLY PAID","GOOD",IF(banking_loan_data[[#This Row],[Loan Status]]="CURRENT","ACTIVE","BAD"))</f>
        <v>ACTIVE</v>
      </c>
      <c r="W71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14" s="3">
        <f t="shared" si="69"/>
        <v>35344.100000038074</v>
      </c>
      <c r="Y714" s="4">
        <f t="shared" si="70"/>
        <v>-0.9269571158977028</v>
      </c>
      <c r="Z714" s="2" t="str">
        <f t="shared" si="71"/>
        <v>Normal</v>
      </c>
    </row>
    <row r="715" spans="1:26" x14ac:dyDescent="0.3">
      <c r="A715" t="s">
        <v>1472</v>
      </c>
      <c r="B715" s="1">
        <v>45260</v>
      </c>
      <c r="C715" t="s">
        <v>1473</v>
      </c>
      <c r="D715" t="s">
        <v>18</v>
      </c>
      <c r="E715">
        <v>8052</v>
      </c>
      <c r="F715">
        <v>17.100000000000001</v>
      </c>
      <c r="G715">
        <v>60</v>
      </c>
      <c r="H715" t="s">
        <v>19</v>
      </c>
      <c r="I715" t="s">
        <v>73</v>
      </c>
      <c r="J715" t="s">
        <v>21</v>
      </c>
      <c r="K715">
        <v>43409</v>
      </c>
      <c r="L715" t="s">
        <v>33</v>
      </c>
      <c r="M715">
        <v>0.39</v>
      </c>
      <c r="N715">
        <v>0.62</v>
      </c>
      <c r="O715">
        <v>9428.89</v>
      </c>
      <c r="P715">
        <v>0</v>
      </c>
      <c r="Q715">
        <f ca="1">DATEDIF(banking_loan_data[[#This Row],[Issue Date]],TODAY(),"M")</f>
        <v>27</v>
      </c>
      <c r="R715">
        <f t="shared" si="66"/>
        <v>6884.46</v>
      </c>
      <c r="S715">
        <f>+banking_loan_data[[#This Row],[Loan Amount]]+banking_loan_data[[#This Row],[Interest earned]]</f>
        <v>14936.46</v>
      </c>
      <c r="T715" s="2">
        <f t="shared" si="67"/>
        <v>1376.8899999999994</v>
      </c>
      <c r="U715" s="2">
        <f t="shared" si="68"/>
        <v>0</v>
      </c>
      <c r="V715" s="2" t="str">
        <f>IF(banking_loan_data[[#This Row],[Loan Status]]="FULLY PAID","GOOD",IF(banking_loan_data[[#This Row],[Loan Status]]="CURRENT","ACTIVE","BAD"))</f>
        <v>GOOD</v>
      </c>
      <c r="W71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15" s="3">
        <f t="shared" si="69"/>
        <v>11474.1</v>
      </c>
      <c r="Y715" s="4">
        <f t="shared" si="70"/>
        <v>0.17099975161450565</v>
      </c>
      <c r="Z715" s="2" t="str">
        <f t="shared" si="71"/>
        <v>Normal</v>
      </c>
    </row>
    <row r="716" spans="1:26" x14ac:dyDescent="0.3">
      <c r="A716" t="s">
        <v>1474</v>
      </c>
      <c r="B716" s="1">
        <v>44425</v>
      </c>
      <c r="C716" t="s">
        <v>1475</v>
      </c>
      <c r="D716" t="s">
        <v>76</v>
      </c>
      <c r="E716">
        <v>4654</v>
      </c>
      <c r="F716">
        <v>23.4</v>
      </c>
      <c r="G716">
        <v>36</v>
      </c>
      <c r="H716" t="s">
        <v>19</v>
      </c>
      <c r="I716" t="s">
        <v>36</v>
      </c>
      <c r="J716" t="s">
        <v>47</v>
      </c>
      <c r="K716">
        <v>99327</v>
      </c>
      <c r="L716" t="s">
        <v>22</v>
      </c>
      <c r="M716">
        <v>0.41</v>
      </c>
      <c r="N716">
        <v>0.91</v>
      </c>
      <c r="O716">
        <v>5743.04</v>
      </c>
      <c r="P716">
        <v>0</v>
      </c>
      <c r="Q716">
        <f ca="1">DATEDIF(banking_loan_data[[#This Row],[Issue Date]],TODAY(),"M")</f>
        <v>55</v>
      </c>
      <c r="R716">
        <f t="shared" si="66"/>
        <v>3267.1079999999997</v>
      </c>
      <c r="S716">
        <f>+banking_loan_data[[#This Row],[Loan Amount]]+banking_loan_data[[#This Row],[Interest earned]]</f>
        <v>7921.1080000000002</v>
      </c>
      <c r="T716" s="2">
        <f t="shared" si="67"/>
        <v>1089.04</v>
      </c>
      <c r="U716" s="2">
        <f t="shared" si="68"/>
        <v>0</v>
      </c>
      <c r="V716" s="2" t="str">
        <f>IF(banking_loan_data[[#This Row],[Loan Status]]="FULLY PAID","GOOD",IF(banking_loan_data[[#This Row],[Loan Status]]="CURRENT","ACTIVE","BAD"))</f>
        <v>GOOD</v>
      </c>
      <c r="W71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16" s="3">
        <f t="shared" si="69"/>
        <v>9075.2999999999993</v>
      </c>
      <c r="Y716" s="4">
        <f t="shared" si="70"/>
        <v>0.2340008594757198</v>
      </c>
      <c r="Z716" s="2" t="str">
        <f t="shared" si="71"/>
        <v>High Risk</v>
      </c>
    </row>
    <row r="717" spans="1:26" x14ac:dyDescent="0.3">
      <c r="A717" t="s">
        <v>1476</v>
      </c>
      <c r="B717" s="1">
        <v>44744</v>
      </c>
      <c r="C717" t="s">
        <v>1477</v>
      </c>
      <c r="D717" t="s">
        <v>25</v>
      </c>
      <c r="E717">
        <v>24486</v>
      </c>
      <c r="F717">
        <v>12.2</v>
      </c>
      <c r="G717">
        <v>60</v>
      </c>
      <c r="H717" t="s">
        <v>26</v>
      </c>
      <c r="I717" t="s">
        <v>20</v>
      </c>
      <c r="J717" t="s">
        <v>32</v>
      </c>
      <c r="K717">
        <v>121400</v>
      </c>
      <c r="L717" t="s">
        <v>33</v>
      </c>
      <c r="M717">
        <v>0.39</v>
      </c>
      <c r="N717">
        <v>0.7</v>
      </c>
      <c r="O717">
        <v>9438.77</v>
      </c>
      <c r="P717">
        <v>0</v>
      </c>
      <c r="Q717">
        <f ca="1">DATEDIF(banking_loan_data[[#This Row],[Issue Date]],TODAY(),"M")</f>
        <v>44</v>
      </c>
      <c r="R717">
        <f t="shared" si="66"/>
        <v>14936.46</v>
      </c>
      <c r="S717">
        <f>+banking_loan_data[[#This Row],[Loan Amount]]+banking_loan_data[[#This Row],[Interest earned]]</f>
        <v>39422.46</v>
      </c>
      <c r="T717" s="2">
        <f t="shared" si="67"/>
        <v>-15047.23</v>
      </c>
      <c r="U717" s="2">
        <f t="shared" si="68"/>
        <v>0</v>
      </c>
      <c r="V717" s="2" t="str">
        <f>IF(banking_loan_data[[#This Row],[Loan Status]]="FULLY PAID","GOOD",IF(banking_loan_data[[#This Row],[Loan Status]]="CURRENT","ACTIVE","BAD"))</f>
        <v>ACTIVE</v>
      </c>
      <c r="W71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17" s="3">
        <f t="shared" si="69"/>
        <v>24894.1</v>
      </c>
      <c r="Y717" s="4">
        <f t="shared" si="70"/>
        <v>-0.61452380952380947</v>
      </c>
      <c r="Z717" s="2" t="str">
        <f t="shared" si="71"/>
        <v>Normal</v>
      </c>
    </row>
    <row r="718" spans="1:26" x14ac:dyDescent="0.3">
      <c r="A718" t="s">
        <v>1478</v>
      </c>
      <c r="B718" s="1">
        <v>45116</v>
      </c>
      <c r="C718" t="s">
        <v>1479</v>
      </c>
      <c r="D718" t="s">
        <v>53</v>
      </c>
      <c r="E718">
        <v>19743</v>
      </c>
      <c r="F718">
        <v>19.5</v>
      </c>
      <c r="G718">
        <v>60</v>
      </c>
      <c r="H718" t="s">
        <v>26</v>
      </c>
      <c r="I718" t="s">
        <v>20</v>
      </c>
      <c r="J718" t="s">
        <v>21</v>
      </c>
      <c r="K718">
        <v>66639</v>
      </c>
      <c r="L718" t="s">
        <v>33</v>
      </c>
      <c r="M718">
        <v>0.33</v>
      </c>
      <c r="N718">
        <v>0.56000000000000005</v>
      </c>
      <c r="O718">
        <v>5476.7</v>
      </c>
      <c r="P718">
        <v>0</v>
      </c>
      <c r="Q718">
        <f ca="1">DATEDIF(banking_loan_data[[#This Row],[Issue Date]],TODAY(),"M")</f>
        <v>32</v>
      </c>
      <c r="R718">
        <f t="shared" si="66"/>
        <v>19249.424999999999</v>
      </c>
      <c r="S718">
        <f>+banking_loan_data[[#This Row],[Loan Amount]]+banking_loan_data[[#This Row],[Interest earned]]</f>
        <v>38992.425000000003</v>
      </c>
      <c r="T718" s="2">
        <f t="shared" si="67"/>
        <v>-14266.3</v>
      </c>
      <c r="U718" s="2">
        <f t="shared" si="68"/>
        <v>0</v>
      </c>
      <c r="V718" s="2" t="str">
        <f>IF(banking_loan_data[[#This Row],[Loan Status]]="FULLY PAID","GOOD",IF(banking_loan_data[[#This Row],[Loan Status]]="CURRENT","ACTIVE","BAD"))</f>
        <v>ACTIVE</v>
      </c>
      <c r="W71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18" s="3">
        <f t="shared" si="69"/>
        <v>32082.375</v>
      </c>
      <c r="Y718" s="4">
        <f t="shared" si="70"/>
        <v>-0.72260041533708141</v>
      </c>
      <c r="Z718" s="2" t="str">
        <f t="shared" si="71"/>
        <v>Normal</v>
      </c>
    </row>
    <row r="719" spans="1:26" x14ac:dyDescent="0.3">
      <c r="A719" t="s">
        <v>1480</v>
      </c>
      <c r="B719" s="1">
        <v>44202</v>
      </c>
      <c r="C719" t="s">
        <v>1481</v>
      </c>
      <c r="D719" t="s">
        <v>65</v>
      </c>
      <c r="E719">
        <v>25489</v>
      </c>
      <c r="F719">
        <v>22.9</v>
      </c>
      <c r="G719">
        <v>36</v>
      </c>
      <c r="H719" t="s">
        <v>19</v>
      </c>
      <c r="I719" t="s">
        <v>57</v>
      </c>
      <c r="J719" t="s">
        <v>21</v>
      </c>
      <c r="K719">
        <v>130110</v>
      </c>
      <c r="L719" t="s">
        <v>33</v>
      </c>
      <c r="M719">
        <v>0.11</v>
      </c>
      <c r="N719">
        <v>0.83</v>
      </c>
      <c r="O719">
        <v>31325.98</v>
      </c>
      <c r="P719">
        <v>0</v>
      </c>
      <c r="Q719">
        <f ca="1">DATEDIF(banking_loan_data[[#This Row],[Issue Date]],TODAY(),"M")</f>
        <v>62</v>
      </c>
      <c r="R719">
        <f t="shared" si="66"/>
        <v>17510.942999999999</v>
      </c>
      <c r="S719">
        <f>+banking_loan_data[[#This Row],[Loan Amount]]+banking_loan_data[[#This Row],[Interest earned]]</f>
        <v>42999.942999999999</v>
      </c>
      <c r="T719" s="2">
        <f t="shared" si="67"/>
        <v>5836.98</v>
      </c>
      <c r="U719" s="2">
        <f t="shared" si="68"/>
        <v>0</v>
      </c>
      <c r="V719" s="2" t="str">
        <f>IF(banking_loan_data[[#This Row],[Loan Status]]="FULLY PAID","GOOD",IF(banking_loan_data[[#This Row],[Loan Status]]="CURRENT","ACTIVE","BAD"))</f>
        <v>GOOD</v>
      </c>
      <c r="W71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19" s="3">
        <f t="shared" si="69"/>
        <v>48641.508333333331</v>
      </c>
      <c r="Y719" s="4">
        <f t="shared" si="70"/>
        <v>0.22899996076738985</v>
      </c>
      <c r="Z719" s="2" t="str">
        <f t="shared" si="71"/>
        <v>High Risk</v>
      </c>
    </row>
    <row r="720" spans="1:26" x14ac:dyDescent="0.3">
      <c r="A720" t="s">
        <v>1482</v>
      </c>
      <c r="B720" s="1">
        <v>44664</v>
      </c>
      <c r="C720" t="s">
        <v>1483</v>
      </c>
      <c r="D720" t="s">
        <v>72</v>
      </c>
      <c r="E720">
        <v>9636</v>
      </c>
      <c r="F720">
        <v>14.1</v>
      </c>
      <c r="G720">
        <v>60</v>
      </c>
      <c r="H720" t="s">
        <v>19</v>
      </c>
      <c r="I720" t="s">
        <v>20</v>
      </c>
      <c r="J720" t="s">
        <v>32</v>
      </c>
      <c r="K720">
        <v>93627</v>
      </c>
      <c r="L720" t="s">
        <v>33</v>
      </c>
      <c r="M720">
        <v>0.24</v>
      </c>
      <c r="N720">
        <v>0.79</v>
      </c>
      <c r="O720">
        <v>10994.68</v>
      </c>
      <c r="P720">
        <v>0</v>
      </c>
      <c r="Q720">
        <f ca="1">DATEDIF(banking_loan_data[[#This Row],[Issue Date]],TODAY(),"M")</f>
        <v>47</v>
      </c>
      <c r="R720">
        <f t="shared" si="66"/>
        <v>6793.380000000001</v>
      </c>
      <c r="S720">
        <f>+banking_loan_data[[#This Row],[Loan Amount]]+banking_loan_data[[#This Row],[Interest earned]]</f>
        <v>16429.38</v>
      </c>
      <c r="T720" s="2">
        <f t="shared" si="67"/>
        <v>1358.6800000000003</v>
      </c>
      <c r="U720" s="2">
        <f t="shared" si="68"/>
        <v>0</v>
      </c>
      <c r="V720" s="2" t="str">
        <f>IF(banking_loan_data[[#This Row],[Loan Status]]="FULLY PAID","GOOD",IF(banking_loan_data[[#This Row],[Loan Status]]="CURRENT","ACTIVE","BAD"))</f>
        <v>GOOD</v>
      </c>
      <c r="W72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20" s="3">
        <f t="shared" si="69"/>
        <v>11322.300000000001</v>
      </c>
      <c r="Y720" s="4">
        <f t="shared" si="70"/>
        <v>0.14100041511000419</v>
      </c>
      <c r="Z720" s="2" t="str">
        <f t="shared" si="71"/>
        <v>Normal</v>
      </c>
    </row>
    <row r="721" spans="1:26" x14ac:dyDescent="0.3">
      <c r="A721" t="s">
        <v>1484</v>
      </c>
      <c r="B721" s="1">
        <v>44271</v>
      </c>
      <c r="C721" t="s">
        <v>1485</v>
      </c>
      <c r="D721" t="s">
        <v>65</v>
      </c>
      <c r="E721">
        <v>7441</v>
      </c>
      <c r="F721">
        <v>13.9</v>
      </c>
      <c r="G721">
        <v>60</v>
      </c>
      <c r="H721" t="s">
        <v>19</v>
      </c>
      <c r="I721" t="s">
        <v>73</v>
      </c>
      <c r="J721" t="s">
        <v>47</v>
      </c>
      <c r="K721">
        <v>113424</v>
      </c>
      <c r="L721" t="s">
        <v>22</v>
      </c>
      <c r="M721">
        <v>0.34</v>
      </c>
      <c r="N721">
        <v>0.64</v>
      </c>
      <c r="O721">
        <v>8475.2999999999993</v>
      </c>
      <c r="P721">
        <v>0</v>
      </c>
      <c r="Q721">
        <f ca="1">DATEDIF(banking_loan_data[[#This Row],[Issue Date]],TODAY(),"M")</f>
        <v>60</v>
      </c>
      <c r="R721">
        <f t="shared" si="66"/>
        <v>5171.4949999999999</v>
      </c>
      <c r="S721">
        <f>+banking_loan_data[[#This Row],[Loan Amount]]+banking_loan_data[[#This Row],[Interest earned]]</f>
        <v>12612.494999999999</v>
      </c>
      <c r="T721" s="2">
        <f t="shared" si="67"/>
        <v>1034.2999999999993</v>
      </c>
      <c r="U721" s="2">
        <f t="shared" si="68"/>
        <v>0</v>
      </c>
      <c r="V721" s="2" t="str">
        <f>IF(banking_loan_data[[#This Row],[Loan Status]]="FULLY PAID","GOOD",IF(banking_loan_data[[#This Row],[Loan Status]]="CURRENT","ACTIVE","BAD"))</f>
        <v>GOOD</v>
      </c>
      <c r="W72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21" s="3">
        <f t="shared" si="69"/>
        <v>8619.1583333333347</v>
      </c>
      <c r="Y721" s="4">
        <f t="shared" si="70"/>
        <v>0.13900013439053882</v>
      </c>
      <c r="Z721" s="2" t="str">
        <f t="shared" si="71"/>
        <v>Normal</v>
      </c>
    </row>
    <row r="722" spans="1:26" x14ac:dyDescent="0.3">
      <c r="A722" t="s">
        <v>1486</v>
      </c>
      <c r="B722" s="1">
        <v>44200</v>
      </c>
      <c r="C722" t="s">
        <v>1487</v>
      </c>
      <c r="D722" t="s">
        <v>65</v>
      </c>
      <c r="E722">
        <v>25611</v>
      </c>
      <c r="F722">
        <v>17</v>
      </c>
      <c r="G722">
        <v>36</v>
      </c>
      <c r="H722" t="s">
        <v>315</v>
      </c>
      <c r="I722" t="s">
        <v>57</v>
      </c>
      <c r="J722" t="s">
        <v>28</v>
      </c>
      <c r="K722">
        <v>49692</v>
      </c>
      <c r="L722" t="s">
        <v>29</v>
      </c>
      <c r="M722">
        <v>0.25</v>
      </c>
      <c r="N722">
        <v>0.78</v>
      </c>
      <c r="O722">
        <v>0</v>
      </c>
      <c r="P722">
        <v>0</v>
      </c>
      <c r="Q722">
        <f ca="1">DATEDIF(banking_loan_data[[#This Row],[Issue Date]],TODAY(),"M")</f>
        <v>62</v>
      </c>
      <c r="R722">
        <f t="shared" si="66"/>
        <v>13061.61</v>
      </c>
      <c r="S722">
        <f>+banking_loan_data[[#This Row],[Loan Amount]]+banking_loan_data[[#This Row],[Interest earned]]</f>
        <v>38672.61</v>
      </c>
      <c r="T722" s="2">
        <f t="shared" si="67"/>
        <v>-25611</v>
      </c>
      <c r="U722" s="2">
        <f t="shared" si="68"/>
        <v>0</v>
      </c>
      <c r="V722" s="2" t="str">
        <f>IF(banking_loan_data[[#This Row],[Loan Status]]="FULLY PAID","GOOD",IF(banking_loan_data[[#This Row],[Loan Status]]="CURRENT","ACTIVE","BAD"))</f>
        <v>BAD</v>
      </c>
      <c r="W72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22" s="3">
        <f t="shared" si="69"/>
        <v>36282.250000000582</v>
      </c>
      <c r="Y722" s="4">
        <f t="shared" si="70"/>
        <v>-1</v>
      </c>
      <c r="Z722" s="2" t="str">
        <f t="shared" si="71"/>
        <v>Normal</v>
      </c>
    </row>
    <row r="723" spans="1:26" x14ac:dyDescent="0.3">
      <c r="A723" t="s">
        <v>1488</v>
      </c>
      <c r="B723" s="1">
        <v>44842</v>
      </c>
      <c r="C723" t="s">
        <v>1489</v>
      </c>
      <c r="D723" t="s">
        <v>46</v>
      </c>
      <c r="E723">
        <v>13149</v>
      </c>
      <c r="F723">
        <v>16.8</v>
      </c>
      <c r="G723">
        <v>36</v>
      </c>
      <c r="H723" t="s">
        <v>26</v>
      </c>
      <c r="I723" t="s">
        <v>57</v>
      </c>
      <c r="J723" t="s">
        <v>21</v>
      </c>
      <c r="K723">
        <v>119037</v>
      </c>
      <c r="L723" t="s">
        <v>29</v>
      </c>
      <c r="M723">
        <v>0.45</v>
      </c>
      <c r="N723">
        <v>0.6</v>
      </c>
      <c r="O723">
        <v>4489.9799999999996</v>
      </c>
      <c r="P723">
        <v>0</v>
      </c>
      <c r="Q723">
        <f ca="1">DATEDIF(banking_loan_data[[#This Row],[Issue Date]],TODAY(),"M")</f>
        <v>41</v>
      </c>
      <c r="R723">
        <f t="shared" si="66"/>
        <v>6627.0960000000005</v>
      </c>
      <c r="S723">
        <f>+banking_loan_data[[#This Row],[Loan Amount]]+banking_loan_data[[#This Row],[Interest earned]]</f>
        <v>19776.096000000001</v>
      </c>
      <c r="T723" s="2">
        <f t="shared" si="67"/>
        <v>-8659.02</v>
      </c>
      <c r="U723" s="2">
        <f t="shared" si="68"/>
        <v>0</v>
      </c>
      <c r="V723" s="2" t="str">
        <f>IF(banking_loan_data[[#This Row],[Loan Status]]="FULLY PAID","GOOD",IF(banking_loan_data[[#This Row],[Loan Status]]="CURRENT","ACTIVE","BAD"))</f>
        <v>ACTIVE</v>
      </c>
      <c r="W72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23" s="3">
        <f t="shared" si="69"/>
        <v>18408.600000000377</v>
      </c>
      <c r="Y723" s="4">
        <f t="shared" si="70"/>
        <v>-0.65853068674423909</v>
      </c>
      <c r="Z723" s="2" t="str">
        <f t="shared" si="71"/>
        <v>High Risk</v>
      </c>
    </row>
    <row r="724" spans="1:26" x14ac:dyDescent="0.3">
      <c r="A724" t="s">
        <v>1490</v>
      </c>
      <c r="B724" s="1">
        <v>44314</v>
      </c>
      <c r="C724" t="s">
        <v>1491</v>
      </c>
      <c r="D724" t="s">
        <v>53</v>
      </c>
      <c r="E724">
        <v>35566</v>
      </c>
      <c r="F724">
        <v>21.1</v>
      </c>
      <c r="G724">
        <v>36</v>
      </c>
      <c r="H724" t="s">
        <v>81</v>
      </c>
      <c r="I724" t="s">
        <v>20</v>
      </c>
      <c r="J724" t="s">
        <v>32</v>
      </c>
      <c r="K724">
        <v>108840</v>
      </c>
      <c r="L724" t="s">
        <v>33</v>
      </c>
      <c r="M724">
        <v>0.22</v>
      </c>
      <c r="N724">
        <v>0.7</v>
      </c>
      <c r="O724">
        <v>8919.67</v>
      </c>
      <c r="P724">
        <v>8978.74</v>
      </c>
      <c r="Q724">
        <f ca="1">DATEDIF(banking_loan_data[[#This Row],[Issue Date]],TODAY(),"M")</f>
        <v>58</v>
      </c>
      <c r="R724">
        <f t="shared" si="66"/>
        <v>22513.278000000006</v>
      </c>
      <c r="S724">
        <f>+banking_loan_data[[#This Row],[Loan Amount]]+banking_loan_data[[#This Row],[Interest earned]]</f>
        <v>58079.278000000006</v>
      </c>
      <c r="T724" s="2">
        <f t="shared" si="67"/>
        <v>-17667.59</v>
      </c>
      <c r="U724" s="2">
        <f t="shared" si="68"/>
        <v>1</v>
      </c>
      <c r="V724" s="2" t="str">
        <f>IF(banking_loan_data[[#This Row],[Loan Status]]="FULLY PAID","GOOD",IF(banking_loan_data[[#This Row],[Loan Status]]="CURRENT","ACTIVE","BAD"))</f>
        <v>BAD</v>
      </c>
      <c r="W72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24" s="3">
        <f t="shared" si="69"/>
        <v>62536.883333333353</v>
      </c>
      <c r="Y724" s="4">
        <f t="shared" si="70"/>
        <v>-0.49675504695495698</v>
      </c>
      <c r="Z724" s="2" t="str">
        <f t="shared" si="71"/>
        <v>Normal</v>
      </c>
    </row>
    <row r="725" spans="1:26" x14ac:dyDescent="0.3">
      <c r="A725" t="s">
        <v>1492</v>
      </c>
      <c r="B725" s="1">
        <v>45077</v>
      </c>
      <c r="C725" t="s">
        <v>1493</v>
      </c>
      <c r="D725" t="s">
        <v>18</v>
      </c>
      <c r="E725">
        <v>22675</v>
      </c>
      <c r="F725">
        <v>14.5</v>
      </c>
      <c r="G725">
        <v>60</v>
      </c>
      <c r="H725" t="s">
        <v>19</v>
      </c>
      <c r="I725" t="s">
        <v>57</v>
      </c>
      <c r="J725" t="s">
        <v>47</v>
      </c>
      <c r="K725">
        <v>84200</v>
      </c>
      <c r="L725" t="s">
        <v>22</v>
      </c>
      <c r="M725">
        <v>0.22</v>
      </c>
      <c r="N725">
        <v>0.9</v>
      </c>
      <c r="O725">
        <v>25962.880000000001</v>
      </c>
      <c r="P725">
        <v>0</v>
      </c>
      <c r="Q725">
        <f ca="1">DATEDIF(banking_loan_data[[#This Row],[Issue Date]],TODAY(),"M")</f>
        <v>33</v>
      </c>
      <c r="R725">
        <f t="shared" si="66"/>
        <v>16439.375</v>
      </c>
      <c r="S725">
        <f>+banking_loan_data[[#This Row],[Loan Amount]]+banking_loan_data[[#This Row],[Interest earned]]</f>
        <v>39114.375</v>
      </c>
      <c r="T725" s="2">
        <f t="shared" si="67"/>
        <v>3287.880000000001</v>
      </c>
      <c r="U725" s="2">
        <f t="shared" si="68"/>
        <v>0</v>
      </c>
      <c r="V725" s="2" t="str">
        <f>IF(banking_loan_data[[#This Row],[Loan Status]]="FULLY PAID","GOOD",IF(banking_loan_data[[#This Row],[Loan Status]]="CURRENT","ACTIVE","BAD"))</f>
        <v>GOOD</v>
      </c>
      <c r="W72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25" s="3">
        <f t="shared" si="69"/>
        <v>27398.958333333332</v>
      </c>
      <c r="Y725" s="4">
        <f t="shared" si="70"/>
        <v>0.14500022050716652</v>
      </c>
      <c r="Z725" s="2" t="str">
        <f t="shared" si="71"/>
        <v>High Risk</v>
      </c>
    </row>
    <row r="726" spans="1:26" x14ac:dyDescent="0.3">
      <c r="A726" t="s">
        <v>1494</v>
      </c>
      <c r="B726" s="1">
        <v>44700</v>
      </c>
      <c r="C726" t="s">
        <v>1495</v>
      </c>
      <c r="D726" t="s">
        <v>46</v>
      </c>
      <c r="E726">
        <v>6495</v>
      </c>
      <c r="F726">
        <v>24.9</v>
      </c>
      <c r="G726">
        <v>36</v>
      </c>
      <c r="H726" t="s">
        <v>60</v>
      </c>
      <c r="I726" t="s">
        <v>73</v>
      </c>
      <c r="J726" t="s">
        <v>37</v>
      </c>
      <c r="K726">
        <v>123063</v>
      </c>
      <c r="L726" t="s">
        <v>22</v>
      </c>
      <c r="M726">
        <v>0.21</v>
      </c>
      <c r="N726">
        <v>0.56000000000000005</v>
      </c>
      <c r="O726">
        <v>0</v>
      </c>
      <c r="P726">
        <v>0</v>
      </c>
      <c r="Q726">
        <f ca="1">DATEDIF(banking_loan_data[[#This Row],[Issue Date]],TODAY(),"M")</f>
        <v>46</v>
      </c>
      <c r="R726">
        <f t="shared" si="66"/>
        <v>4851.7650000000003</v>
      </c>
      <c r="S726">
        <f>+banking_loan_data[[#This Row],[Loan Amount]]+banking_loan_data[[#This Row],[Interest earned]]</f>
        <v>11346.764999999999</v>
      </c>
      <c r="T726" s="2">
        <f t="shared" si="67"/>
        <v>-6495</v>
      </c>
      <c r="U726" s="2">
        <f t="shared" si="68"/>
        <v>0</v>
      </c>
      <c r="V726" s="2" t="str">
        <f>IF(banking_loan_data[[#This Row],[Loan Status]]="FULLY PAID","GOOD",IF(banking_loan_data[[#This Row],[Loan Status]]="CURRENT","ACTIVE","BAD"))</f>
        <v>BAD</v>
      </c>
      <c r="W72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26" s="3">
        <f t="shared" si="69"/>
        <v>13477.124999999998</v>
      </c>
      <c r="Y726" s="4">
        <f t="shared" si="70"/>
        <v>-1</v>
      </c>
      <c r="Z726" s="2" t="str">
        <f t="shared" si="71"/>
        <v>Normal</v>
      </c>
    </row>
    <row r="727" spans="1:26" x14ac:dyDescent="0.3">
      <c r="A727" t="s">
        <v>1496</v>
      </c>
      <c r="B727" s="1">
        <v>45143</v>
      </c>
      <c r="C727" t="s">
        <v>1497</v>
      </c>
      <c r="D727" t="s">
        <v>65</v>
      </c>
      <c r="E727">
        <v>14673</v>
      </c>
      <c r="F727">
        <v>6.2</v>
      </c>
      <c r="G727">
        <v>36</v>
      </c>
      <c r="H727" t="s">
        <v>19</v>
      </c>
      <c r="I727" t="s">
        <v>73</v>
      </c>
      <c r="J727" t="s">
        <v>28</v>
      </c>
      <c r="K727">
        <v>87415</v>
      </c>
      <c r="L727" t="s">
        <v>22</v>
      </c>
      <c r="M727">
        <v>0.23</v>
      </c>
      <c r="N727">
        <v>0.67</v>
      </c>
      <c r="O727">
        <v>15582.73</v>
      </c>
      <c r="P727">
        <v>0</v>
      </c>
      <c r="Q727">
        <f ca="1">DATEDIF(banking_loan_data[[#This Row],[Issue Date]],TODAY(),"M")</f>
        <v>31</v>
      </c>
      <c r="R727">
        <f t="shared" si="66"/>
        <v>2729.1780000000003</v>
      </c>
      <c r="S727">
        <f>+banking_loan_data[[#This Row],[Loan Amount]]+banking_loan_data[[#This Row],[Interest earned]]</f>
        <v>17402.178</v>
      </c>
      <c r="T727" s="2">
        <f t="shared" si="67"/>
        <v>909.72999999999956</v>
      </c>
      <c r="U727" s="2">
        <f t="shared" si="68"/>
        <v>0</v>
      </c>
      <c r="V727" s="2" t="str">
        <f>IF(banking_loan_data[[#This Row],[Loan Status]]="FULLY PAID","GOOD",IF(banking_loan_data[[#This Row],[Loan Status]]="CURRENT","ACTIVE","BAD"))</f>
        <v>GOOD</v>
      </c>
      <c r="W72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27" s="3">
        <f t="shared" si="69"/>
        <v>7581.0523317628831</v>
      </c>
      <c r="Y727" s="4">
        <f t="shared" si="70"/>
        <v>6.2000272609554936E-2</v>
      </c>
      <c r="Z727" s="2" t="str">
        <f t="shared" si="71"/>
        <v>Normal</v>
      </c>
    </row>
    <row r="728" spans="1:26" x14ac:dyDescent="0.3">
      <c r="A728" t="s">
        <v>1498</v>
      </c>
      <c r="B728" s="1">
        <v>44770</v>
      </c>
      <c r="C728" t="s">
        <v>1499</v>
      </c>
      <c r="D728" t="s">
        <v>76</v>
      </c>
      <c r="E728">
        <v>12130</v>
      </c>
      <c r="F728">
        <v>5.0999999999999996</v>
      </c>
      <c r="G728">
        <v>36</v>
      </c>
      <c r="H728" t="s">
        <v>19</v>
      </c>
      <c r="I728" t="s">
        <v>20</v>
      </c>
      <c r="J728" t="s">
        <v>32</v>
      </c>
      <c r="K728">
        <v>48074</v>
      </c>
      <c r="L728" t="s">
        <v>22</v>
      </c>
      <c r="M728">
        <v>0.32</v>
      </c>
      <c r="N728">
        <v>0.87</v>
      </c>
      <c r="O728">
        <v>12748.63</v>
      </c>
      <c r="P728">
        <v>0</v>
      </c>
      <c r="Q728">
        <f ca="1">DATEDIF(banking_loan_data[[#This Row],[Issue Date]],TODAY(),"M")</f>
        <v>43</v>
      </c>
      <c r="R728">
        <f t="shared" si="66"/>
        <v>1855.8899999999996</v>
      </c>
      <c r="S728">
        <f>+banking_loan_data[[#This Row],[Loan Amount]]+banking_loan_data[[#This Row],[Interest earned]]</f>
        <v>13985.89</v>
      </c>
      <c r="T728" s="2">
        <f t="shared" si="67"/>
        <v>618.6299999999992</v>
      </c>
      <c r="U728" s="2">
        <f t="shared" si="68"/>
        <v>0</v>
      </c>
      <c r="V728" s="2" t="str">
        <f>IF(banking_loan_data[[#This Row],[Loan Status]]="FULLY PAID","GOOD",IF(banking_loan_data[[#This Row],[Loan Status]]="CURRENT","ACTIVE","BAD"))</f>
        <v>GOOD</v>
      </c>
      <c r="W72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28" s="3">
        <f t="shared" si="69"/>
        <v>5155.26495945855</v>
      </c>
      <c r="Y728" s="4">
        <f t="shared" si="70"/>
        <v>5.0999999999999934E-2</v>
      </c>
      <c r="Z728" s="2" t="str">
        <f t="shared" si="71"/>
        <v>High Risk</v>
      </c>
    </row>
    <row r="729" spans="1:26" x14ac:dyDescent="0.3">
      <c r="A729" t="s">
        <v>1500</v>
      </c>
      <c r="B729" s="1">
        <v>44390</v>
      </c>
      <c r="C729" t="s">
        <v>1501</v>
      </c>
      <c r="D729" t="s">
        <v>72</v>
      </c>
      <c r="E729">
        <v>23668</v>
      </c>
      <c r="F729">
        <v>17.8</v>
      </c>
      <c r="G729">
        <v>36</v>
      </c>
      <c r="H729" t="s">
        <v>26</v>
      </c>
      <c r="I729" t="s">
        <v>20</v>
      </c>
      <c r="J729" t="s">
        <v>32</v>
      </c>
      <c r="K729">
        <v>45549</v>
      </c>
      <c r="L729" t="s">
        <v>22</v>
      </c>
      <c r="M729">
        <v>0.38</v>
      </c>
      <c r="N729">
        <v>0.94</v>
      </c>
      <c r="O729">
        <v>6421.49</v>
      </c>
      <c r="P729">
        <v>0</v>
      </c>
      <c r="Q729">
        <f ca="1">DATEDIF(banking_loan_data[[#This Row],[Issue Date]],TODAY(),"M")</f>
        <v>56</v>
      </c>
      <c r="R729">
        <f t="shared" si="66"/>
        <v>12638.712000000001</v>
      </c>
      <c r="S729">
        <f>+banking_loan_data[[#This Row],[Loan Amount]]+banking_loan_data[[#This Row],[Interest earned]]</f>
        <v>36306.712</v>
      </c>
      <c r="T729" s="2">
        <f t="shared" si="67"/>
        <v>-17246.510000000002</v>
      </c>
      <c r="U729" s="2">
        <f t="shared" si="68"/>
        <v>0</v>
      </c>
      <c r="V729" s="2" t="str">
        <f>IF(banking_loan_data[[#This Row],[Loan Status]]="FULLY PAID","GOOD",IF(banking_loan_data[[#This Row],[Loan Status]]="CURRENT","ACTIVE","BAD"))</f>
        <v>ACTIVE</v>
      </c>
      <c r="W72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29" s="3">
        <f t="shared" si="69"/>
        <v>35107.533333333544</v>
      </c>
      <c r="Y729" s="4">
        <f t="shared" si="70"/>
        <v>-0.72868472198749379</v>
      </c>
      <c r="Z729" s="2" t="str">
        <f t="shared" si="71"/>
        <v>High Risk</v>
      </c>
    </row>
    <row r="730" spans="1:26" x14ac:dyDescent="0.3">
      <c r="A730" t="s">
        <v>1502</v>
      </c>
      <c r="B730" s="1">
        <v>45043</v>
      </c>
      <c r="C730" t="s">
        <v>1503</v>
      </c>
      <c r="D730" t="s">
        <v>65</v>
      </c>
      <c r="E730">
        <v>16222</v>
      </c>
      <c r="F730">
        <v>11</v>
      </c>
      <c r="G730">
        <v>60</v>
      </c>
      <c r="H730" t="s">
        <v>19</v>
      </c>
      <c r="I730" t="s">
        <v>20</v>
      </c>
      <c r="J730" t="s">
        <v>32</v>
      </c>
      <c r="K730">
        <v>59963</v>
      </c>
      <c r="L730" t="s">
        <v>22</v>
      </c>
      <c r="M730">
        <v>0.37</v>
      </c>
      <c r="N730">
        <v>0.7</v>
      </c>
      <c r="O730">
        <v>18006.419999999998</v>
      </c>
      <c r="P730">
        <v>0</v>
      </c>
      <c r="Q730">
        <f ca="1">DATEDIF(banking_loan_data[[#This Row],[Issue Date]],TODAY(),"M")</f>
        <v>34</v>
      </c>
      <c r="R730">
        <f t="shared" si="66"/>
        <v>8922.1</v>
      </c>
      <c r="S730">
        <f>+banking_loan_data[[#This Row],[Loan Amount]]+banking_loan_data[[#This Row],[Interest earned]]</f>
        <v>25144.1</v>
      </c>
      <c r="T730" s="2">
        <f t="shared" si="67"/>
        <v>1784.4199999999983</v>
      </c>
      <c r="U730" s="2">
        <f t="shared" si="68"/>
        <v>0</v>
      </c>
      <c r="V730" s="2" t="str">
        <f>IF(banking_loan_data[[#This Row],[Loan Status]]="FULLY PAID","GOOD",IF(banking_loan_data[[#This Row],[Loan Status]]="CURRENT","ACTIVE","BAD"))</f>
        <v>GOOD</v>
      </c>
      <c r="W73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30" s="3">
        <f t="shared" si="69"/>
        <v>14870.166666666666</v>
      </c>
      <c r="Y730" s="4">
        <f t="shared" si="70"/>
        <v>0.10999999999999989</v>
      </c>
      <c r="Z730" s="2" t="str">
        <f t="shared" si="71"/>
        <v>Normal</v>
      </c>
    </row>
    <row r="731" spans="1:26" x14ac:dyDescent="0.3">
      <c r="A731" t="s">
        <v>1504</v>
      </c>
      <c r="B731" s="1">
        <v>44911</v>
      </c>
      <c r="C731" t="s">
        <v>1505</v>
      </c>
      <c r="D731" t="s">
        <v>40</v>
      </c>
      <c r="E731">
        <v>24669</v>
      </c>
      <c r="F731">
        <v>9.8000000000000007</v>
      </c>
      <c r="G731">
        <v>60</v>
      </c>
      <c r="H731" t="s">
        <v>19</v>
      </c>
      <c r="I731" t="s">
        <v>20</v>
      </c>
      <c r="J731" t="s">
        <v>21</v>
      </c>
      <c r="K731">
        <v>121456</v>
      </c>
      <c r="L731" t="s">
        <v>33</v>
      </c>
      <c r="M731">
        <v>0.42</v>
      </c>
      <c r="N731">
        <v>0.73</v>
      </c>
      <c r="O731">
        <v>27086.560000000001</v>
      </c>
      <c r="P731">
        <v>0</v>
      </c>
      <c r="Q731">
        <f ca="1">DATEDIF(banking_loan_data[[#This Row],[Issue Date]],TODAY(),"M")</f>
        <v>39</v>
      </c>
      <c r="R731">
        <f t="shared" si="66"/>
        <v>12087.81</v>
      </c>
      <c r="S731">
        <f>+banking_loan_data[[#This Row],[Loan Amount]]+banking_loan_data[[#This Row],[Interest earned]]</f>
        <v>36756.81</v>
      </c>
      <c r="T731" s="2">
        <f t="shared" si="67"/>
        <v>2417.5600000000013</v>
      </c>
      <c r="U731" s="2">
        <f t="shared" si="68"/>
        <v>0</v>
      </c>
      <c r="V731" s="2" t="str">
        <f>IF(banking_loan_data[[#This Row],[Loan Status]]="FULLY PAID","GOOD",IF(banking_loan_data[[#This Row],[Loan Status]]="CURRENT","ACTIVE","BAD"))</f>
        <v>GOOD</v>
      </c>
      <c r="W73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31" s="3">
        <f t="shared" si="69"/>
        <v>20146.350000000009</v>
      </c>
      <c r="Y731" s="4">
        <f t="shared" si="70"/>
        <v>9.7999918926588075E-2</v>
      </c>
      <c r="Z731" s="2" t="str">
        <f t="shared" si="71"/>
        <v>High Risk</v>
      </c>
    </row>
    <row r="732" spans="1:26" x14ac:dyDescent="0.3">
      <c r="A732" t="s">
        <v>1506</v>
      </c>
      <c r="B732" s="1">
        <v>45246</v>
      </c>
      <c r="C732" t="s">
        <v>1507</v>
      </c>
      <c r="D732" t="s">
        <v>53</v>
      </c>
      <c r="E732">
        <v>35068</v>
      </c>
      <c r="F732">
        <v>11.2</v>
      </c>
      <c r="G732">
        <v>36</v>
      </c>
      <c r="H732" t="s">
        <v>19</v>
      </c>
      <c r="I732" t="s">
        <v>84</v>
      </c>
      <c r="J732" t="s">
        <v>37</v>
      </c>
      <c r="K732">
        <v>126362</v>
      </c>
      <c r="L732" t="s">
        <v>29</v>
      </c>
      <c r="M732">
        <v>0.45</v>
      </c>
      <c r="N732">
        <v>0.76</v>
      </c>
      <c r="O732">
        <v>38995.620000000003</v>
      </c>
      <c r="P732">
        <v>0</v>
      </c>
      <c r="Q732">
        <f ca="1">DATEDIF(banking_loan_data[[#This Row],[Issue Date]],TODAY(),"M")</f>
        <v>28</v>
      </c>
      <c r="R732">
        <f t="shared" si="66"/>
        <v>11782.848</v>
      </c>
      <c r="S732">
        <f>+banking_loan_data[[#This Row],[Loan Amount]]+banking_loan_data[[#This Row],[Interest earned]]</f>
        <v>46850.847999999998</v>
      </c>
      <c r="T732" s="2">
        <f t="shared" si="67"/>
        <v>3927.6200000000026</v>
      </c>
      <c r="U732" s="2">
        <f t="shared" si="68"/>
        <v>0</v>
      </c>
      <c r="V732" s="2" t="str">
        <f>IF(banking_loan_data[[#This Row],[Loan Status]]="FULLY PAID","GOOD",IF(banking_loan_data[[#This Row],[Loan Status]]="CURRENT","ACTIVE","BAD"))</f>
        <v>GOOD</v>
      </c>
      <c r="W73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32" s="3">
        <f t="shared" si="69"/>
        <v>32730.133334947335</v>
      </c>
      <c r="Y732" s="4">
        <f t="shared" si="70"/>
        <v>0.11200011406410409</v>
      </c>
      <c r="Z732" s="2" t="str">
        <f t="shared" si="71"/>
        <v>High Risk</v>
      </c>
    </row>
    <row r="733" spans="1:26" x14ac:dyDescent="0.3">
      <c r="A733" t="s">
        <v>1508</v>
      </c>
      <c r="B733" s="1">
        <v>44369</v>
      </c>
      <c r="C733" t="s">
        <v>1509</v>
      </c>
      <c r="D733" t="s">
        <v>53</v>
      </c>
      <c r="E733">
        <v>24253</v>
      </c>
      <c r="F733">
        <v>10.1</v>
      </c>
      <c r="G733">
        <v>60</v>
      </c>
      <c r="H733" t="s">
        <v>19</v>
      </c>
      <c r="I733" t="s">
        <v>20</v>
      </c>
      <c r="J733" t="s">
        <v>28</v>
      </c>
      <c r="K733">
        <v>131607</v>
      </c>
      <c r="L733" t="s">
        <v>29</v>
      </c>
      <c r="M733">
        <v>0.43</v>
      </c>
      <c r="N733">
        <v>0.92</v>
      </c>
      <c r="O733">
        <v>26702.55</v>
      </c>
      <c r="P733">
        <v>0</v>
      </c>
      <c r="Q733">
        <f ca="1">DATEDIF(banking_loan_data[[#This Row],[Issue Date]],TODAY(),"M")</f>
        <v>56</v>
      </c>
      <c r="R733">
        <f t="shared" si="66"/>
        <v>12247.764999999999</v>
      </c>
      <c r="S733">
        <f>+banking_loan_data[[#This Row],[Loan Amount]]+banking_loan_data[[#This Row],[Interest earned]]</f>
        <v>36500.764999999999</v>
      </c>
      <c r="T733" s="2">
        <f t="shared" si="67"/>
        <v>2449.5499999999993</v>
      </c>
      <c r="U733" s="2">
        <f t="shared" si="68"/>
        <v>0</v>
      </c>
      <c r="V733" s="2" t="str">
        <f>IF(banking_loan_data[[#This Row],[Loan Status]]="FULLY PAID","GOOD",IF(banking_loan_data[[#This Row],[Loan Status]]="CURRENT","ACTIVE","BAD"))</f>
        <v>GOOD</v>
      </c>
      <c r="W73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33" s="3">
        <f t="shared" si="69"/>
        <v>20412.941666666669</v>
      </c>
      <c r="Y733" s="4">
        <f t="shared" si="70"/>
        <v>0.10099987630396237</v>
      </c>
      <c r="Z733" s="2" t="str">
        <f t="shared" si="71"/>
        <v>High Risk</v>
      </c>
    </row>
    <row r="734" spans="1:26" x14ac:dyDescent="0.3">
      <c r="A734" t="s">
        <v>1510</v>
      </c>
      <c r="B734" s="1">
        <v>44522</v>
      </c>
      <c r="C734" t="s">
        <v>1511</v>
      </c>
      <c r="D734" t="s">
        <v>53</v>
      </c>
      <c r="E734">
        <v>10435</v>
      </c>
      <c r="F734">
        <v>5.6</v>
      </c>
      <c r="G734">
        <v>36</v>
      </c>
      <c r="H734" t="s">
        <v>26</v>
      </c>
      <c r="I734" t="s">
        <v>27</v>
      </c>
      <c r="J734" t="s">
        <v>47</v>
      </c>
      <c r="K734">
        <v>82265</v>
      </c>
      <c r="L734" t="s">
        <v>33</v>
      </c>
      <c r="M734">
        <v>0.11</v>
      </c>
      <c r="N734">
        <v>0.89</v>
      </c>
      <c r="O734">
        <v>1328.43</v>
      </c>
      <c r="P734">
        <v>0</v>
      </c>
      <c r="Q734">
        <f ca="1">DATEDIF(banking_loan_data[[#This Row],[Issue Date]],TODAY(),"M")</f>
        <v>51</v>
      </c>
      <c r="R734">
        <f t="shared" si="66"/>
        <v>1753.0799999999997</v>
      </c>
      <c r="S734">
        <f>+banking_loan_data[[#This Row],[Loan Amount]]+banking_loan_data[[#This Row],[Interest earned]]</f>
        <v>12188.08</v>
      </c>
      <c r="T734" s="2">
        <f t="shared" si="67"/>
        <v>-9106.57</v>
      </c>
      <c r="U734" s="2">
        <f t="shared" si="68"/>
        <v>0</v>
      </c>
      <c r="V734" s="2" t="str">
        <f>IF(banking_loan_data[[#This Row],[Loan Status]]="FULLY PAID","GOOD",IF(banking_loan_data[[#This Row],[Loan Status]]="CURRENT","ACTIVE","BAD"))</f>
        <v>ACTIVE</v>
      </c>
      <c r="W73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34" s="3">
        <f t="shared" si="69"/>
        <v>4869.6716735618211</v>
      </c>
      <c r="Y734" s="4">
        <f t="shared" si="70"/>
        <v>-0.87269477719214184</v>
      </c>
      <c r="Z734" s="2" t="str">
        <f t="shared" si="71"/>
        <v>High Risk</v>
      </c>
    </row>
    <row r="735" spans="1:26" x14ac:dyDescent="0.3">
      <c r="A735" t="s">
        <v>1512</v>
      </c>
      <c r="B735" s="1">
        <v>45032</v>
      </c>
      <c r="C735" t="s">
        <v>1513</v>
      </c>
      <c r="D735" t="s">
        <v>25</v>
      </c>
      <c r="E735">
        <v>29552</v>
      </c>
      <c r="F735">
        <v>24.4</v>
      </c>
      <c r="G735">
        <v>36</v>
      </c>
      <c r="H735" t="s">
        <v>26</v>
      </c>
      <c r="I735" t="s">
        <v>84</v>
      </c>
      <c r="J735" t="s">
        <v>47</v>
      </c>
      <c r="K735">
        <v>46061</v>
      </c>
      <c r="L735" t="s">
        <v>29</v>
      </c>
      <c r="M735">
        <v>0.39</v>
      </c>
      <c r="N735">
        <v>0.57999999999999996</v>
      </c>
      <c r="O735">
        <v>5184.05</v>
      </c>
      <c r="P735">
        <v>0</v>
      </c>
      <c r="Q735">
        <f ca="1">DATEDIF(banking_loan_data[[#This Row],[Issue Date]],TODAY(),"M")</f>
        <v>35</v>
      </c>
      <c r="R735">
        <f t="shared" si="66"/>
        <v>21632.063999999998</v>
      </c>
      <c r="S735">
        <f>+banking_loan_data[[#This Row],[Loan Amount]]+banking_loan_data[[#This Row],[Interest earned]]</f>
        <v>51184.063999999998</v>
      </c>
      <c r="T735" s="2">
        <f t="shared" si="67"/>
        <v>-24367.95</v>
      </c>
      <c r="U735" s="2">
        <f t="shared" si="68"/>
        <v>0</v>
      </c>
      <c r="V735" s="2" t="str">
        <f>IF(banking_loan_data[[#This Row],[Loan Status]]="FULLY PAID","GOOD",IF(banking_loan_data[[#This Row],[Loan Status]]="CURRENT","ACTIVE","BAD"))</f>
        <v>ACTIVE</v>
      </c>
      <c r="W73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35" s="3">
        <f t="shared" si="69"/>
        <v>60089.066666666666</v>
      </c>
      <c r="Y735" s="4">
        <f t="shared" si="70"/>
        <v>-0.82457870871683814</v>
      </c>
      <c r="Z735" s="2" t="str">
        <f t="shared" si="71"/>
        <v>Normal</v>
      </c>
    </row>
    <row r="736" spans="1:26" x14ac:dyDescent="0.3">
      <c r="A736" t="s">
        <v>1514</v>
      </c>
      <c r="B736" s="1">
        <v>44920</v>
      </c>
      <c r="C736" t="s">
        <v>1515</v>
      </c>
      <c r="D736" t="s">
        <v>25</v>
      </c>
      <c r="E736">
        <v>38384</v>
      </c>
      <c r="F736">
        <v>9.4</v>
      </c>
      <c r="G736">
        <v>60</v>
      </c>
      <c r="H736" t="s">
        <v>26</v>
      </c>
      <c r="I736" t="s">
        <v>20</v>
      </c>
      <c r="J736" t="s">
        <v>37</v>
      </c>
      <c r="K736">
        <v>88226</v>
      </c>
      <c r="L736" t="s">
        <v>22</v>
      </c>
      <c r="M736">
        <v>0.18</v>
      </c>
      <c r="N736">
        <v>0.7</v>
      </c>
      <c r="O736">
        <v>4663.03</v>
      </c>
      <c r="P736">
        <v>0</v>
      </c>
      <c r="Q736">
        <f ca="1">DATEDIF(banking_loan_data[[#This Row],[Issue Date]],TODAY(),"M")</f>
        <v>38</v>
      </c>
      <c r="R736">
        <f t="shared" si="66"/>
        <v>18040.480000000003</v>
      </c>
      <c r="S736">
        <f>+banking_loan_data[[#This Row],[Loan Amount]]+banking_loan_data[[#This Row],[Interest earned]]</f>
        <v>56424.480000000003</v>
      </c>
      <c r="T736" s="2">
        <f t="shared" si="67"/>
        <v>-33720.97</v>
      </c>
      <c r="U736" s="2">
        <f t="shared" si="68"/>
        <v>0</v>
      </c>
      <c r="V736" s="2" t="str">
        <f>IF(banking_loan_data[[#This Row],[Loan Status]]="FULLY PAID","GOOD",IF(banking_loan_data[[#This Row],[Loan Status]]="CURRENT","ACTIVE","BAD"))</f>
        <v>ACTIVE</v>
      </c>
      <c r="W73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36" s="3">
        <f t="shared" si="69"/>
        <v>30067.466666666696</v>
      </c>
      <c r="Y736" s="4">
        <f t="shared" si="70"/>
        <v>-0.87851630887869947</v>
      </c>
      <c r="Z736" s="2" t="str">
        <f t="shared" si="71"/>
        <v>Normal</v>
      </c>
    </row>
    <row r="737" spans="1:26" x14ac:dyDescent="0.3">
      <c r="A737" t="s">
        <v>1516</v>
      </c>
      <c r="B737" s="1">
        <v>44421</v>
      </c>
      <c r="C737" t="s">
        <v>1517</v>
      </c>
      <c r="D737" t="s">
        <v>56</v>
      </c>
      <c r="E737">
        <v>17393</v>
      </c>
      <c r="F737">
        <v>19.7</v>
      </c>
      <c r="G737">
        <v>60</v>
      </c>
      <c r="H737" t="s">
        <v>26</v>
      </c>
      <c r="I737" t="s">
        <v>57</v>
      </c>
      <c r="J737" t="s">
        <v>32</v>
      </c>
      <c r="K737">
        <v>58810</v>
      </c>
      <c r="L737" t="s">
        <v>22</v>
      </c>
      <c r="M737">
        <v>0.15</v>
      </c>
      <c r="N737">
        <v>0.71</v>
      </c>
      <c r="O737">
        <v>2401.1</v>
      </c>
      <c r="P737">
        <v>0</v>
      </c>
      <c r="Q737">
        <f ca="1">DATEDIF(banking_loan_data[[#This Row],[Issue Date]],TODAY(),"M")</f>
        <v>55</v>
      </c>
      <c r="R737">
        <f t="shared" si="66"/>
        <v>17132.105</v>
      </c>
      <c r="S737">
        <f>+banking_loan_data[[#This Row],[Loan Amount]]+banking_loan_data[[#This Row],[Interest earned]]</f>
        <v>34525.104999999996</v>
      </c>
      <c r="T737" s="2">
        <f t="shared" si="67"/>
        <v>-14991.9</v>
      </c>
      <c r="U737" s="2">
        <f t="shared" si="68"/>
        <v>0</v>
      </c>
      <c r="V737" s="2" t="str">
        <f>IF(banking_loan_data[[#This Row],[Loan Status]]="FULLY PAID","GOOD",IF(banking_loan_data[[#This Row],[Loan Status]]="CURRENT","ACTIVE","BAD"))</f>
        <v>ACTIVE</v>
      </c>
      <c r="W73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37" s="3">
        <f t="shared" si="69"/>
        <v>28553.508333333331</v>
      </c>
      <c r="Y737" s="4">
        <f t="shared" si="70"/>
        <v>-0.86195020985453918</v>
      </c>
      <c r="Z737" s="2" t="str">
        <f t="shared" si="71"/>
        <v>Normal</v>
      </c>
    </row>
    <row r="738" spans="1:26" x14ac:dyDescent="0.3">
      <c r="A738" t="s">
        <v>1518</v>
      </c>
      <c r="B738" s="1">
        <v>44728</v>
      </c>
      <c r="C738" t="s">
        <v>1519</v>
      </c>
      <c r="D738" t="s">
        <v>50</v>
      </c>
      <c r="E738">
        <v>11617</v>
      </c>
      <c r="F738">
        <v>20.3</v>
      </c>
      <c r="G738">
        <v>36</v>
      </c>
      <c r="H738" t="s">
        <v>26</v>
      </c>
      <c r="I738" t="s">
        <v>41</v>
      </c>
      <c r="J738" t="s">
        <v>32</v>
      </c>
      <c r="K738">
        <v>90006</v>
      </c>
      <c r="L738" t="s">
        <v>29</v>
      </c>
      <c r="M738">
        <v>0.36</v>
      </c>
      <c r="N738">
        <v>0.86</v>
      </c>
      <c r="O738">
        <v>5667.24</v>
      </c>
      <c r="P738">
        <v>0</v>
      </c>
      <c r="Q738">
        <f ca="1">DATEDIF(banking_loan_data[[#This Row],[Issue Date]],TODAY(),"M")</f>
        <v>45</v>
      </c>
      <c r="R738">
        <f t="shared" si="66"/>
        <v>7074.7530000000006</v>
      </c>
      <c r="S738">
        <f>+banking_loan_data[[#This Row],[Loan Amount]]+banking_loan_data[[#This Row],[Interest earned]]</f>
        <v>18691.753000000001</v>
      </c>
      <c r="T738" s="2">
        <f t="shared" si="67"/>
        <v>-5949.76</v>
      </c>
      <c r="U738" s="2">
        <f t="shared" si="68"/>
        <v>0</v>
      </c>
      <c r="V738" s="2" t="str">
        <f>IF(banking_loan_data[[#This Row],[Loan Status]]="FULLY PAID","GOOD",IF(banking_loan_data[[#This Row],[Loan Status]]="CURRENT","ACTIVE","BAD"))</f>
        <v>ACTIVE</v>
      </c>
      <c r="W73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38" s="3">
        <f t="shared" si="69"/>
        <v>19652.091666666674</v>
      </c>
      <c r="Y738" s="4">
        <f t="shared" si="70"/>
        <v>-0.51215976586037704</v>
      </c>
      <c r="Z738" s="2" t="str">
        <f t="shared" si="71"/>
        <v>High Risk</v>
      </c>
    </row>
    <row r="739" spans="1:26" x14ac:dyDescent="0.3">
      <c r="A739" t="s">
        <v>1520</v>
      </c>
      <c r="B739" s="1">
        <v>44309</v>
      </c>
      <c r="C739" t="s">
        <v>1521</v>
      </c>
      <c r="D739" t="s">
        <v>72</v>
      </c>
      <c r="E739">
        <v>39520</v>
      </c>
      <c r="F739">
        <v>23.6</v>
      </c>
      <c r="G739">
        <v>36</v>
      </c>
      <c r="H739" t="s">
        <v>19</v>
      </c>
      <c r="I739" t="s">
        <v>84</v>
      </c>
      <c r="J739" t="s">
        <v>32</v>
      </c>
      <c r="K739">
        <v>143502</v>
      </c>
      <c r="L739" t="s">
        <v>22</v>
      </c>
      <c r="M739">
        <v>0.23</v>
      </c>
      <c r="N739">
        <v>0.77</v>
      </c>
      <c r="O739">
        <v>48846.720000000001</v>
      </c>
      <c r="P739">
        <v>0</v>
      </c>
      <c r="Q739">
        <f ca="1">DATEDIF(banking_loan_data[[#This Row],[Issue Date]],TODAY(),"M")</f>
        <v>58</v>
      </c>
      <c r="R739">
        <f t="shared" si="66"/>
        <v>27980.16</v>
      </c>
      <c r="S739">
        <f>+banking_loan_data[[#This Row],[Loan Amount]]+banking_loan_data[[#This Row],[Interest earned]]</f>
        <v>67500.160000000003</v>
      </c>
      <c r="T739" s="2">
        <f t="shared" si="67"/>
        <v>9326.7200000000012</v>
      </c>
      <c r="U739" s="2">
        <f t="shared" si="68"/>
        <v>0</v>
      </c>
      <c r="V739" s="2" t="str">
        <f>IF(banking_loan_data[[#This Row],[Loan Status]]="FULLY PAID","GOOD",IF(banking_loan_data[[#This Row],[Loan Status]]="CURRENT","ACTIVE","BAD"))</f>
        <v>GOOD</v>
      </c>
      <c r="W73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39" s="3">
        <f t="shared" si="69"/>
        <v>77722.666666666672</v>
      </c>
      <c r="Y739" s="4">
        <f t="shared" si="70"/>
        <v>0.23600000000000004</v>
      </c>
      <c r="Z739" s="2" t="str">
        <f t="shared" si="71"/>
        <v>Normal</v>
      </c>
    </row>
    <row r="740" spans="1:26" x14ac:dyDescent="0.3">
      <c r="A740" t="s">
        <v>1522</v>
      </c>
      <c r="B740" s="1">
        <v>44336</v>
      </c>
      <c r="C740" t="s">
        <v>1523</v>
      </c>
      <c r="D740" t="s">
        <v>46</v>
      </c>
      <c r="E740">
        <v>10852</v>
      </c>
      <c r="F740">
        <v>5.6</v>
      </c>
      <c r="G740">
        <v>60</v>
      </c>
      <c r="H740" t="s">
        <v>19</v>
      </c>
      <c r="I740" t="s">
        <v>73</v>
      </c>
      <c r="J740" t="s">
        <v>32</v>
      </c>
      <c r="K740">
        <v>52800</v>
      </c>
      <c r="L740" t="s">
        <v>22</v>
      </c>
      <c r="M740">
        <v>0.12</v>
      </c>
      <c r="N740">
        <v>0.79</v>
      </c>
      <c r="O740">
        <v>11459.71</v>
      </c>
      <c r="P740">
        <v>0</v>
      </c>
      <c r="Q740">
        <f ca="1">DATEDIF(banking_loan_data[[#This Row],[Issue Date]],TODAY(),"M")</f>
        <v>57</v>
      </c>
      <c r="R740">
        <f t="shared" si="66"/>
        <v>3038.56</v>
      </c>
      <c r="S740">
        <f>+banking_loan_data[[#This Row],[Loan Amount]]+banking_loan_data[[#This Row],[Interest earned]]</f>
        <v>13890.56</v>
      </c>
      <c r="T740" s="2">
        <f t="shared" si="67"/>
        <v>607.70999999999913</v>
      </c>
      <c r="U740" s="2">
        <f t="shared" si="68"/>
        <v>0</v>
      </c>
      <c r="V740" s="2" t="str">
        <f>IF(banking_loan_data[[#This Row],[Loan Status]]="FULLY PAID","GOOD",IF(banking_loan_data[[#This Row],[Loan Status]]="CURRENT","ACTIVE","BAD"))</f>
        <v>GOOD</v>
      </c>
      <c r="W74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40" s="3">
        <f t="shared" si="69"/>
        <v>5064.2666671971001</v>
      </c>
      <c r="Y740" s="4">
        <f t="shared" si="70"/>
        <v>5.5999815702174632E-2</v>
      </c>
      <c r="Z740" s="2" t="str">
        <f t="shared" si="71"/>
        <v>Normal</v>
      </c>
    </row>
    <row r="741" spans="1:26" x14ac:dyDescent="0.3">
      <c r="A741" t="s">
        <v>1524</v>
      </c>
      <c r="B741" s="1">
        <v>44755</v>
      </c>
      <c r="C741" t="s">
        <v>1525</v>
      </c>
      <c r="D741" t="s">
        <v>18</v>
      </c>
      <c r="E741">
        <v>32401</v>
      </c>
      <c r="F741">
        <v>22.4</v>
      </c>
      <c r="G741">
        <v>36</v>
      </c>
      <c r="H741" t="s">
        <v>60</v>
      </c>
      <c r="I741" t="s">
        <v>27</v>
      </c>
      <c r="J741" t="s">
        <v>32</v>
      </c>
      <c r="K741">
        <v>146192</v>
      </c>
      <c r="L741" t="s">
        <v>29</v>
      </c>
      <c r="M741">
        <v>0.16</v>
      </c>
      <c r="N741">
        <v>0.95</v>
      </c>
      <c r="O741">
        <v>0</v>
      </c>
      <c r="P741">
        <v>0</v>
      </c>
      <c r="Q741">
        <f ca="1">DATEDIF(banking_loan_data[[#This Row],[Issue Date]],TODAY(),"M")</f>
        <v>44</v>
      </c>
      <c r="R741">
        <f t="shared" si="66"/>
        <v>21773.471999999998</v>
      </c>
      <c r="S741">
        <f>+banking_loan_data[[#This Row],[Loan Amount]]+banking_loan_data[[#This Row],[Interest earned]]</f>
        <v>54174.471999999994</v>
      </c>
      <c r="T741" s="2">
        <f t="shared" si="67"/>
        <v>-32401</v>
      </c>
      <c r="U741" s="2">
        <f t="shared" si="68"/>
        <v>0</v>
      </c>
      <c r="V741" s="2" t="str">
        <f>IF(banking_loan_data[[#This Row],[Loan Status]]="FULLY PAID","GOOD",IF(banking_loan_data[[#This Row],[Loan Status]]="CURRENT","ACTIVE","BAD"))</f>
        <v>BAD</v>
      </c>
      <c r="W74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41" s="3">
        <f t="shared" si="69"/>
        <v>60481.866666666661</v>
      </c>
      <c r="Y741" s="4">
        <f t="shared" si="70"/>
        <v>-1</v>
      </c>
      <c r="Z741" s="2" t="str">
        <f t="shared" si="71"/>
        <v>High Risk</v>
      </c>
    </row>
    <row r="742" spans="1:26" x14ac:dyDescent="0.3">
      <c r="A742" t="s">
        <v>1526</v>
      </c>
      <c r="B742" s="1">
        <v>44197</v>
      </c>
      <c r="C742" t="s">
        <v>1527</v>
      </c>
      <c r="D742" t="s">
        <v>65</v>
      </c>
      <c r="E742">
        <v>7295</v>
      </c>
      <c r="F742">
        <v>15.5</v>
      </c>
      <c r="G742">
        <v>60</v>
      </c>
      <c r="H742" t="s">
        <v>19</v>
      </c>
      <c r="I742" t="s">
        <v>84</v>
      </c>
      <c r="J742" t="s">
        <v>37</v>
      </c>
      <c r="K742">
        <v>138959</v>
      </c>
      <c r="L742" t="s">
        <v>33</v>
      </c>
      <c r="M742">
        <v>0.1</v>
      </c>
      <c r="N742">
        <v>0.53</v>
      </c>
      <c r="O742">
        <v>8425.7199999999993</v>
      </c>
      <c r="P742">
        <v>0</v>
      </c>
      <c r="Q742">
        <f ca="1">DATEDIF(banking_loan_data[[#This Row],[Issue Date]],TODAY(),"M")</f>
        <v>62</v>
      </c>
      <c r="R742">
        <f t="shared" si="66"/>
        <v>5653.625</v>
      </c>
      <c r="S742">
        <f>+banking_loan_data[[#This Row],[Loan Amount]]+banking_loan_data[[#This Row],[Interest earned]]</f>
        <v>12948.625</v>
      </c>
      <c r="T742" s="2">
        <f t="shared" si="67"/>
        <v>1130.7199999999993</v>
      </c>
      <c r="U742" s="2">
        <f t="shared" si="68"/>
        <v>0</v>
      </c>
      <c r="V742" s="2" t="str">
        <f>IF(banking_loan_data[[#This Row],[Loan Status]]="FULLY PAID","GOOD",IF(banking_loan_data[[#This Row],[Loan Status]]="CURRENT","ACTIVE","BAD"))</f>
        <v>GOOD</v>
      </c>
      <c r="W74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42" s="3">
        <f t="shared" si="69"/>
        <v>9422.7083333333339</v>
      </c>
      <c r="Y742" s="4">
        <f t="shared" si="70"/>
        <v>0.15499931459904034</v>
      </c>
      <c r="Z742" s="2" t="str">
        <f t="shared" si="71"/>
        <v>Normal</v>
      </c>
    </row>
    <row r="743" spans="1:26" x14ac:dyDescent="0.3">
      <c r="A743" t="s">
        <v>1528</v>
      </c>
      <c r="B743" s="1">
        <v>44286</v>
      </c>
      <c r="C743" t="s">
        <v>1529</v>
      </c>
      <c r="D743" t="s">
        <v>50</v>
      </c>
      <c r="E743">
        <v>36993</v>
      </c>
      <c r="F743">
        <v>17.7</v>
      </c>
      <c r="G743">
        <v>36</v>
      </c>
      <c r="H743" t="s">
        <v>26</v>
      </c>
      <c r="I743" t="s">
        <v>57</v>
      </c>
      <c r="J743" t="s">
        <v>21</v>
      </c>
      <c r="K743">
        <v>137228</v>
      </c>
      <c r="L743" t="s">
        <v>29</v>
      </c>
      <c r="M743">
        <v>0.46</v>
      </c>
      <c r="N743">
        <v>0.6</v>
      </c>
      <c r="O743">
        <v>4398.51</v>
      </c>
      <c r="P743">
        <v>0</v>
      </c>
      <c r="Q743">
        <f ca="1">DATEDIF(banking_loan_data[[#This Row],[Issue Date]],TODAY(),"M")</f>
        <v>59</v>
      </c>
      <c r="R743">
        <f t="shared" si="66"/>
        <v>19643.282999999999</v>
      </c>
      <c r="S743">
        <f>+banking_loan_data[[#This Row],[Loan Amount]]+banking_loan_data[[#This Row],[Interest earned]]</f>
        <v>56636.282999999996</v>
      </c>
      <c r="T743" s="2">
        <f t="shared" si="67"/>
        <v>-32594.489999999998</v>
      </c>
      <c r="U743" s="2">
        <f t="shared" si="68"/>
        <v>0</v>
      </c>
      <c r="V743" s="2" t="str">
        <f>IF(banking_loan_data[[#This Row],[Loan Status]]="FULLY PAID","GOOD",IF(banking_loan_data[[#This Row],[Loan Status]]="CURRENT","ACTIVE","BAD"))</f>
        <v>ACTIVE</v>
      </c>
      <c r="W74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43" s="3">
        <f t="shared" si="69"/>
        <v>54564.675000000359</v>
      </c>
      <c r="Y743" s="4">
        <f t="shared" si="70"/>
        <v>-0.88109885654042652</v>
      </c>
      <c r="Z743" s="2" t="str">
        <f t="shared" si="71"/>
        <v>High Risk</v>
      </c>
    </row>
    <row r="744" spans="1:26" x14ac:dyDescent="0.3">
      <c r="A744" t="s">
        <v>1530</v>
      </c>
      <c r="B744" s="1">
        <v>44850</v>
      </c>
      <c r="C744" t="s">
        <v>1531</v>
      </c>
      <c r="D744" t="s">
        <v>18</v>
      </c>
      <c r="E744">
        <v>35084</v>
      </c>
      <c r="F744">
        <v>17.899999999999999</v>
      </c>
      <c r="G744">
        <v>36</v>
      </c>
      <c r="H744" t="s">
        <v>19</v>
      </c>
      <c r="I744" t="s">
        <v>36</v>
      </c>
      <c r="J744" t="s">
        <v>28</v>
      </c>
      <c r="K744">
        <v>105476</v>
      </c>
      <c r="L744" t="s">
        <v>29</v>
      </c>
      <c r="M744">
        <v>0.11</v>
      </c>
      <c r="N744">
        <v>0.68</v>
      </c>
      <c r="O744">
        <v>41364.04</v>
      </c>
      <c r="P744">
        <v>0</v>
      </c>
      <c r="Q744">
        <f ca="1">DATEDIF(banking_loan_data[[#This Row],[Issue Date]],TODAY(),"M")</f>
        <v>41</v>
      </c>
      <c r="R744">
        <f t="shared" si="66"/>
        <v>18840.108</v>
      </c>
      <c r="S744">
        <f>+banking_loan_data[[#This Row],[Loan Amount]]+banking_loan_data[[#This Row],[Interest earned]]</f>
        <v>53924.108</v>
      </c>
      <c r="T744" s="2">
        <f t="shared" si="67"/>
        <v>6280.0400000000009</v>
      </c>
      <c r="U744" s="2">
        <f t="shared" si="68"/>
        <v>0</v>
      </c>
      <c r="V744" s="2" t="str">
        <f>IF(banking_loan_data[[#This Row],[Loan Status]]="FULLY PAID","GOOD",IF(banking_loan_data[[#This Row],[Loan Status]]="CURRENT","ACTIVE","BAD"))</f>
        <v>GOOD</v>
      </c>
      <c r="W74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44" s="3">
        <f t="shared" si="69"/>
        <v>52333.633333333608</v>
      </c>
      <c r="Y744" s="4">
        <f t="shared" si="70"/>
        <v>0.17900011401208529</v>
      </c>
      <c r="Z744" s="2" t="str">
        <f t="shared" si="71"/>
        <v>Normal</v>
      </c>
    </row>
    <row r="745" spans="1:26" x14ac:dyDescent="0.3">
      <c r="A745" t="s">
        <v>1532</v>
      </c>
      <c r="B745" s="1">
        <v>44516</v>
      </c>
      <c r="C745" t="s">
        <v>1533</v>
      </c>
      <c r="D745" t="s">
        <v>46</v>
      </c>
      <c r="E745">
        <v>37451</v>
      </c>
      <c r="F745">
        <v>21.4</v>
      </c>
      <c r="G745">
        <v>60</v>
      </c>
      <c r="H745" t="s">
        <v>26</v>
      </c>
      <c r="I745" t="s">
        <v>73</v>
      </c>
      <c r="J745" t="s">
        <v>32</v>
      </c>
      <c r="K745">
        <v>99460</v>
      </c>
      <c r="L745" t="s">
        <v>29</v>
      </c>
      <c r="M745">
        <v>0.18</v>
      </c>
      <c r="N745">
        <v>0.66</v>
      </c>
      <c r="O745">
        <v>6410.55</v>
      </c>
      <c r="P745">
        <v>0</v>
      </c>
      <c r="Q745">
        <f ca="1">DATEDIF(banking_loan_data[[#This Row],[Issue Date]],TODAY(),"M")</f>
        <v>52</v>
      </c>
      <c r="R745">
        <f t="shared" si="66"/>
        <v>40072.57</v>
      </c>
      <c r="S745">
        <f>+banking_loan_data[[#This Row],[Loan Amount]]+banking_loan_data[[#This Row],[Interest earned]]</f>
        <v>77523.570000000007</v>
      </c>
      <c r="T745" s="2">
        <f t="shared" si="67"/>
        <v>-31040.45</v>
      </c>
      <c r="U745" s="2">
        <f t="shared" si="68"/>
        <v>0</v>
      </c>
      <c r="V745" s="2" t="str">
        <f>IF(banking_loan_data[[#This Row],[Loan Status]]="FULLY PAID","GOOD",IF(banking_loan_data[[#This Row],[Loan Status]]="CURRENT","ACTIVE","BAD"))</f>
        <v>ACTIVE</v>
      </c>
      <c r="W74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45" s="3">
        <f t="shared" si="69"/>
        <v>66787.616666666669</v>
      </c>
      <c r="Y745" s="4">
        <f t="shared" si="70"/>
        <v>-0.8288283356919709</v>
      </c>
      <c r="Z745" s="2" t="str">
        <f t="shared" si="71"/>
        <v>Normal</v>
      </c>
    </row>
    <row r="746" spans="1:26" x14ac:dyDescent="0.3">
      <c r="A746" t="s">
        <v>1534</v>
      </c>
      <c r="B746" s="1">
        <v>44335</v>
      </c>
      <c r="C746" t="s">
        <v>1535</v>
      </c>
      <c r="D746" t="s">
        <v>50</v>
      </c>
      <c r="E746">
        <v>8227</v>
      </c>
      <c r="F746">
        <v>11.7</v>
      </c>
      <c r="G746">
        <v>60</v>
      </c>
      <c r="H746" t="s">
        <v>26</v>
      </c>
      <c r="I746" t="s">
        <v>73</v>
      </c>
      <c r="J746" t="s">
        <v>21</v>
      </c>
      <c r="K746">
        <v>87767</v>
      </c>
      <c r="L746" t="s">
        <v>29</v>
      </c>
      <c r="M746">
        <v>0.27</v>
      </c>
      <c r="N746">
        <v>0.51</v>
      </c>
      <c r="O746">
        <v>2597.8000000000002</v>
      </c>
      <c r="P746">
        <v>0</v>
      </c>
      <c r="Q746">
        <f ca="1">DATEDIF(banking_loan_data[[#This Row],[Issue Date]],TODAY(),"M")</f>
        <v>58</v>
      </c>
      <c r="R746">
        <f t="shared" si="66"/>
        <v>4812.7950000000001</v>
      </c>
      <c r="S746">
        <f>+banking_loan_data[[#This Row],[Loan Amount]]+banking_loan_data[[#This Row],[Interest earned]]</f>
        <v>13039.795</v>
      </c>
      <c r="T746" s="2">
        <f t="shared" si="67"/>
        <v>-5629.2</v>
      </c>
      <c r="U746" s="2">
        <f t="shared" si="68"/>
        <v>0</v>
      </c>
      <c r="V746" s="2" t="str">
        <f>IF(banking_loan_data[[#This Row],[Loan Status]]="FULLY PAID","GOOD",IF(banking_loan_data[[#This Row],[Loan Status]]="CURRENT","ACTIVE","BAD"))</f>
        <v>ACTIVE</v>
      </c>
      <c r="W74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46" s="3">
        <f t="shared" si="69"/>
        <v>8021.3249999999998</v>
      </c>
      <c r="Y746" s="4">
        <f t="shared" si="70"/>
        <v>-0.68423483651391759</v>
      </c>
      <c r="Z746" s="2" t="str">
        <f t="shared" si="71"/>
        <v>Normal</v>
      </c>
    </row>
    <row r="747" spans="1:26" x14ac:dyDescent="0.3">
      <c r="A747" t="s">
        <v>1536</v>
      </c>
      <c r="B747" s="1">
        <v>45041</v>
      </c>
      <c r="C747" t="s">
        <v>1537</v>
      </c>
      <c r="D747" t="s">
        <v>18</v>
      </c>
      <c r="E747">
        <v>32910</v>
      </c>
      <c r="F747">
        <v>19.7</v>
      </c>
      <c r="G747">
        <v>60</v>
      </c>
      <c r="H747" t="s">
        <v>19</v>
      </c>
      <c r="I747" t="s">
        <v>41</v>
      </c>
      <c r="J747" t="s">
        <v>47</v>
      </c>
      <c r="K747">
        <v>58054</v>
      </c>
      <c r="L747" t="s">
        <v>33</v>
      </c>
      <c r="M747">
        <v>0.24</v>
      </c>
      <c r="N747">
        <v>0.54</v>
      </c>
      <c r="O747">
        <v>39393.269999999997</v>
      </c>
      <c r="P747">
        <v>0</v>
      </c>
      <c r="Q747">
        <f ca="1">DATEDIF(banking_loan_data[[#This Row],[Issue Date]],TODAY(),"M")</f>
        <v>34</v>
      </c>
      <c r="R747">
        <f t="shared" si="66"/>
        <v>32416.350000000002</v>
      </c>
      <c r="S747">
        <f>+banking_loan_data[[#This Row],[Loan Amount]]+banking_loan_data[[#This Row],[Interest earned]]</f>
        <v>65326.350000000006</v>
      </c>
      <c r="T747" s="2">
        <f t="shared" si="67"/>
        <v>6483.2699999999968</v>
      </c>
      <c r="U747" s="2">
        <f t="shared" si="68"/>
        <v>0</v>
      </c>
      <c r="V747" s="2" t="str">
        <f>IF(banking_loan_data[[#This Row],[Loan Status]]="FULLY PAID","GOOD",IF(banking_loan_data[[#This Row],[Loan Status]]="CURRENT","ACTIVE","BAD"))</f>
        <v>GOOD</v>
      </c>
      <c r="W74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47" s="3">
        <f t="shared" si="69"/>
        <v>54027.25</v>
      </c>
      <c r="Y747" s="4">
        <f t="shared" si="70"/>
        <v>0.1969999999999999</v>
      </c>
      <c r="Z747" s="2" t="str">
        <f t="shared" si="71"/>
        <v>Normal</v>
      </c>
    </row>
    <row r="748" spans="1:26" x14ac:dyDescent="0.3">
      <c r="A748" t="s">
        <v>1538</v>
      </c>
      <c r="B748" s="1">
        <v>44455</v>
      </c>
      <c r="C748" t="s">
        <v>1539</v>
      </c>
      <c r="D748" t="s">
        <v>76</v>
      </c>
      <c r="E748">
        <v>37041</v>
      </c>
      <c r="F748">
        <v>15.6</v>
      </c>
      <c r="G748">
        <v>60</v>
      </c>
      <c r="H748" t="s">
        <v>19</v>
      </c>
      <c r="I748" t="s">
        <v>84</v>
      </c>
      <c r="J748" t="s">
        <v>37</v>
      </c>
      <c r="K748">
        <v>105319</v>
      </c>
      <c r="L748" t="s">
        <v>33</v>
      </c>
      <c r="M748">
        <v>0.46</v>
      </c>
      <c r="N748">
        <v>0.81</v>
      </c>
      <c r="O748">
        <v>42819.4</v>
      </c>
      <c r="P748">
        <v>0</v>
      </c>
      <c r="Q748">
        <f ca="1">DATEDIF(banking_loan_data[[#This Row],[Issue Date]],TODAY(),"M")</f>
        <v>54</v>
      </c>
      <c r="R748">
        <f t="shared" si="66"/>
        <v>28891.98</v>
      </c>
      <c r="S748">
        <f>+banking_loan_data[[#This Row],[Loan Amount]]+banking_loan_data[[#This Row],[Interest earned]]</f>
        <v>65932.98</v>
      </c>
      <c r="T748" s="2">
        <f t="shared" si="67"/>
        <v>5778.4000000000015</v>
      </c>
      <c r="U748" s="2">
        <f t="shared" si="68"/>
        <v>0</v>
      </c>
      <c r="V748" s="2" t="str">
        <f>IF(banking_loan_data[[#This Row],[Loan Status]]="FULLY PAID","GOOD",IF(banking_loan_data[[#This Row],[Loan Status]]="CURRENT","ACTIVE","BAD"))</f>
        <v>GOOD</v>
      </c>
      <c r="W74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48" s="3">
        <f t="shared" si="69"/>
        <v>48153.3</v>
      </c>
      <c r="Y748" s="4">
        <f t="shared" si="70"/>
        <v>0.15600010798844527</v>
      </c>
      <c r="Z748" s="2" t="str">
        <f t="shared" si="71"/>
        <v>High Risk</v>
      </c>
    </row>
    <row r="749" spans="1:26" x14ac:dyDescent="0.3">
      <c r="A749" t="s">
        <v>1540</v>
      </c>
      <c r="B749" s="1">
        <v>45098</v>
      </c>
      <c r="C749" t="s">
        <v>1541</v>
      </c>
      <c r="D749" t="s">
        <v>25</v>
      </c>
      <c r="E749">
        <v>24384</v>
      </c>
      <c r="F749">
        <v>20.9</v>
      </c>
      <c r="G749">
        <v>60</v>
      </c>
      <c r="H749" t="s">
        <v>26</v>
      </c>
      <c r="I749" t="s">
        <v>57</v>
      </c>
      <c r="J749" t="s">
        <v>21</v>
      </c>
      <c r="K749">
        <v>132789</v>
      </c>
      <c r="L749" t="s">
        <v>22</v>
      </c>
      <c r="M749">
        <v>0.12</v>
      </c>
      <c r="N749">
        <v>0.9</v>
      </c>
      <c r="O749">
        <v>7914.57</v>
      </c>
      <c r="P749">
        <v>0</v>
      </c>
      <c r="Q749">
        <f ca="1">DATEDIF(banking_loan_data[[#This Row],[Issue Date]],TODAY(),"M")</f>
        <v>32</v>
      </c>
      <c r="R749">
        <f t="shared" si="66"/>
        <v>25481.279999999999</v>
      </c>
      <c r="S749">
        <f>+banking_loan_data[[#This Row],[Loan Amount]]+banking_loan_data[[#This Row],[Interest earned]]</f>
        <v>49865.279999999999</v>
      </c>
      <c r="T749" s="2">
        <f t="shared" si="67"/>
        <v>-16469.43</v>
      </c>
      <c r="U749" s="2">
        <f t="shared" si="68"/>
        <v>0</v>
      </c>
      <c r="V749" s="2" t="str">
        <f>IF(banking_loan_data[[#This Row],[Loan Status]]="FULLY PAID","GOOD",IF(banking_loan_data[[#This Row],[Loan Status]]="CURRENT","ACTIVE","BAD"))</f>
        <v>ACTIVE</v>
      </c>
      <c r="W74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49" s="3">
        <f t="shared" si="69"/>
        <v>42468.799999999996</v>
      </c>
      <c r="Y749" s="4">
        <f t="shared" si="70"/>
        <v>-0.67541953740157479</v>
      </c>
      <c r="Z749" s="2" t="str">
        <f t="shared" si="71"/>
        <v>High Risk</v>
      </c>
    </row>
    <row r="750" spans="1:26" x14ac:dyDescent="0.3">
      <c r="A750" t="s">
        <v>1542</v>
      </c>
      <c r="B750" s="1">
        <v>44886</v>
      </c>
      <c r="C750" t="s">
        <v>1543</v>
      </c>
      <c r="D750" t="s">
        <v>46</v>
      </c>
      <c r="E750">
        <v>1145</v>
      </c>
      <c r="F750">
        <v>24.8</v>
      </c>
      <c r="G750">
        <v>60</v>
      </c>
      <c r="H750" t="s">
        <v>19</v>
      </c>
      <c r="I750" t="s">
        <v>20</v>
      </c>
      <c r="J750" t="s">
        <v>32</v>
      </c>
      <c r="K750">
        <v>75397</v>
      </c>
      <c r="L750" t="s">
        <v>22</v>
      </c>
      <c r="M750">
        <v>0.3</v>
      </c>
      <c r="N750">
        <v>0.73</v>
      </c>
      <c r="O750">
        <v>1428.96</v>
      </c>
      <c r="P750">
        <v>0</v>
      </c>
      <c r="Q750">
        <f ca="1">DATEDIF(banking_loan_data[[#This Row],[Issue Date]],TODAY(),"M")</f>
        <v>39</v>
      </c>
      <c r="R750">
        <f t="shared" si="66"/>
        <v>1419.8</v>
      </c>
      <c r="S750">
        <f>+banking_loan_data[[#This Row],[Loan Amount]]+banking_loan_data[[#This Row],[Interest earned]]</f>
        <v>2564.8000000000002</v>
      </c>
      <c r="T750" s="2">
        <f t="shared" si="67"/>
        <v>283.96000000000004</v>
      </c>
      <c r="U750" s="2">
        <f t="shared" si="68"/>
        <v>0</v>
      </c>
      <c r="V750" s="2" t="str">
        <f>IF(banking_loan_data[[#This Row],[Loan Status]]="FULLY PAID","GOOD",IF(banking_loan_data[[#This Row],[Loan Status]]="CURRENT","ACTIVE","BAD"))</f>
        <v>GOOD</v>
      </c>
      <c r="W75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50" s="3">
        <f t="shared" si="69"/>
        <v>2366.3333333333335</v>
      </c>
      <c r="Y750" s="4">
        <f t="shared" si="70"/>
        <v>0.24800000000000003</v>
      </c>
      <c r="Z750" s="2" t="str">
        <f t="shared" si="71"/>
        <v>Normal</v>
      </c>
    </row>
    <row r="751" spans="1:26" x14ac:dyDescent="0.3">
      <c r="A751" t="s">
        <v>1544</v>
      </c>
      <c r="B751" s="1">
        <v>44206</v>
      </c>
      <c r="C751" t="s">
        <v>1545</v>
      </c>
      <c r="D751" t="s">
        <v>72</v>
      </c>
      <c r="E751">
        <v>38778</v>
      </c>
      <c r="F751">
        <v>9</v>
      </c>
      <c r="G751">
        <v>60</v>
      </c>
      <c r="H751" t="s">
        <v>19</v>
      </c>
      <c r="I751" t="s">
        <v>73</v>
      </c>
      <c r="J751" t="s">
        <v>32</v>
      </c>
      <c r="K751">
        <v>43233</v>
      </c>
      <c r="L751" t="s">
        <v>29</v>
      </c>
      <c r="M751">
        <v>0.37</v>
      </c>
      <c r="N751">
        <v>0.74</v>
      </c>
      <c r="O751">
        <v>42268.02</v>
      </c>
      <c r="P751">
        <v>0</v>
      </c>
      <c r="Q751">
        <f ca="1">DATEDIF(banking_loan_data[[#This Row],[Issue Date]],TODAY(),"M")</f>
        <v>62</v>
      </c>
      <c r="R751">
        <f t="shared" si="66"/>
        <v>17450.100000000002</v>
      </c>
      <c r="S751">
        <f>+banking_loan_data[[#This Row],[Loan Amount]]+banking_loan_data[[#This Row],[Interest earned]]</f>
        <v>56228.100000000006</v>
      </c>
      <c r="T751" s="2">
        <f t="shared" si="67"/>
        <v>3490.0199999999968</v>
      </c>
      <c r="U751" s="2">
        <f t="shared" si="68"/>
        <v>0</v>
      </c>
      <c r="V751" s="2" t="str">
        <f>IF(banking_loan_data[[#This Row],[Loan Status]]="FULLY PAID","GOOD",IF(banking_loan_data[[#This Row],[Loan Status]]="CURRENT","ACTIVE","BAD"))</f>
        <v>GOOD</v>
      </c>
      <c r="W75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51" s="3">
        <f t="shared" si="69"/>
        <v>29083.500000000076</v>
      </c>
      <c r="Y751" s="4">
        <f t="shared" si="70"/>
        <v>8.9999999999999913E-2</v>
      </c>
      <c r="Z751" s="2" t="str">
        <f t="shared" si="71"/>
        <v>Normal</v>
      </c>
    </row>
    <row r="752" spans="1:26" x14ac:dyDescent="0.3">
      <c r="A752" t="s">
        <v>1546</v>
      </c>
      <c r="B752" s="1">
        <v>44457</v>
      </c>
      <c r="C752" t="s">
        <v>1547</v>
      </c>
      <c r="D752" t="s">
        <v>40</v>
      </c>
      <c r="E752">
        <v>17035</v>
      </c>
      <c r="F752">
        <v>24.9</v>
      </c>
      <c r="G752">
        <v>36</v>
      </c>
      <c r="H752" t="s">
        <v>26</v>
      </c>
      <c r="I752" t="s">
        <v>27</v>
      </c>
      <c r="J752" t="s">
        <v>32</v>
      </c>
      <c r="K752">
        <v>141205</v>
      </c>
      <c r="L752" t="s">
        <v>22</v>
      </c>
      <c r="M752">
        <v>0.47</v>
      </c>
      <c r="N752">
        <v>0.61</v>
      </c>
      <c r="O752">
        <v>2032.08</v>
      </c>
      <c r="P752">
        <v>0</v>
      </c>
      <c r="Q752">
        <f ca="1">DATEDIF(banking_loan_data[[#This Row],[Issue Date]],TODAY(),"M")</f>
        <v>54</v>
      </c>
      <c r="R752">
        <f t="shared" si="66"/>
        <v>12725.144999999999</v>
      </c>
      <c r="S752">
        <f>+banking_loan_data[[#This Row],[Loan Amount]]+banking_loan_data[[#This Row],[Interest earned]]</f>
        <v>29760.144999999997</v>
      </c>
      <c r="T752" s="2">
        <f t="shared" si="67"/>
        <v>-15002.92</v>
      </c>
      <c r="U752" s="2">
        <f t="shared" si="68"/>
        <v>0</v>
      </c>
      <c r="V752" s="2" t="str">
        <f>IF(banking_loan_data[[#This Row],[Loan Status]]="FULLY PAID","GOOD",IF(banking_loan_data[[#This Row],[Loan Status]]="CURRENT","ACTIVE","BAD"))</f>
        <v>ACTIVE</v>
      </c>
      <c r="W75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52" s="3">
        <f t="shared" si="69"/>
        <v>35347.624999999993</v>
      </c>
      <c r="Y752" s="4">
        <f t="shared" si="70"/>
        <v>-0.88071147637217495</v>
      </c>
      <c r="Z752" s="2" t="str">
        <f t="shared" si="71"/>
        <v>High Risk</v>
      </c>
    </row>
    <row r="753" spans="1:26" x14ac:dyDescent="0.3">
      <c r="A753" t="s">
        <v>1548</v>
      </c>
      <c r="B753" s="1">
        <v>44368</v>
      </c>
      <c r="C753" t="s">
        <v>1549</v>
      </c>
      <c r="D753" t="s">
        <v>76</v>
      </c>
      <c r="E753">
        <v>4040</v>
      </c>
      <c r="F753">
        <v>6.8</v>
      </c>
      <c r="G753">
        <v>36</v>
      </c>
      <c r="H753" t="s">
        <v>19</v>
      </c>
      <c r="I753" t="s">
        <v>27</v>
      </c>
      <c r="J753" t="s">
        <v>21</v>
      </c>
      <c r="K753">
        <v>120020</v>
      </c>
      <c r="L753" t="s">
        <v>33</v>
      </c>
      <c r="M753">
        <v>0.35</v>
      </c>
      <c r="N753">
        <v>0.85</v>
      </c>
      <c r="O753">
        <v>4314.72</v>
      </c>
      <c r="P753">
        <v>0</v>
      </c>
      <c r="Q753">
        <f ca="1">DATEDIF(banking_loan_data[[#This Row],[Issue Date]],TODAY(),"M")</f>
        <v>56</v>
      </c>
      <c r="R753">
        <f t="shared" si="66"/>
        <v>824.1600000000002</v>
      </c>
      <c r="S753">
        <f>+banking_loan_data[[#This Row],[Loan Amount]]+banking_loan_data[[#This Row],[Interest earned]]</f>
        <v>4864.16</v>
      </c>
      <c r="T753" s="2">
        <f t="shared" si="67"/>
        <v>274.72000000000025</v>
      </c>
      <c r="U753" s="2">
        <f t="shared" si="68"/>
        <v>0</v>
      </c>
      <c r="V753" s="2" t="str">
        <f>IF(banking_loan_data[[#This Row],[Loan Status]]="FULLY PAID","GOOD",IF(banking_loan_data[[#This Row],[Loan Status]]="CURRENT","ACTIVE","BAD"))</f>
        <v>GOOD</v>
      </c>
      <c r="W75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53" s="3">
        <f t="shared" si="69"/>
        <v>2289.3335523874189</v>
      </c>
      <c r="Y753" s="4">
        <f t="shared" si="70"/>
        <v>6.800000000000006E-2</v>
      </c>
      <c r="Z753" s="2" t="str">
        <f t="shared" si="71"/>
        <v>High Risk</v>
      </c>
    </row>
    <row r="754" spans="1:26" x14ac:dyDescent="0.3">
      <c r="A754" t="s">
        <v>1550</v>
      </c>
      <c r="B754" s="1">
        <v>45094</v>
      </c>
      <c r="C754" t="s">
        <v>1551</v>
      </c>
      <c r="D754" t="s">
        <v>25</v>
      </c>
      <c r="E754">
        <v>27160</v>
      </c>
      <c r="F754">
        <v>5</v>
      </c>
      <c r="G754">
        <v>36</v>
      </c>
      <c r="H754" t="s">
        <v>81</v>
      </c>
      <c r="I754" t="s">
        <v>41</v>
      </c>
      <c r="J754" t="s">
        <v>32</v>
      </c>
      <c r="K754">
        <v>55068</v>
      </c>
      <c r="L754" t="s">
        <v>22</v>
      </c>
      <c r="M754">
        <v>0.42</v>
      </c>
      <c r="N754">
        <v>0.84</v>
      </c>
      <c r="O754">
        <v>9183.2099999999991</v>
      </c>
      <c r="P754">
        <v>3538.73</v>
      </c>
      <c r="Q754">
        <f ca="1">DATEDIF(banking_loan_data[[#This Row],[Issue Date]],TODAY(),"M")</f>
        <v>33</v>
      </c>
      <c r="R754">
        <f t="shared" si="66"/>
        <v>4074</v>
      </c>
      <c r="S754">
        <f>+banking_loan_data[[#This Row],[Loan Amount]]+banking_loan_data[[#This Row],[Interest earned]]</f>
        <v>31234</v>
      </c>
      <c r="T754" s="2">
        <f t="shared" si="67"/>
        <v>-14438.060000000001</v>
      </c>
      <c r="U754" s="2">
        <f t="shared" si="68"/>
        <v>1</v>
      </c>
      <c r="V754" s="2" t="str">
        <f>IF(banking_loan_data[[#This Row],[Loan Status]]="FULLY PAID","GOOD",IF(banking_loan_data[[#This Row],[Loan Status]]="CURRENT","ACTIVE","BAD"))</f>
        <v>BAD</v>
      </c>
      <c r="W75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54" s="3">
        <f t="shared" si="69"/>
        <v>11316.707225342579</v>
      </c>
      <c r="Y754" s="4">
        <f t="shared" si="70"/>
        <v>-0.53159278350515471</v>
      </c>
      <c r="Z754" s="2" t="str">
        <f t="shared" si="71"/>
        <v>High Risk</v>
      </c>
    </row>
    <row r="755" spans="1:26" x14ac:dyDescent="0.3">
      <c r="A755" t="s">
        <v>1552</v>
      </c>
      <c r="B755" s="1">
        <v>44209</v>
      </c>
      <c r="C755" t="s">
        <v>1553</v>
      </c>
      <c r="D755" t="s">
        <v>53</v>
      </c>
      <c r="E755">
        <v>18633</v>
      </c>
      <c r="F755">
        <v>5.9</v>
      </c>
      <c r="G755">
        <v>60</v>
      </c>
      <c r="H755" t="s">
        <v>19</v>
      </c>
      <c r="I755" t="s">
        <v>84</v>
      </c>
      <c r="J755" t="s">
        <v>21</v>
      </c>
      <c r="K755">
        <v>95727</v>
      </c>
      <c r="L755" t="s">
        <v>22</v>
      </c>
      <c r="M755">
        <v>0.13</v>
      </c>
      <c r="N755">
        <v>0.76</v>
      </c>
      <c r="O755">
        <v>19732.349999999999</v>
      </c>
      <c r="P755">
        <v>0</v>
      </c>
      <c r="Q755">
        <f ca="1">DATEDIF(banking_loan_data[[#This Row],[Issue Date]],TODAY(),"M")</f>
        <v>62</v>
      </c>
      <c r="R755">
        <f t="shared" si="66"/>
        <v>5496.7350000000006</v>
      </c>
      <c r="S755">
        <f>+banking_loan_data[[#This Row],[Loan Amount]]+banking_loan_data[[#This Row],[Interest earned]]</f>
        <v>24129.735000000001</v>
      </c>
      <c r="T755" s="2">
        <f t="shared" si="67"/>
        <v>1099.3499999999985</v>
      </c>
      <c r="U755" s="2">
        <f t="shared" si="68"/>
        <v>0</v>
      </c>
      <c r="V755" s="2" t="str">
        <f>IF(banking_loan_data[[#This Row],[Loan Status]]="FULLY PAID","GOOD",IF(banking_loan_data[[#This Row],[Loan Status]]="CURRENT","ACTIVE","BAD"))</f>
        <v>GOOD</v>
      </c>
      <c r="W75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55" s="3">
        <f t="shared" si="69"/>
        <v>9161.2250003480549</v>
      </c>
      <c r="Y755" s="4">
        <f t="shared" si="70"/>
        <v>5.9000161004669059E-2</v>
      </c>
      <c r="Z755" s="2" t="str">
        <f t="shared" si="71"/>
        <v>Normal</v>
      </c>
    </row>
    <row r="756" spans="1:26" x14ac:dyDescent="0.3">
      <c r="A756" t="s">
        <v>1554</v>
      </c>
      <c r="B756" s="1">
        <v>44517</v>
      </c>
      <c r="C756" t="s">
        <v>1555</v>
      </c>
      <c r="D756" t="s">
        <v>25</v>
      </c>
      <c r="E756">
        <v>30344</v>
      </c>
      <c r="F756">
        <v>11.8</v>
      </c>
      <c r="G756">
        <v>60</v>
      </c>
      <c r="H756" t="s">
        <v>19</v>
      </c>
      <c r="I756" t="s">
        <v>57</v>
      </c>
      <c r="J756" t="s">
        <v>32</v>
      </c>
      <c r="K756">
        <v>120610</v>
      </c>
      <c r="L756" t="s">
        <v>22</v>
      </c>
      <c r="M756">
        <v>0.25</v>
      </c>
      <c r="N756">
        <v>0.6</v>
      </c>
      <c r="O756">
        <v>33924.589999999997</v>
      </c>
      <c r="P756">
        <v>0</v>
      </c>
      <c r="Q756">
        <f ca="1">DATEDIF(banking_loan_data[[#This Row],[Issue Date]],TODAY(),"M")</f>
        <v>52</v>
      </c>
      <c r="R756">
        <f t="shared" si="66"/>
        <v>17902.960000000003</v>
      </c>
      <c r="S756">
        <f>+banking_loan_data[[#This Row],[Loan Amount]]+banking_loan_data[[#This Row],[Interest earned]]</f>
        <v>48246.960000000006</v>
      </c>
      <c r="T756" s="2">
        <f t="shared" si="67"/>
        <v>3580.5899999999965</v>
      </c>
      <c r="U756" s="2">
        <f t="shared" si="68"/>
        <v>0</v>
      </c>
      <c r="V756" s="2" t="str">
        <f>IF(banking_loan_data[[#This Row],[Loan Status]]="FULLY PAID","GOOD",IF(banking_loan_data[[#This Row],[Loan Status]]="CURRENT","ACTIVE","BAD"))</f>
        <v>GOOD</v>
      </c>
      <c r="W75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56" s="3">
        <f t="shared" si="69"/>
        <v>29838.26666666667</v>
      </c>
      <c r="Y756" s="4">
        <f t="shared" si="70"/>
        <v>0.1179999340891114</v>
      </c>
      <c r="Z756" s="2" t="str">
        <f t="shared" si="71"/>
        <v>Normal</v>
      </c>
    </row>
    <row r="757" spans="1:26" x14ac:dyDescent="0.3">
      <c r="A757" t="s">
        <v>1556</v>
      </c>
      <c r="B757" s="1">
        <v>44525</v>
      </c>
      <c r="C757" t="s">
        <v>1557</v>
      </c>
      <c r="D757" t="s">
        <v>50</v>
      </c>
      <c r="E757">
        <v>18014</v>
      </c>
      <c r="F757">
        <v>17.7</v>
      </c>
      <c r="G757">
        <v>60</v>
      </c>
      <c r="H757" t="s">
        <v>26</v>
      </c>
      <c r="I757" t="s">
        <v>20</v>
      </c>
      <c r="J757" t="s">
        <v>47</v>
      </c>
      <c r="K757">
        <v>100453</v>
      </c>
      <c r="L757" t="s">
        <v>29</v>
      </c>
      <c r="M757">
        <v>0.25</v>
      </c>
      <c r="N757">
        <v>0.54</v>
      </c>
      <c r="O757">
        <v>7265.79</v>
      </c>
      <c r="P757">
        <v>0</v>
      </c>
      <c r="Q757">
        <f ca="1">DATEDIF(banking_loan_data[[#This Row],[Issue Date]],TODAY(),"M")</f>
        <v>51</v>
      </c>
      <c r="R757">
        <f t="shared" si="66"/>
        <v>15942.39</v>
      </c>
      <c r="S757">
        <f>+banking_loan_data[[#This Row],[Loan Amount]]+banking_loan_data[[#This Row],[Interest earned]]</f>
        <v>33956.39</v>
      </c>
      <c r="T757" s="2">
        <f t="shared" si="67"/>
        <v>-10748.21</v>
      </c>
      <c r="U757" s="2">
        <f t="shared" si="68"/>
        <v>0</v>
      </c>
      <c r="V757" s="2" t="str">
        <f>IF(banking_loan_data[[#This Row],[Loan Status]]="FULLY PAID","GOOD",IF(banking_loan_data[[#This Row],[Loan Status]]="CURRENT","ACTIVE","BAD"))</f>
        <v>ACTIVE</v>
      </c>
      <c r="W75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57" s="3">
        <f t="shared" si="69"/>
        <v>26570.649999999998</v>
      </c>
      <c r="Y757" s="4">
        <f t="shared" si="70"/>
        <v>-0.59665870989230596</v>
      </c>
      <c r="Z757" s="2" t="str">
        <f t="shared" si="71"/>
        <v>Normal</v>
      </c>
    </row>
    <row r="758" spans="1:26" x14ac:dyDescent="0.3">
      <c r="A758" t="s">
        <v>1558</v>
      </c>
      <c r="B758" s="1">
        <v>44981</v>
      </c>
      <c r="C758" t="s">
        <v>1559</v>
      </c>
      <c r="D758" t="s">
        <v>56</v>
      </c>
      <c r="E758">
        <v>15996</v>
      </c>
      <c r="F758">
        <v>6.4</v>
      </c>
      <c r="G758">
        <v>36</v>
      </c>
      <c r="H758" t="s">
        <v>19</v>
      </c>
      <c r="I758" t="s">
        <v>73</v>
      </c>
      <c r="J758" t="s">
        <v>47</v>
      </c>
      <c r="K758">
        <v>134135</v>
      </c>
      <c r="L758" t="s">
        <v>22</v>
      </c>
      <c r="M758">
        <v>0.45</v>
      </c>
      <c r="N758">
        <v>0.53</v>
      </c>
      <c r="O758">
        <v>17019.740000000002</v>
      </c>
      <c r="P758">
        <v>0</v>
      </c>
      <c r="Q758">
        <f ca="1">DATEDIF(banking_loan_data[[#This Row],[Issue Date]],TODAY(),"M")</f>
        <v>36</v>
      </c>
      <c r="R758">
        <f t="shared" si="66"/>
        <v>3071.2320000000004</v>
      </c>
      <c r="S758">
        <f>+banking_loan_data[[#This Row],[Loan Amount]]+banking_loan_data[[#This Row],[Interest earned]]</f>
        <v>19067.232</v>
      </c>
      <c r="T758" s="2">
        <f t="shared" si="67"/>
        <v>1023.7400000000016</v>
      </c>
      <c r="U758" s="2">
        <f t="shared" si="68"/>
        <v>0</v>
      </c>
      <c r="V758" s="2" t="str">
        <f>IF(banking_loan_data[[#This Row],[Loan Status]]="FULLY PAID","GOOD",IF(banking_loan_data[[#This Row],[Loan Status]]="CURRENT","ACTIVE","BAD"))</f>
        <v>GOOD</v>
      </c>
      <c r="W75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58" s="3">
        <f t="shared" si="69"/>
        <v>8531.2017704898553</v>
      </c>
      <c r="Y758" s="4">
        <f t="shared" si="70"/>
        <v>6.3999749937484474E-2</v>
      </c>
      <c r="Z758" s="2" t="str">
        <f t="shared" si="71"/>
        <v>High Risk</v>
      </c>
    </row>
    <row r="759" spans="1:26" x14ac:dyDescent="0.3">
      <c r="A759" t="s">
        <v>1560</v>
      </c>
      <c r="B759" s="1">
        <v>44973</v>
      </c>
      <c r="C759" t="s">
        <v>1561</v>
      </c>
      <c r="D759" t="s">
        <v>76</v>
      </c>
      <c r="E759">
        <v>12695</v>
      </c>
      <c r="F759">
        <v>5.0999999999999996</v>
      </c>
      <c r="G759">
        <v>60</v>
      </c>
      <c r="H759" t="s">
        <v>19</v>
      </c>
      <c r="I759" t="s">
        <v>27</v>
      </c>
      <c r="J759" t="s">
        <v>28</v>
      </c>
      <c r="K759">
        <v>55832</v>
      </c>
      <c r="L759" t="s">
        <v>33</v>
      </c>
      <c r="M759">
        <v>0.16</v>
      </c>
      <c r="N759">
        <v>0.77</v>
      </c>
      <c r="O759">
        <v>13342.44</v>
      </c>
      <c r="P759">
        <v>0</v>
      </c>
      <c r="Q759">
        <f ca="1">DATEDIF(banking_loan_data[[#This Row],[Issue Date]],TODAY(),"M")</f>
        <v>37</v>
      </c>
      <c r="R759">
        <f t="shared" si="66"/>
        <v>3237.2249999999999</v>
      </c>
      <c r="S759">
        <f>+banking_loan_data[[#This Row],[Loan Amount]]+banking_loan_data[[#This Row],[Interest earned]]</f>
        <v>15932.225</v>
      </c>
      <c r="T759" s="2">
        <f t="shared" si="67"/>
        <v>647.44000000000051</v>
      </c>
      <c r="U759" s="2">
        <f t="shared" si="68"/>
        <v>0</v>
      </c>
      <c r="V759" s="2" t="str">
        <f>IF(banking_loan_data[[#This Row],[Loan Status]]="FULLY PAID","GOOD",IF(banking_loan_data[[#This Row],[Loan Status]]="CURRENT","ACTIVE","BAD"))</f>
        <v>GOOD</v>
      </c>
      <c r="W75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59" s="3">
        <f t="shared" si="69"/>
        <v>5395.3750031851496</v>
      </c>
      <c r="Y759" s="4">
        <f t="shared" si="70"/>
        <v>5.0999606144151284E-2</v>
      </c>
      <c r="Z759" s="2" t="str">
        <f t="shared" si="71"/>
        <v>Normal</v>
      </c>
    </row>
    <row r="760" spans="1:26" x14ac:dyDescent="0.3">
      <c r="A760" t="s">
        <v>1562</v>
      </c>
      <c r="B760" s="1">
        <v>45107</v>
      </c>
      <c r="C760" t="s">
        <v>1563</v>
      </c>
      <c r="D760" t="s">
        <v>53</v>
      </c>
      <c r="E760">
        <v>3852</v>
      </c>
      <c r="F760">
        <v>23.7</v>
      </c>
      <c r="G760">
        <v>60</v>
      </c>
      <c r="H760" t="s">
        <v>19</v>
      </c>
      <c r="I760" t="s">
        <v>73</v>
      </c>
      <c r="J760" t="s">
        <v>32</v>
      </c>
      <c r="K760">
        <v>138464</v>
      </c>
      <c r="L760" t="s">
        <v>33</v>
      </c>
      <c r="M760">
        <v>0.16</v>
      </c>
      <c r="N760">
        <v>0.87</v>
      </c>
      <c r="O760">
        <v>4764.92</v>
      </c>
      <c r="P760">
        <v>0</v>
      </c>
      <c r="Q760">
        <f ca="1">DATEDIF(banking_loan_data[[#This Row],[Issue Date]],TODAY(),"M")</f>
        <v>32</v>
      </c>
      <c r="R760">
        <f t="shared" si="66"/>
        <v>4564.62</v>
      </c>
      <c r="S760">
        <f>+banking_loan_data[[#This Row],[Loan Amount]]+banking_loan_data[[#This Row],[Interest earned]]</f>
        <v>8416.619999999999</v>
      </c>
      <c r="T760" s="2">
        <f t="shared" si="67"/>
        <v>912.92000000000007</v>
      </c>
      <c r="U760" s="2">
        <f t="shared" si="68"/>
        <v>0</v>
      </c>
      <c r="V760" s="2" t="str">
        <f>IF(banking_loan_data[[#This Row],[Loan Status]]="FULLY PAID","GOOD",IF(banking_loan_data[[#This Row],[Loan Status]]="CURRENT","ACTIVE","BAD"))</f>
        <v>GOOD</v>
      </c>
      <c r="W76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60" s="3">
        <f t="shared" si="69"/>
        <v>7607.7</v>
      </c>
      <c r="Y760" s="4">
        <f t="shared" si="70"/>
        <v>0.23699896157840086</v>
      </c>
      <c r="Z760" s="2" t="str">
        <f t="shared" si="71"/>
        <v>High Risk</v>
      </c>
    </row>
    <row r="761" spans="1:26" x14ac:dyDescent="0.3">
      <c r="A761" t="s">
        <v>1564</v>
      </c>
      <c r="B761" s="1">
        <v>44514</v>
      </c>
      <c r="C761" t="s">
        <v>1565</v>
      </c>
      <c r="D761" t="s">
        <v>50</v>
      </c>
      <c r="E761">
        <v>17014</v>
      </c>
      <c r="F761">
        <v>21.4</v>
      </c>
      <c r="G761">
        <v>36</v>
      </c>
      <c r="H761" t="s">
        <v>19</v>
      </c>
      <c r="I761" t="s">
        <v>73</v>
      </c>
      <c r="J761" t="s">
        <v>32</v>
      </c>
      <c r="K761">
        <v>116242</v>
      </c>
      <c r="L761" t="s">
        <v>33</v>
      </c>
      <c r="M761">
        <v>0.23</v>
      </c>
      <c r="N761">
        <v>0.89</v>
      </c>
      <c r="O761">
        <v>20655</v>
      </c>
      <c r="P761">
        <v>0</v>
      </c>
      <c r="Q761">
        <f ca="1">DATEDIF(banking_loan_data[[#This Row],[Issue Date]],TODAY(),"M")</f>
        <v>52</v>
      </c>
      <c r="R761">
        <f t="shared" si="66"/>
        <v>10922.987999999999</v>
      </c>
      <c r="S761">
        <f>+banking_loan_data[[#This Row],[Loan Amount]]+banking_loan_data[[#This Row],[Interest earned]]</f>
        <v>27936.987999999998</v>
      </c>
      <c r="T761" s="2">
        <f t="shared" si="67"/>
        <v>3641</v>
      </c>
      <c r="U761" s="2">
        <f t="shared" si="68"/>
        <v>0</v>
      </c>
      <c r="V761" s="2" t="str">
        <f>IF(banking_loan_data[[#This Row],[Loan Status]]="FULLY PAID","GOOD",IF(banking_loan_data[[#This Row],[Loan Status]]="CURRENT","ACTIVE","BAD"))</f>
        <v>GOOD</v>
      </c>
      <c r="W76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61" s="3">
        <f t="shared" si="69"/>
        <v>30341.633333333339</v>
      </c>
      <c r="Y761" s="4">
        <f t="shared" si="70"/>
        <v>0.21400023510050548</v>
      </c>
      <c r="Z761" s="2" t="str">
        <f t="shared" si="71"/>
        <v>High Risk</v>
      </c>
    </row>
    <row r="762" spans="1:26" x14ac:dyDescent="0.3">
      <c r="A762" t="s">
        <v>1566</v>
      </c>
      <c r="B762" s="1">
        <v>44432</v>
      </c>
      <c r="C762" t="s">
        <v>1567</v>
      </c>
      <c r="D762" t="s">
        <v>46</v>
      </c>
      <c r="E762">
        <v>28042</v>
      </c>
      <c r="F762">
        <v>21.2</v>
      </c>
      <c r="G762">
        <v>60</v>
      </c>
      <c r="H762" t="s">
        <v>19</v>
      </c>
      <c r="I762" t="s">
        <v>73</v>
      </c>
      <c r="J762" t="s">
        <v>21</v>
      </c>
      <c r="K762">
        <v>43682</v>
      </c>
      <c r="L762" t="s">
        <v>33</v>
      </c>
      <c r="M762">
        <v>0.12</v>
      </c>
      <c r="N762">
        <v>0.71</v>
      </c>
      <c r="O762">
        <v>33986.9</v>
      </c>
      <c r="P762">
        <v>0</v>
      </c>
      <c r="Q762">
        <f ca="1">DATEDIF(banking_loan_data[[#This Row],[Issue Date]],TODAY(),"M")</f>
        <v>54</v>
      </c>
      <c r="R762">
        <f t="shared" si="66"/>
        <v>29724.520000000004</v>
      </c>
      <c r="S762">
        <f>+banking_loan_data[[#This Row],[Loan Amount]]+banking_loan_data[[#This Row],[Interest earned]]</f>
        <v>57766.520000000004</v>
      </c>
      <c r="T762" s="2">
        <f t="shared" si="67"/>
        <v>5944.9000000000015</v>
      </c>
      <c r="U762" s="2">
        <f t="shared" si="68"/>
        <v>0</v>
      </c>
      <c r="V762" s="2" t="str">
        <f>IF(banking_loan_data[[#This Row],[Loan Status]]="FULLY PAID","GOOD",IF(banking_loan_data[[#This Row],[Loan Status]]="CURRENT","ACTIVE","BAD"))</f>
        <v>GOOD</v>
      </c>
      <c r="W76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62" s="3">
        <f t="shared" si="69"/>
        <v>49540.866666666669</v>
      </c>
      <c r="Y762" s="4">
        <f t="shared" si="70"/>
        <v>0.21199985735682197</v>
      </c>
      <c r="Z762" s="2" t="str">
        <f t="shared" si="71"/>
        <v>Normal</v>
      </c>
    </row>
    <row r="763" spans="1:26" x14ac:dyDescent="0.3">
      <c r="A763" t="s">
        <v>1568</v>
      </c>
      <c r="B763" s="1">
        <v>44530</v>
      </c>
      <c r="C763" t="s">
        <v>1569</v>
      </c>
      <c r="D763" t="s">
        <v>72</v>
      </c>
      <c r="E763">
        <v>34755</v>
      </c>
      <c r="F763">
        <v>22.7</v>
      </c>
      <c r="G763">
        <v>36</v>
      </c>
      <c r="H763" t="s">
        <v>19</v>
      </c>
      <c r="I763" t="s">
        <v>57</v>
      </c>
      <c r="J763" t="s">
        <v>21</v>
      </c>
      <c r="K763">
        <v>122298</v>
      </c>
      <c r="L763" t="s">
        <v>22</v>
      </c>
      <c r="M763">
        <v>0.17</v>
      </c>
      <c r="N763">
        <v>0.85</v>
      </c>
      <c r="O763">
        <v>42644.38</v>
      </c>
      <c r="P763">
        <v>0</v>
      </c>
      <c r="Q763">
        <f ca="1">DATEDIF(banking_loan_data[[#This Row],[Issue Date]],TODAY(),"M")</f>
        <v>51</v>
      </c>
      <c r="R763">
        <f t="shared" si="66"/>
        <v>23668.154999999999</v>
      </c>
      <c r="S763">
        <f>+banking_loan_data[[#This Row],[Loan Amount]]+banking_loan_data[[#This Row],[Interest earned]]</f>
        <v>58423.154999999999</v>
      </c>
      <c r="T763" s="2">
        <f t="shared" si="67"/>
        <v>7889.3799999999974</v>
      </c>
      <c r="U763" s="2">
        <f t="shared" si="68"/>
        <v>0</v>
      </c>
      <c r="V763" s="2" t="str">
        <f>IF(banking_loan_data[[#This Row],[Loan Status]]="FULLY PAID","GOOD",IF(banking_loan_data[[#This Row],[Loan Status]]="CURRENT","ACTIVE","BAD"))</f>
        <v>GOOD</v>
      </c>
      <c r="W76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63" s="3">
        <f t="shared" si="69"/>
        <v>65744.875</v>
      </c>
      <c r="Y763" s="4">
        <f t="shared" si="70"/>
        <v>0.22699985613580773</v>
      </c>
      <c r="Z763" s="2" t="str">
        <f t="shared" si="71"/>
        <v>High Risk</v>
      </c>
    </row>
    <row r="764" spans="1:26" x14ac:dyDescent="0.3">
      <c r="A764" t="s">
        <v>1570</v>
      </c>
      <c r="B764" s="1">
        <v>44572</v>
      </c>
      <c r="C764" t="s">
        <v>1571</v>
      </c>
      <c r="D764" t="s">
        <v>25</v>
      </c>
      <c r="E764">
        <v>24711</v>
      </c>
      <c r="F764">
        <v>19</v>
      </c>
      <c r="G764">
        <v>36</v>
      </c>
      <c r="H764" t="s">
        <v>19</v>
      </c>
      <c r="I764" t="s">
        <v>57</v>
      </c>
      <c r="J764" t="s">
        <v>32</v>
      </c>
      <c r="K764">
        <v>53383</v>
      </c>
      <c r="L764" t="s">
        <v>29</v>
      </c>
      <c r="M764">
        <v>0.49</v>
      </c>
      <c r="N764">
        <v>0.93</v>
      </c>
      <c r="O764">
        <v>29406.09</v>
      </c>
      <c r="P764">
        <v>0</v>
      </c>
      <c r="Q764">
        <f ca="1">DATEDIF(banking_loan_data[[#This Row],[Issue Date]],TODAY(),"M")</f>
        <v>50</v>
      </c>
      <c r="R764">
        <f t="shared" si="66"/>
        <v>14085.269999999999</v>
      </c>
      <c r="S764">
        <f>+banking_loan_data[[#This Row],[Loan Amount]]+banking_loan_data[[#This Row],[Interest earned]]</f>
        <v>38796.269999999997</v>
      </c>
      <c r="T764" s="2">
        <f t="shared" si="67"/>
        <v>4695.09</v>
      </c>
      <c r="U764" s="2">
        <f t="shared" si="68"/>
        <v>0</v>
      </c>
      <c r="V764" s="2" t="str">
        <f>IF(banking_loan_data[[#This Row],[Loan Status]]="FULLY PAID","GOOD",IF(banking_loan_data[[#This Row],[Loan Status]]="CURRENT","ACTIVE","BAD"))</f>
        <v>GOOD</v>
      </c>
      <c r="W76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64" s="3">
        <f t="shared" si="69"/>
        <v>39125.750000000058</v>
      </c>
      <c r="Y764" s="4">
        <f t="shared" si="70"/>
        <v>0.19</v>
      </c>
      <c r="Z764" s="2" t="str">
        <f t="shared" si="71"/>
        <v>High Risk</v>
      </c>
    </row>
    <row r="765" spans="1:26" x14ac:dyDescent="0.3">
      <c r="A765" t="s">
        <v>1572</v>
      </c>
      <c r="B765" s="1">
        <v>44784</v>
      </c>
      <c r="C765" t="s">
        <v>1573</v>
      </c>
      <c r="D765" t="s">
        <v>46</v>
      </c>
      <c r="E765">
        <v>27122</v>
      </c>
      <c r="F765">
        <v>7.1</v>
      </c>
      <c r="G765">
        <v>60</v>
      </c>
      <c r="H765" t="s">
        <v>19</v>
      </c>
      <c r="I765" t="s">
        <v>73</v>
      </c>
      <c r="J765" t="s">
        <v>28</v>
      </c>
      <c r="K765">
        <v>88160</v>
      </c>
      <c r="L765" t="s">
        <v>33</v>
      </c>
      <c r="M765">
        <v>0.27</v>
      </c>
      <c r="N765">
        <v>0.62</v>
      </c>
      <c r="O765">
        <v>29047.66</v>
      </c>
      <c r="P765">
        <v>0</v>
      </c>
      <c r="Q765">
        <f ca="1">DATEDIF(banking_loan_data[[#This Row],[Issue Date]],TODAY(),"M")</f>
        <v>43</v>
      </c>
      <c r="R765">
        <f t="shared" si="66"/>
        <v>9628.31</v>
      </c>
      <c r="S765">
        <f>+banking_loan_data[[#This Row],[Loan Amount]]+banking_loan_data[[#This Row],[Interest earned]]</f>
        <v>36750.31</v>
      </c>
      <c r="T765" s="2">
        <f t="shared" si="67"/>
        <v>1925.6599999999999</v>
      </c>
      <c r="U765" s="2">
        <f t="shared" si="68"/>
        <v>0</v>
      </c>
      <c r="V765" s="2" t="str">
        <f>IF(banking_loan_data[[#This Row],[Loan Status]]="FULLY PAID","GOOD",IF(banking_loan_data[[#This Row],[Loan Status]]="CURRENT","ACTIVE","BAD"))</f>
        <v>GOOD</v>
      </c>
      <c r="W76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65" s="3">
        <f t="shared" si="69"/>
        <v>16047.183333345758</v>
      </c>
      <c r="Y765" s="4">
        <f t="shared" si="70"/>
        <v>7.0999926259125434E-2</v>
      </c>
      <c r="Z765" s="2" t="str">
        <f t="shared" si="71"/>
        <v>Normal</v>
      </c>
    </row>
    <row r="766" spans="1:26" x14ac:dyDescent="0.3">
      <c r="A766" t="s">
        <v>1574</v>
      </c>
      <c r="B766" s="1">
        <v>44709</v>
      </c>
      <c r="C766" t="s">
        <v>1575</v>
      </c>
      <c r="D766" t="s">
        <v>53</v>
      </c>
      <c r="E766">
        <v>10160</v>
      </c>
      <c r="F766">
        <v>13</v>
      </c>
      <c r="G766">
        <v>60</v>
      </c>
      <c r="H766" t="s">
        <v>26</v>
      </c>
      <c r="I766" t="s">
        <v>20</v>
      </c>
      <c r="J766" t="s">
        <v>32</v>
      </c>
      <c r="K766">
        <v>123332</v>
      </c>
      <c r="L766" t="s">
        <v>33</v>
      </c>
      <c r="M766">
        <v>0.35</v>
      </c>
      <c r="N766">
        <v>0.68</v>
      </c>
      <c r="O766">
        <v>1593.02</v>
      </c>
      <c r="P766">
        <v>0</v>
      </c>
      <c r="Q766">
        <f ca="1">DATEDIF(banking_loan_data[[#This Row],[Issue Date]],TODAY(),"M")</f>
        <v>45</v>
      </c>
      <c r="R766">
        <f t="shared" si="66"/>
        <v>6604</v>
      </c>
      <c r="S766">
        <f>+banking_loan_data[[#This Row],[Loan Amount]]+banking_loan_data[[#This Row],[Interest earned]]</f>
        <v>16764</v>
      </c>
      <c r="T766" s="2">
        <f t="shared" si="67"/>
        <v>-8566.98</v>
      </c>
      <c r="U766" s="2">
        <f t="shared" si="68"/>
        <v>0</v>
      </c>
      <c r="V766" s="2" t="str">
        <f>IF(banking_loan_data[[#This Row],[Loan Status]]="FULLY PAID","GOOD",IF(banking_loan_data[[#This Row],[Loan Status]]="CURRENT","ACTIVE","BAD"))</f>
        <v>ACTIVE</v>
      </c>
      <c r="W76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66" s="3">
        <f t="shared" si="69"/>
        <v>11006.666666666666</v>
      </c>
      <c r="Y766" s="4">
        <f t="shared" si="70"/>
        <v>-0.84320669291338579</v>
      </c>
      <c r="Z766" s="2" t="str">
        <f t="shared" si="71"/>
        <v>Normal</v>
      </c>
    </row>
    <row r="767" spans="1:26" x14ac:dyDescent="0.3">
      <c r="A767" t="s">
        <v>1576</v>
      </c>
      <c r="B767" s="1">
        <v>45114</v>
      </c>
      <c r="C767" t="s">
        <v>1577</v>
      </c>
      <c r="D767" t="s">
        <v>50</v>
      </c>
      <c r="E767">
        <v>28213</v>
      </c>
      <c r="F767">
        <v>19.5</v>
      </c>
      <c r="G767">
        <v>60</v>
      </c>
      <c r="H767" t="s">
        <v>26</v>
      </c>
      <c r="I767" t="s">
        <v>57</v>
      </c>
      <c r="J767" t="s">
        <v>21</v>
      </c>
      <c r="K767">
        <v>53666</v>
      </c>
      <c r="L767" t="s">
        <v>29</v>
      </c>
      <c r="M767">
        <v>0.39</v>
      </c>
      <c r="N767">
        <v>0.92</v>
      </c>
      <c r="O767">
        <v>5075.51</v>
      </c>
      <c r="P767">
        <v>0</v>
      </c>
      <c r="Q767">
        <f ca="1">DATEDIF(banking_loan_data[[#This Row],[Issue Date]],TODAY(),"M")</f>
        <v>32</v>
      </c>
      <c r="R767">
        <f t="shared" si="66"/>
        <v>27507.674999999999</v>
      </c>
      <c r="S767">
        <f>+banking_loan_data[[#This Row],[Loan Amount]]+banking_loan_data[[#This Row],[Interest earned]]</f>
        <v>55720.675000000003</v>
      </c>
      <c r="T767" s="2">
        <f t="shared" si="67"/>
        <v>-23137.489999999998</v>
      </c>
      <c r="U767" s="2">
        <f t="shared" si="68"/>
        <v>0</v>
      </c>
      <c r="V767" s="2" t="str">
        <f>IF(banking_loan_data[[#This Row],[Loan Status]]="FULLY PAID","GOOD",IF(banking_loan_data[[#This Row],[Loan Status]]="CURRENT","ACTIVE","BAD"))</f>
        <v>ACTIVE</v>
      </c>
      <c r="W76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67" s="3">
        <f t="shared" si="69"/>
        <v>45846.125</v>
      </c>
      <c r="Y767" s="4">
        <f t="shared" si="70"/>
        <v>-0.82010030836848258</v>
      </c>
      <c r="Z767" s="2" t="str">
        <f t="shared" si="71"/>
        <v>High Risk</v>
      </c>
    </row>
    <row r="768" spans="1:26" x14ac:dyDescent="0.3">
      <c r="A768" t="s">
        <v>1578</v>
      </c>
      <c r="B768" s="1">
        <v>45069</v>
      </c>
      <c r="C768" t="s">
        <v>1579</v>
      </c>
      <c r="D768" t="s">
        <v>56</v>
      </c>
      <c r="E768">
        <v>8421</v>
      </c>
      <c r="F768">
        <v>10.6</v>
      </c>
      <c r="G768">
        <v>36</v>
      </c>
      <c r="H768" t="s">
        <v>19</v>
      </c>
      <c r="I768" t="s">
        <v>57</v>
      </c>
      <c r="J768" t="s">
        <v>32</v>
      </c>
      <c r="K768">
        <v>88817</v>
      </c>
      <c r="L768" t="s">
        <v>29</v>
      </c>
      <c r="M768">
        <v>0.25</v>
      </c>
      <c r="N768">
        <v>0.65</v>
      </c>
      <c r="O768">
        <v>9313.6299999999992</v>
      </c>
      <c r="P768">
        <v>0</v>
      </c>
      <c r="Q768">
        <f ca="1">DATEDIF(banking_loan_data[[#This Row],[Issue Date]],TODAY(),"M")</f>
        <v>33</v>
      </c>
      <c r="R768">
        <f t="shared" si="66"/>
        <v>2677.8779999999997</v>
      </c>
      <c r="S768">
        <f>+banking_loan_data[[#This Row],[Loan Amount]]+banking_loan_data[[#This Row],[Interest earned]]</f>
        <v>11098.878000000001</v>
      </c>
      <c r="T768" s="2">
        <f t="shared" si="67"/>
        <v>892.6299999999992</v>
      </c>
      <c r="U768" s="2">
        <f t="shared" si="68"/>
        <v>0</v>
      </c>
      <c r="V768" s="2" t="str">
        <f>IF(banking_loan_data[[#This Row],[Loan Status]]="FULLY PAID","GOOD",IF(banking_loan_data[[#This Row],[Loan Status]]="CURRENT","ACTIVE","BAD"))</f>
        <v>GOOD</v>
      </c>
      <c r="W76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68" s="3">
        <f t="shared" si="69"/>
        <v>7438.5500009421266</v>
      </c>
      <c r="Y768" s="4">
        <f t="shared" si="70"/>
        <v>0.10600047500296868</v>
      </c>
      <c r="Z768" s="2" t="str">
        <f t="shared" si="71"/>
        <v>Normal</v>
      </c>
    </row>
    <row r="769" spans="1:26" x14ac:dyDescent="0.3">
      <c r="A769" t="s">
        <v>1580</v>
      </c>
      <c r="B769" s="1">
        <v>44466</v>
      </c>
      <c r="C769" t="s">
        <v>1581</v>
      </c>
      <c r="D769" t="s">
        <v>25</v>
      </c>
      <c r="E769">
        <v>22400</v>
      </c>
      <c r="F769">
        <v>18.7</v>
      </c>
      <c r="G769">
        <v>36</v>
      </c>
      <c r="H769" t="s">
        <v>26</v>
      </c>
      <c r="I769" t="s">
        <v>73</v>
      </c>
      <c r="J769" t="s">
        <v>21</v>
      </c>
      <c r="K769">
        <v>121198</v>
      </c>
      <c r="L769" t="s">
        <v>33</v>
      </c>
      <c r="M769">
        <v>0.16</v>
      </c>
      <c r="N769">
        <v>0.91</v>
      </c>
      <c r="O769">
        <v>10574.92</v>
      </c>
      <c r="P769">
        <v>0</v>
      </c>
      <c r="Q769">
        <f ca="1">DATEDIF(banking_loan_data[[#This Row],[Issue Date]],TODAY(),"M")</f>
        <v>53</v>
      </c>
      <c r="R769">
        <f t="shared" si="66"/>
        <v>12566.400000000001</v>
      </c>
      <c r="S769">
        <f>+banking_loan_data[[#This Row],[Loan Amount]]+banking_loan_data[[#This Row],[Interest earned]]</f>
        <v>34966.400000000001</v>
      </c>
      <c r="T769" s="2">
        <f t="shared" si="67"/>
        <v>-11825.08</v>
      </c>
      <c r="U769" s="2">
        <f t="shared" si="68"/>
        <v>0</v>
      </c>
      <c r="V769" s="2" t="str">
        <f>IF(banking_loan_data[[#This Row],[Loan Status]]="FULLY PAID","GOOD",IF(banking_loan_data[[#This Row],[Loan Status]]="CURRENT","ACTIVE","BAD"))</f>
        <v>ACTIVE</v>
      </c>
      <c r="W76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69" s="3">
        <f t="shared" si="69"/>
        <v>34906.666666666744</v>
      </c>
      <c r="Y769" s="4">
        <f t="shared" si="70"/>
        <v>-0.52790535714285713</v>
      </c>
      <c r="Z769" s="2" t="str">
        <f t="shared" si="71"/>
        <v>High Risk</v>
      </c>
    </row>
    <row r="770" spans="1:26" x14ac:dyDescent="0.3">
      <c r="A770" t="s">
        <v>1582</v>
      </c>
      <c r="B770" s="1">
        <v>44994</v>
      </c>
      <c r="C770" t="s">
        <v>1583</v>
      </c>
      <c r="D770" t="s">
        <v>72</v>
      </c>
      <c r="E770">
        <v>34537</v>
      </c>
      <c r="F770">
        <v>5.5</v>
      </c>
      <c r="G770">
        <v>36</v>
      </c>
      <c r="H770" t="s">
        <v>26</v>
      </c>
      <c r="I770" t="s">
        <v>20</v>
      </c>
      <c r="J770" t="s">
        <v>32</v>
      </c>
      <c r="K770">
        <v>140695</v>
      </c>
      <c r="L770" t="s">
        <v>33</v>
      </c>
      <c r="M770">
        <v>0.18</v>
      </c>
      <c r="N770">
        <v>0.94</v>
      </c>
      <c r="O770">
        <v>14559.15</v>
      </c>
      <c r="P770">
        <v>0</v>
      </c>
      <c r="Q770">
        <f ca="1">DATEDIF(banking_loan_data[[#This Row],[Issue Date]],TODAY(),"M")</f>
        <v>36</v>
      </c>
      <c r="R770">
        <f t="shared" ref="R770:R833" si="72">(((E770*F770)/100)*G770)/12</f>
        <v>5698.6050000000005</v>
      </c>
      <c r="S770">
        <f>+banking_loan_data[[#This Row],[Loan Amount]]+banking_loan_data[[#This Row],[Interest earned]]</f>
        <v>40235.605000000003</v>
      </c>
      <c r="T770" s="2">
        <f t="shared" ref="T770:T833" si="73">O770 + P770 - E770</f>
        <v>-19977.849999999999</v>
      </c>
      <c r="U770" s="2">
        <f t="shared" ref="U770:U833" si="74">IF(H770="CHARGED OFF",1,0)</f>
        <v>0</v>
      </c>
      <c r="V770" s="2" t="str">
        <f>IF(banking_loan_data[[#This Row],[Loan Status]]="FULLY PAID","GOOD",IF(banking_loan_data[[#This Row],[Loan Status]]="CURRENT","ACTIVE","BAD"))</f>
        <v>ACTIVE</v>
      </c>
      <c r="W77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70" s="3">
        <f t="shared" ref="X770:X833" si="75">PMT(F770/12,G770,-E770)</f>
        <v>15829.478314539791</v>
      </c>
      <c r="Y770" s="4">
        <f t="shared" ref="Y770:Y833" si="76">IF(E770=0,0,T770/E770)</f>
        <v>-0.5784477516865969</v>
      </c>
      <c r="Z770" s="2" t="str">
        <f t="shared" ref="Z770:Z833" si="77">IF(OR(M770&gt;0.4,N770&gt;0.8),"High Risk","Normal")</f>
        <v>High Risk</v>
      </c>
    </row>
    <row r="771" spans="1:26" x14ac:dyDescent="0.3">
      <c r="A771" t="s">
        <v>1584</v>
      </c>
      <c r="B771" s="1">
        <v>44921</v>
      </c>
      <c r="C771" t="s">
        <v>1585</v>
      </c>
      <c r="D771" t="s">
        <v>56</v>
      </c>
      <c r="E771">
        <v>18727</v>
      </c>
      <c r="F771">
        <v>11.1</v>
      </c>
      <c r="G771">
        <v>60</v>
      </c>
      <c r="H771" t="s">
        <v>26</v>
      </c>
      <c r="I771" t="s">
        <v>84</v>
      </c>
      <c r="J771" t="s">
        <v>37</v>
      </c>
      <c r="K771">
        <v>64642</v>
      </c>
      <c r="L771" t="s">
        <v>29</v>
      </c>
      <c r="M771">
        <v>0.23</v>
      </c>
      <c r="N771">
        <v>0.8</v>
      </c>
      <c r="O771">
        <v>6816.79</v>
      </c>
      <c r="P771">
        <v>0</v>
      </c>
      <c r="Q771">
        <f ca="1">DATEDIF(banking_loan_data[[#This Row],[Issue Date]],TODAY(),"M")</f>
        <v>38</v>
      </c>
      <c r="R771">
        <f t="shared" si="72"/>
        <v>10393.484999999999</v>
      </c>
      <c r="S771">
        <f>+banking_loan_data[[#This Row],[Loan Amount]]+banking_loan_data[[#This Row],[Interest earned]]</f>
        <v>29120.485000000001</v>
      </c>
      <c r="T771" s="2">
        <f t="shared" si="73"/>
        <v>-11910.21</v>
      </c>
      <c r="U771" s="2">
        <f t="shared" si="74"/>
        <v>0</v>
      </c>
      <c r="V771" s="2" t="str">
        <f>IF(banking_loan_data[[#This Row],[Loan Status]]="FULLY PAID","GOOD",IF(banking_loan_data[[#This Row],[Loan Status]]="CURRENT","ACTIVE","BAD"))</f>
        <v>ACTIVE</v>
      </c>
      <c r="W77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71" s="3">
        <f t="shared" si="75"/>
        <v>17322.474999999999</v>
      </c>
      <c r="Y771" s="4">
        <f t="shared" si="76"/>
        <v>-0.63599134938858326</v>
      </c>
      <c r="Z771" s="2" t="str">
        <f t="shared" si="77"/>
        <v>Normal</v>
      </c>
    </row>
    <row r="772" spans="1:26" x14ac:dyDescent="0.3">
      <c r="A772" t="s">
        <v>1586</v>
      </c>
      <c r="B772" s="1">
        <v>44201</v>
      </c>
      <c r="C772" t="s">
        <v>1587</v>
      </c>
      <c r="D772" t="s">
        <v>18</v>
      </c>
      <c r="E772">
        <v>5358</v>
      </c>
      <c r="F772">
        <v>16</v>
      </c>
      <c r="G772">
        <v>60</v>
      </c>
      <c r="H772" t="s">
        <v>26</v>
      </c>
      <c r="I772" t="s">
        <v>73</v>
      </c>
      <c r="J772" t="s">
        <v>21</v>
      </c>
      <c r="K772">
        <v>71830</v>
      </c>
      <c r="L772" t="s">
        <v>33</v>
      </c>
      <c r="M772">
        <v>0.35</v>
      </c>
      <c r="N772">
        <v>0.87</v>
      </c>
      <c r="O772">
        <v>466.17</v>
      </c>
      <c r="P772">
        <v>0</v>
      </c>
      <c r="Q772">
        <f ca="1">DATEDIF(banking_loan_data[[#This Row],[Issue Date]],TODAY(),"M")</f>
        <v>62</v>
      </c>
      <c r="R772">
        <f t="shared" si="72"/>
        <v>4286.3999999999996</v>
      </c>
      <c r="S772">
        <f>+banking_loan_data[[#This Row],[Loan Amount]]+banking_loan_data[[#This Row],[Interest earned]]</f>
        <v>9644.4</v>
      </c>
      <c r="T772" s="2">
        <f t="shared" si="73"/>
        <v>-4891.83</v>
      </c>
      <c r="U772" s="2">
        <f t="shared" si="74"/>
        <v>0</v>
      </c>
      <c r="V772" s="2" t="str">
        <f>IF(banking_loan_data[[#This Row],[Loan Status]]="FULLY PAID","GOOD",IF(banking_loan_data[[#This Row],[Loan Status]]="CURRENT","ACTIVE","BAD"))</f>
        <v>ACTIVE</v>
      </c>
      <c r="W77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72" s="3">
        <f t="shared" si="75"/>
        <v>7144</v>
      </c>
      <c r="Y772" s="4">
        <f t="shared" si="76"/>
        <v>-0.91299552071668533</v>
      </c>
      <c r="Z772" s="2" t="str">
        <f t="shared" si="77"/>
        <v>High Risk</v>
      </c>
    </row>
    <row r="773" spans="1:26" x14ac:dyDescent="0.3">
      <c r="A773" t="s">
        <v>1588</v>
      </c>
      <c r="B773" s="1">
        <v>45047</v>
      </c>
      <c r="C773" t="s">
        <v>1589</v>
      </c>
      <c r="D773" t="s">
        <v>50</v>
      </c>
      <c r="E773">
        <v>29482</v>
      </c>
      <c r="F773">
        <v>17.600000000000001</v>
      </c>
      <c r="G773">
        <v>60</v>
      </c>
      <c r="H773" t="s">
        <v>19</v>
      </c>
      <c r="I773" t="s">
        <v>27</v>
      </c>
      <c r="J773" t="s">
        <v>28</v>
      </c>
      <c r="K773">
        <v>133067</v>
      </c>
      <c r="L773" t="s">
        <v>33</v>
      </c>
      <c r="M773">
        <v>0.26</v>
      </c>
      <c r="N773">
        <v>0.84</v>
      </c>
      <c r="O773">
        <v>34670.83</v>
      </c>
      <c r="P773">
        <v>0</v>
      </c>
      <c r="Q773">
        <f ca="1">DATEDIF(banking_loan_data[[#This Row],[Issue Date]],TODAY(),"M")</f>
        <v>34</v>
      </c>
      <c r="R773">
        <f t="shared" si="72"/>
        <v>25944.160000000003</v>
      </c>
      <c r="S773">
        <f>+banking_loan_data[[#This Row],[Loan Amount]]+banking_loan_data[[#This Row],[Interest earned]]</f>
        <v>55426.16</v>
      </c>
      <c r="T773" s="2">
        <f t="shared" si="73"/>
        <v>5188.8300000000017</v>
      </c>
      <c r="U773" s="2">
        <f t="shared" si="74"/>
        <v>0</v>
      </c>
      <c r="V773" s="2" t="str">
        <f>IF(banking_loan_data[[#This Row],[Loan Status]]="FULLY PAID","GOOD",IF(banking_loan_data[[#This Row],[Loan Status]]="CURRENT","ACTIVE","BAD"))</f>
        <v>GOOD</v>
      </c>
      <c r="W77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73" s="3">
        <f t="shared" si="75"/>
        <v>43240.26666666667</v>
      </c>
      <c r="Y773" s="4">
        <f t="shared" si="76"/>
        <v>0.17599993216199722</v>
      </c>
      <c r="Z773" s="2" t="str">
        <f t="shared" si="77"/>
        <v>High Risk</v>
      </c>
    </row>
    <row r="774" spans="1:26" x14ac:dyDescent="0.3">
      <c r="A774" t="s">
        <v>1590</v>
      </c>
      <c r="B774" s="1">
        <v>44274</v>
      </c>
      <c r="C774" t="s">
        <v>1591</v>
      </c>
      <c r="D774" t="s">
        <v>46</v>
      </c>
      <c r="E774">
        <v>33117</v>
      </c>
      <c r="F774">
        <v>16.5</v>
      </c>
      <c r="G774">
        <v>60</v>
      </c>
      <c r="H774" t="s">
        <v>81</v>
      </c>
      <c r="I774" t="s">
        <v>27</v>
      </c>
      <c r="J774" t="s">
        <v>37</v>
      </c>
      <c r="K774">
        <v>40234</v>
      </c>
      <c r="L774" t="s">
        <v>22</v>
      </c>
      <c r="M774">
        <v>0.1</v>
      </c>
      <c r="N774">
        <v>0.81</v>
      </c>
      <c r="O774">
        <v>7467.2</v>
      </c>
      <c r="P774">
        <v>5237.4799999999996</v>
      </c>
      <c r="Q774">
        <f ca="1">DATEDIF(banking_loan_data[[#This Row],[Issue Date]],TODAY(),"M")</f>
        <v>60</v>
      </c>
      <c r="R774">
        <f t="shared" si="72"/>
        <v>27321.525000000005</v>
      </c>
      <c r="S774">
        <f>+banking_loan_data[[#This Row],[Loan Amount]]+banking_loan_data[[#This Row],[Interest earned]]</f>
        <v>60438.525000000009</v>
      </c>
      <c r="T774" s="2">
        <f t="shared" si="73"/>
        <v>-20412.32</v>
      </c>
      <c r="U774" s="2">
        <f t="shared" si="74"/>
        <v>1</v>
      </c>
      <c r="V774" s="2" t="str">
        <f>IF(banking_loan_data[[#This Row],[Loan Status]]="FULLY PAID","GOOD",IF(banking_loan_data[[#This Row],[Loan Status]]="CURRENT","ACTIVE","BAD"))</f>
        <v>BAD</v>
      </c>
      <c r="W77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74" s="3">
        <f t="shared" si="75"/>
        <v>45535.875</v>
      </c>
      <c r="Y774" s="4">
        <f t="shared" si="76"/>
        <v>-0.61636984026330888</v>
      </c>
      <c r="Z774" s="2" t="str">
        <f t="shared" si="77"/>
        <v>High Risk</v>
      </c>
    </row>
    <row r="775" spans="1:26" x14ac:dyDescent="0.3">
      <c r="A775" t="s">
        <v>1592</v>
      </c>
      <c r="B775" s="1">
        <v>44770</v>
      </c>
      <c r="C775" t="s">
        <v>1593</v>
      </c>
      <c r="D775" t="s">
        <v>25</v>
      </c>
      <c r="E775">
        <v>24164</v>
      </c>
      <c r="F775">
        <v>19</v>
      </c>
      <c r="G775">
        <v>36</v>
      </c>
      <c r="H775" t="s">
        <v>19</v>
      </c>
      <c r="I775" t="s">
        <v>57</v>
      </c>
      <c r="J775" t="s">
        <v>32</v>
      </c>
      <c r="K775">
        <v>87616</v>
      </c>
      <c r="L775" t="s">
        <v>29</v>
      </c>
      <c r="M775">
        <v>0.31</v>
      </c>
      <c r="N775">
        <v>0.64</v>
      </c>
      <c r="O775">
        <v>28755.16</v>
      </c>
      <c r="P775">
        <v>0</v>
      </c>
      <c r="Q775">
        <f ca="1">DATEDIF(banking_loan_data[[#This Row],[Issue Date]],TODAY(),"M")</f>
        <v>43</v>
      </c>
      <c r="R775">
        <f t="shared" si="72"/>
        <v>13773.480000000001</v>
      </c>
      <c r="S775">
        <f>+banking_loan_data[[#This Row],[Loan Amount]]+banking_loan_data[[#This Row],[Interest earned]]</f>
        <v>37937.480000000003</v>
      </c>
      <c r="T775" s="2">
        <f t="shared" si="73"/>
        <v>4591.16</v>
      </c>
      <c r="U775" s="2">
        <f t="shared" si="74"/>
        <v>0</v>
      </c>
      <c r="V775" s="2" t="str">
        <f>IF(banking_loan_data[[#This Row],[Loan Status]]="FULLY PAID","GOOD",IF(banking_loan_data[[#This Row],[Loan Status]]="CURRENT","ACTIVE","BAD"))</f>
        <v>GOOD</v>
      </c>
      <c r="W77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75" s="3">
        <f t="shared" si="75"/>
        <v>38259.666666666722</v>
      </c>
      <c r="Y775" s="4">
        <f t="shared" si="76"/>
        <v>0.19</v>
      </c>
      <c r="Z775" s="2" t="str">
        <f t="shared" si="77"/>
        <v>Normal</v>
      </c>
    </row>
    <row r="776" spans="1:26" x14ac:dyDescent="0.3">
      <c r="A776" t="s">
        <v>1594</v>
      </c>
      <c r="B776" s="1">
        <v>44328</v>
      </c>
      <c r="C776" t="s">
        <v>1595</v>
      </c>
      <c r="D776" t="s">
        <v>25</v>
      </c>
      <c r="E776">
        <v>32910</v>
      </c>
      <c r="F776">
        <v>5.0999999999999996</v>
      </c>
      <c r="G776">
        <v>36</v>
      </c>
      <c r="H776" t="s">
        <v>19</v>
      </c>
      <c r="I776" t="s">
        <v>73</v>
      </c>
      <c r="J776" t="s">
        <v>21</v>
      </c>
      <c r="K776">
        <v>39221</v>
      </c>
      <c r="L776" t="s">
        <v>22</v>
      </c>
      <c r="M776">
        <v>0.47</v>
      </c>
      <c r="N776">
        <v>0.53</v>
      </c>
      <c r="O776">
        <v>34588.410000000003</v>
      </c>
      <c r="P776">
        <v>0</v>
      </c>
      <c r="Q776">
        <f ca="1">DATEDIF(banking_loan_data[[#This Row],[Issue Date]],TODAY(),"M")</f>
        <v>58</v>
      </c>
      <c r="R776">
        <f t="shared" si="72"/>
        <v>5035.2300000000005</v>
      </c>
      <c r="S776">
        <f>+banking_loan_data[[#This Row],[Loan Amount]]+banking_loan_data[[#This Row],[Interest earned]]</f>
        <v>37945.230000000003</v>
      </c>
      <c r="T776" s="2">
        <f t="shared" si="73"/>
        <v>1678.4100000000035</v>
      </c>
      <c r="U776" s="2">
        <f t="shared" si="74"/>
        <v>0</v>
      </c>
      <c r="V776" s="2" t="str">
        <f>IF(banking_loan_data[[#This Row],[Loan Status]]="FULLY PAID","GOOD",IF(banking_loan_data[[#This Row],[Loan Status]]="CURRENT","ACTIVE","BAD"))</f>
        <v>GOOD</v>
      </c>
      <c r="W77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76" s="3">
        <f t="shared" si="75"/>
        <v>13986.790586626617</v>
      </c>
      <c r="Y776" s="4">
        <f t="shared" si="76"/>
        <v>5.1000000000000108E-2</v>
      </c>
      <c r="Z776" s="2" t="str">
        <f t="shared" si="77"/>
        <v>High Risk</v>
      </c>
    </row>
    <row r="777" spans="1:26" x14ac:dyDescent="0.3">
      <c r="A777" t="s">
        <v>1596</v>
      </c>
      <c r="B777" s="1">
        <v>44797</v>
      </c>
      <c r="C777" t="s">
        <v>1597</v>
      </c>
      <c r="D777" t="s">
        <v>53</v>
      </c>
      <c r="E777">
        <v>33496</v>
      </c>
      <c r="F777">
        <v>7</v>
      </c>
      <c r="G777">
        <v>36</v>
      </c>
      <c r="H777" t="s">
        <v>26</v>
      </c>
      <c r="I777" t="s">
        <v>36</v>
      </c>
      <c r="J777" t="s">
        <v>37</v>
      </c>
      <c r="K777">
        <v>41410</v>
      </c>
      <c r="L777" t="s">
        <v>22</v>
      </c>
      <c r="M777">
        <v>0.42</v>
      </c>
      <c r="N777">
        <v>0.65</v>
      </c>
      <c r="O777">
        <v>10105.27</v>
      </c>
      <c r="P777">
        <v>0</v>
      </c>
      <c r="Q777">
        <f ca="1">DATEDIF(banking_loan_data[[#This Row],[Issue Date]],TODAY(),"M")</f>
        <v>42</v>
      </c>
      <c r="R777">
        <f t="shared" si="72"/>
        <v>7034.16</v>
      </c>
      <c r="S777">
        <f>+banking_loan_data[[#This Row],[Loan Amount]]+banking_loan_data[[#This Row],[Interest earned]]</f>
        <v>40530.160000000003</v>
      </c>
      <c r="T777" s="2">
        <f t="shared" si="73"/>
        <v>-23390.73</v>
      </c>
      <c r="U777" s="2">
        <f t="shared" si="74"/>
        <v>0</v>
      </c>
      <c r="V777" s="2" t="str">
        <f>IF(banking_loan_data[[#This Row],[Loan Status]]="FULLY PAID","GOOD",IF(banking_loan_data[[#This Row],[Loan Status]]="CURRENT","ACTIVE","BAD"))</f>
        <v>ACTIVE</v>
      </c>
      <c r="W77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77" s="3">
        <f t="shared" si="75"/>
        <v>19539.334610668866</v>
      </c>
      <c r="Y777" s="4">
        <f t="shared" si="76"/>
        <v>-0.69831412705994744</v>
      </c>
      <c r="Z777" s="2" t="str">
        <f t="shared" si="77"/>
        <v>High Risk</v>
      </c>
    </row>
    <row r="778" spans="1:26" x14ac:dyDescent="0.3">
      <c r="A778" t="s">
        <v>1598</v>
      </c>
      <c r="B778" s="1">
        <v>45262</v>
      </c>
      <c r="C778" t="s">
        <v>1599</v>
      </c>
      <c r="D778" t="s">
        <v>72</v>
      </c>
      <c r="E778">
        <v>30371</v>
      </c>
      <c r="F778">
        <v>22.4</v>
      </c>
      <c r="G778">
        <v>36</v>
      </c>
      <c r="H778" t="s">
        <v>19</v>
      </c>
      <c r="I778" t="s">
        <v>27</v>
      </c>
      <c r="J778" t="s">
        <v>28</v>
      </c>
      <c r="K778">
        <v>110055</v>
      </c>
      <c r="L778" t="s">
        <v>29</v>
      </c>
      <c r="M778">
        <v>0.43</v>
      </c>
      <c r="N778">
        <v>0.8</v>
      </c>
      <c r="O778">
        <v>37174.1</v>
      </c>
      <c r="P778">
        <v>0</v>
      </c>
      <c r="Q778">
        <f ca="1">DATEDIF(banking_loan_data[[#This Row],[Issue Date]],TODAY(),"M")</f>
        <v>27</v>
      </c>
      <c r="R778">
        <f t="shared" si="72"/>
        <v>20409.311999999998</v>
      </c>
      <c r="S778">
        <f>+banking_loan_data[[#This Row],[Loan Amount]]+banking_loan_data[[#This Row],[Interest earned]]</f>
        <v>50780.311999999998</v>
      </c>
      <c r="T778" s="2">
        <f t="shared" si="73"/>
        <v>6803.0999999999985</v>
      </c>
      <c r="U778" s="2">
        <f t="shared" si="74"/>
        <v>0</v>
      </c>
      <c r="V778" s="2" t="str">
        <f>IF(banking_loan_data[[#This Row],[Loan Status]]="FULLY PAID","GOOD",IF(banking_loan_data[[#This Row],[Loan Status]]="CURRENT","ACTIVE","BAD"))</f>
        <v>GOOD</v>
      </c>
      <c r="W77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78" s="3">
        <f t="shared" si="75"/>
        <v>56692.533333333326</v>
      </c>
      <c r="Y778" s="4">
        <f t="shared" si="76"/>
        <v>0.22399986829541335</v>
      </c>
      <c r="Z778" s="2" t="str">
        <f t="shared" si="77"/>
        <v>High Risk</v>
      </c>
    </row>
    <row r="779" spans="1:26" x14ac:dyDescent="0.3">
      <c r="A779" t="s">
        <v>1600</v>
      </c>
      <c r="B779" s="1">
        <v>44285</v>
      </c>
      <c r="C779" t="s">
        <v>1601</v>
      </c>
      <c r="D779" t="s">
        <v>40</v>
      </c>
      <c r="E779">
        <v>39467</v>
      </c>
      <c r="F779">
        <v>18.600000000000001</v>
      </c>
      <c r="G779">
        <v>60</v>
      </c>
      <c r="H779" t="s">
        <v>19</v>
      </c>
      <c r="I779" t="s">
        <v>41</v>
      </c>
      <c r="J779" t="s">
        <v>21</v>
      </c>
      <c r="K779">
        <v>91413</v>
      </c>
      <c r="L779" t="s">
        <v>22</v>
      </c>
      <c r="M779">
        <v>0.42</v>
      </c>
      <c r="N779">
        <v>0.55000000000000004</v>
      </c>
      <c r="O779">
        <v>46807.86</v>
      </c>
      <c r="P779">
        <v>0</v>
      </c>
      <c r="Q779">
        <f ca="1">DATEDIF(banking_loan_data[[#This Row],[Issue Date]],TODAY(),"M")</f>
        <v>59</v>
      </c>
      <c r="R779">
        <f t="shared" si="72"/>
        <v>36704.310000000005</v>
      </c>
      <c r="S779">
        <f>+banking_loan_data[[#This Row],[Loan Amount]]+banking_loan_data[[#This Row],[Interest earned]]</f>
        <v>76171.31</v>
      </c>
      <c r="T779" s="2">
        <f t="shared" si="73"/>
        <v>7340.8600000000006</v>
      </c>
      <c r="U779" s="2">
        <f t="shared" si="74"/>
        <v>0</v>
      </c>
      <c r="V779" s="2" t="str">
        <f>IF(banking_loan_data[[#This Row],[Loan Status]]="FULLY PAID","GOOD",IF(banking_loan_data[[#This Row],[Loan Status]]="CURRENT","ACTIVE","BAD"))</f>
        <v>GOOD</v>
      </c>
      <c r="W77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79" s="3">
        <f t="shared" si="75"/>
        <v>61173.85</v>
      </c>
      <c r="Y779" s="4">
        <f t="shared" si="76"/>
        <v>0.18599994932475233</v>
      </c>
      <c r="Z779" s="2" t="str">
        <f t="shared" si="77"/>
        <v>High Risk</v>
      </c>
    </row>
    <row r="780" spans="1:26" x14ac:dyDescent="0.3">
      <c r="A780" t="s">
        <v>1602</v>
      </c>
      <c r="B780" s="1">
        <v>44598</v>
      </c>
      <c r="C780" t="s">
        <v>1603</v>
      </c>
      <c r="D780" t="s">
        <v>18</v>
      </c>
      <c r="E780">
        <v>18625</v>
      </c>
      <c r="F780">
        <v>7.3</v>
      </c>
      <c r="G780">
        <v>60</v>
      </c>
      <c r="H780" t="s">
        <v>26</v>
      </c>
      <c r="I780" t="s">
        <v>27</v>
      </c>
      <c r="J780" t="s">
        <v>37</v>
      </c>
      <c r="K780">
        <v>31051</v>
      </c>
      <c r="L780" t="s">
        <v>33</v>
      </c>
      <c r="M780">
        <v>0.23</v>
      </c>
      <c r="N780">
        <v>0.51</v>
      </c>
      <c r="O780">
        <v>2501.9899999999998</v>
      </c>
      <c r="P780">
        <v>0</v>
      </c>
      <c r="Q780">
        <f ca="1">DATEDIF(banking_loan_data[[#This Row],[Issue Date]],TODAY(),"M")</f>
        <v>49</v>
      </c>
      <c r="R780">
        <f t="shared" si="72"/>
        <v>6798.125</v>
      </c>
      <c r="S780">
        <f>+banking_loan_data[[#This Row],[Loan Amount]]+banking_loan_data[[#This Row],[Interest earned]]</f>
        <v>25423.125</v>
      </c>
      <c r="T780" s="2">
        <f t="shared" si="73"/>
        <v>-16123.01</v>
      </c>
      <c r="U780" s="2">
        <f t="shared" si="74"/>
        <v>0</v>
      </c>
      <c r="V780" s="2" t="str">
        <f>IF(banking_loan_data[[#This Row],[Loan Status]]="FULLY PAID","GOOD",IF(banking_loan_data[[#This Row],[Loan Status]]="CURRENT","ACTIVE","BAD"))</f>
        <v>ACTIVE</v>
      </c>
      <c r="W78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780" s="3">
        <f t="shared" si="75"/>
        <v>11330.208333338029</v>
      </c>
      <c r="Y780" s="4">
        <f t="shared" si="76"/>
        <v>-0.86566496644295299</v>
      </c>
      <c r="Z780" s="2" t="str">
        <f t="shared" si="77"/>
        <v>Normal</v>
      </c>
    </row>
    <row r="781" spans="1:26" x14ac:dyDescent="0.3">
      <c r="A781" t="s">
        <v>1604</v>
      </c>
      <c r="B781" s="1">
        <v>44492</v>
      </c>
      <c r="C781" t="s">
        <v>1605</v>
      </c>
      <c r="D781" t="s">
        <v>56</v>
      </c>
      <c r="E781">
        <v>34893</v>
      </c>
      <c r="F781">
        <v>21.8</v>
      </c>
      <c r="G781">
        <v>60</v>
      </c>
      <c r="H781" t="s">
        <v>26</v>
      </c>
      <c r="I781" t="s">
        <v>20</v>
      </c>
      <c r="J781" t="s">
        <v>37</v>
      </c>
      <c r="K781">
        <v>140529</v>
      </c>
      <c r="L781" t="s">
        <v>22</v>
      </c>
      <c r="M781">
        <v>0.41</v>
      </c>
      <c r="N781">
        <v>0.56000000000000005</v>
      </c>
      <c r="O781">
        <v>8782.64</v>
      </c>
      <c r="P781">
        <v>0</v>
      </c>
      <c r="Q781">
        <f ca="1">DATEDIF(banking_loan_data[[#This Row],[Issue Date]],TODAY(),"M")</f>
        <v>52</v>
      </c>
      <c r="R781">
        <f t="shared" si="72"/>
        <v>38033.370000000003</v>
      </c>
      <c r="S781">
        <f>+banking_loan_data[[#This Row],[Loan Amount]]+banking_loan_data[[#This Row],[Interest earned]]</f>
        <v>72926.37</v>
      </c>
      <c r="T781" s="2">
        <f t="shared" si="73"/>
        <v>-26110.36</v>
      </c>
      <c r="U781" s="2">
        <f t="shared" si="74"/>
        <v>0</v>
      </c>
      <c r="V781" s="2" t="str">
        <f>IF(banking_loan_data[[#This Row],[Loan Status]]="FULLY PAID","GOOD",IF(banking_loan_data[[#This Row],[Loan Status]]="CURRENT","ACTIVE","BAD"))</f>
        <v>ACTIVE</v>
      </c>
      <c r="W78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81" s="3">
        <f t="shared" si="75"/>
        <v>63388.95</v>
      </c>
      <c r="Y781" s="4">
        <f t="shared" si="76"/>
        <v>-0.7482979394147824</v>
      </c>
      <c r="Z781" s="2" t="str">
        <f t="shared" si="77"/>
        <v>High Risk</v>
      </c>
    </row>
    <row r="782" spans="1:26" x14ac:dyDescent="0.3">
      <c r="A782" t="s">
        <v>1606</v>
      </c>
      <c r="B782" s="1">
        <v>44812</v>
      </c>
      <c r="C782" t="s">
        <v>1607</v>
      </c>
      <c r="D782" t="s">
        <v>76</v>
      </c>
      <c r="E782">
        <v>11793</v>
      </c>
      <c r="F782">
        <v>9.8000000000000007</v>
      </c>
      <c r="G782">
        <v>36</v>
      </c>
      <c r="H782" t="s">
        <v>26</v>
      </c>
      <c r="I782" t="s">
        <v>20</v>
      </c>
      <c r="J782" t="s">
        <v>37</v>
      </c>
      <c r="K782">
        <v>105301</v>
      </c>
      <c r="L782" t="s">
        <v>29</v>
      </c>
      <c r="M782">
        <v>0.16</v>
      </c>
      <c r="N782">
        <v>0.82</v>
      </c>
      <c r="O782">
        <v>3779.2</v>
      </c>
      <c r="P782">
        <v>0</v>
      </c>
      <c r="Q782">
        <f ca="1">DATEDIF(banking_loan_data[[#This Row],[Issue Date]],TODAY(),"M")</f>
        <v>42</v>
      </c>
      <c r="R782">
        <f t="shared" si="72"/>
        <v>3467.1420000000003</v>
      </c>
      <c r="S782">
        <f>+banking_loan_data[[#This Row],[Loan Amount]]+banking_loan_data[[#This Row],[Interest earned]]</f>
        <v>15260.142</v>
      </c>
      <c r="T782" s="2">
        <f t="shared" si="73"/>
        <v>-8013.8</v>
      </c>
      <c r="U782" s="2">
        <f t="shared" si="74"/>
        <v>0</v>
      </c>
      <c r="V782" s="2" t="str">
        <f>IF(banking_loan_data[[#This Row],[Loan Status]]="FULLY PAID","GOOD",IF(banking_loan_data[[#This Row],[Loan Status]]="CURRENT","ACTIVE","BAD"))</f>
        <v>ACTIVE</v>
      </c>
      <c r="W78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82" s="3">
        <f t="shared" si="75"/>
        <v>9630.9500044643719</v>
      </c>
      <c r="Y782" s="4">
        <f t="shared" si="76"/>
        <v>-0.67953870940388372</v>
      </c>
      <c r="Z782" s="2" t="str">
        <f t="shared" si="77"/>
        <v>High Risk</v>
      </c>
    </row>
    <row r="783" spans="1:26" x14ac:dyDescent="0.3">
      <c r="A783" t="s">
        <v>1608</v>
      </c>
      <c r="B783" s="1">
        <v>44996</v>
      </c>
      <c r="C783" t="s">
        <v>1609</v>
      </c>
      <c r="D783" t="s">
        <v>76</v>
      </c>
      <c r="E783">
        <v>32007</v>
      </c>
      <c r="F783">
        <v>14.6</v>
      </c>
      <c r="G783">
        <v>36</v>
      </c>
      <c r="H783" t="s">
        <v>26</v>
      </c>
      <c r="I783" t="s">
        <v>73</v>
      </c>
      <c r="J783" t="s">
        <v>47</v>
      </c>
      <c r="K783">
        <v>106918</v>
      </c>
      <c r="L783" t="s">
        <v>33</v>
      </c>
      <c r="M783">
        <v>0.36</v>
      </c>
      <c r="N783">
        <v>0.94</v>
      </c>
      <c r="O783">
        <v>6315.61</v>
      </c>
      <c r="P783">
        <v>0</v>
      </c>
      <c r="Q783">
        <f ca="1">DATEDIF(banking_loan_data[[#This Row],[Issue Date]],TODAY(),"M")</f>
        <v>36</v>
      </c>
      <c r="R783">
        <f t="shared" si="72"/>
        <v>14019.065999999999</v>
      </c>
      <c r="S783">
        <f>+banking_loan_data[[#This Row],[Loan Amount]]+banking_loan_data[[#This Row],[Interest earned]]</f>
        <v>46026.065999999999</v>
      </c>
      <c r="T783" s="2">
        <f t="shared" si="73"/>
        <v>-25691.39</v>
      </c>
      <c r="U783" s="2">
        <f t="shared" si="74"/>
        <v>0</v>
      </c>
      <c r="V783" s="2" t="str">
        <f>IF(banking_loan_data[[#This Row],[Loan Status]]="FULLY PAID","GOOD",IF(banking_loan_data[[#This Row],[Loan Status]]="CURRENT","ACTIVE","BAD"))</f>
        <v>ACTIVE</v>
      </c>
      <c r="W78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83" s="3">
        <f t="shared" si="75"/>
        <v>38941.850000013968</v>
      </c>
      <c r="Y783" s="4">
        <f t="shared" si="76"/>
        <v>-0.80268035117318082</v>
      </c>
      <c r="Z783" s="2" t="str">
        <f t="shared" si="77"/>
        <v>High Risk</v>
      </c>
    </row>
    <row r="784" spans="1:26" x14ac:dyDescent="0.3">
      <c r="A784" t="s">
        <v>1610</v>
      </c>
      <c r="B784" s="1">
        <v>44618</v>
      </c>
      <c r="C784" t="s">
        <v>1611</v>
      </c>
      <c r="D784" t="s">
        <v>25</v>
      </c>
      <c r="E784">
        <v>26766</v>
      </c>
      <c r="F784">
        <v>7.9</v>
      </c>
      <c r="G784">
        <v>60</v>
      </c>
      <c r="H784" t="s">
        <v>19</v>
      </c>
      <c r="I784" t="s">
        <v>57</v>
      </c>
      <c r="J784" t="s">
        <v>32</v>
      </c>
      <c r="K784">
        <v>108116</v>
      </c>
      <c r="L784" t="s">
        <v>33</v>
      </c>
      <c r="M784">
        <v>0.36</v>
      </c>
      <c r="N784">
        <v>0.94</v>
      </c>
      <c r="O784">
        <v>28880.51</v>
      </c>
      <c r="P784">
        <v>0</v>
      </c>
      <c r="Q784">
        <f ca="1">DATEDIF(banking_loan_data[[#This Row],[Issue Date]],TODAY(),"M")</f>
        <v>48</v>
      </c>
      <c r="R784">
        <f t="shared" si="72"/>
        <v>10572.570000000002</v>
      </c>
      <c r="S784">
        <f>+banking_loan_data[[#This Row],[Loan Amount]]+banking_loan_data[[#This Row],[Interest earned]]</f>
        <v>37338.57</v>
      </c>
      <c r="T784" s="2">
        <f t="shared" si="73"/>
        <v>2114.5099999999984</v>
      </c>
      <c r="U784" s="2">
        <f t="shared" si="74"/>
        <v>0</v>
      </c>
      <c r="V784" s="2" t="str">
        <f>IF(banking_loan_data[[#This Row],[Loan Status]]="FULLY PAID","GOOD",IF(banking_loan_data[[#This Row],[Loan Status]]="CURRENT","ACTIVE","BAD"))</f>
        <v>GOOD</v>
      </c>
      <c r="W78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84" s="3">
        <f t="shared" si="75"/>
        <v>17620.950000001165</v>
      </c>
      <c r="Y784" s="4">
        <f t="shared" si="76"/>
        <v>7.8999850556676326E-2</v>
      </c>
      <c r="Z784" s="2" t="str">
        <f t="shared" si="77"/>
        <v>High Risk</v>
      </c>
    </row>
    <row r="785" spans="1:26" x14ac:dyDescent="0.3">
      <c r="A785" t="s">
        <v>1612</v>
      </c>
      <c r="B785" s="1">
        <v>45243</v>
      </c>
      <c r="C785" t="s">
        <v>1613</v>
      </c>
      <c r="D785" t="s">
        <v>53</v>
      </c>
      <c r="E785">
        <v>13323</v>
      </c>
      <c r="F785">
        <v>19.2</v>
      </c>
      <c r="G785">
        <v>60</v>
      </c>
      <c r="H785" t="s">
        <v>19</v>
      </c>
      <c r="I785" t="s">
        <v>57</v>
      </c>
      <c r="J785" t="s">
        <v>21</v>
      </c>
      <c r="K785">
        <v>86563</v>
      </c>
      <c r="L785" t="s">
        <v>33</v>
      </c>
      <c r="M785">
        <v>0.11</v>
      </c>
      <c r="N785">
        <v>0.72</v>
      </c>
      <c r="O785">
        <v>15881.02</v>
      </c>
      <c r="P785">
        <v>0</v>
      </c>
      <c r="Q785">
        <f ca="1">DATEDIF(banking_loan_data[[#This Row],[Issue Date]],TODAY(),"M")</f>
        <v>28</v>
      </c>
      <c r="R785">
        <f t="shared" si="72"/>
        <v>12790.079999999996</v>
      </c>
      <c r="S785">
        <f>+banking_loan_data[[#This Row],[Loan Amount]]+banking_loan_data[[#This Row],[Interest earned]]</f>
        <v>26113.079999999994</v>
      </c>
      <c r="T785" s="2">
        <f t="shared" si="73"/>
        <v>2558.0200000000004</v>
      </c>
      <c r="U785" s="2">
        <f t="shared" si="74"/>
        <v>0</v>
      </c>
      <c r="V785" s="2" t="str">
        <f>IF(banking_loan_data[[#This Row],[Loan Status]]="FULLY PAID","GOOD",IF(banking_loan_data[[#This Row],[Loan Status]]="CURRENT","ACTIVE","BAD"))</f>
        <v>GOOD</v>
      </c>
      <c r="W78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85" s="3">
        <f t="shared" si="75"/>
        <v>21316.799999999999</v>
      </c>
      <c r="Y785" s="4">
        <f t="shared" si="76"/>
        <v>0.19200030023268036</v>
      </c>
      <c r="Z785" s="2" t="str">
        <f t="shared" si="77"/>
        <v>Normal</v>
      </c>
    </row>
    <row r="786" spans="1:26" x14ac:dyDescent="0.3">
      <c r="A786" t="s">
        <v>1614</v>
      </c>
      <c r="B786" s="1">
        <v>44771</v>
      </c>
      <c r="C786" t="s">
        <v>1615</v>
      </c>
      <c r="D786" t="s">
        <v>65</v>
      </c>
      <c r="E786">
        <v>8843</v>
      </c>
      <c r="F786">
        <v>18.3</v>
      </c>
      <c r="G786">
        <v>36</v>
      </c>
      <c r="H786" t="s">
        <v>26</v>
      </c>
      <c r="I786" t="s">
        <v>84</v>
      </c>
      <c r="J786" t="s">
        <v>21</v>
      </c>
      <c r="K786">
        <v>127859</v>
      </c>
      <c r="L786" t="s">
        <v>33</v>
      </c>
      <c r="M786">
        <v>0.42</v>
      </c>
      <c r="N786">
        <v>0.89</v>
      </c>
      <c r="O786">
        <v>3549.8</v>
      </c>
      <c r="P786">
        <v>0</v>
      </c>
      <c r="Q786">
        <f ca="1">DATEDIF(banking_loan_data[[#This Row],[Issue Date]],TODAY(),"M")</f>
        <v>43</v>
      </c>
      <c r="R786">
        <f t="shared" si="72"/>
        <v>4854.8069999999998</v>
      </c>
      <c r="S786">
        <f>+banking_loan_data[[#This Row],[Loan Amount]]+banking_loan_data[[#This Row],[Interest earned]]</f>
        <v>13697.807000000001</v>
      </c>
      <c r="T786" s="2">
        <f t="shared" si="73"/>
        <v>-5293.2</v>
      </c>
      <c r="U786" s="2">
        <f t="shared" si="74"/>
        <v>0</v>
      </c>
      <c r="V786" s="2" t="str">
        <f>IF(banking_loan_data[[#This Row],[Loan Status]]="FULLY PAID","GOOD",IF(banking_loan_data[[#This Row],[Loan Status]]="CURRENT","ACTIVE","BAD"))</f>
        <v>ACTIVE</v>
      </c>
      <c r="W78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86" s="3">
        <f t="shared" si="75"/>
        <v>13485.575000000046</v>
      </c>
      <c r="Y786" s="4">
        <f t="shared" si="76"/>
        <v>-0.59857514418183877</v>
      </c>
      <c r="Z786" s="2" t="str">
        <f t="shared" si="77"/>
        <v>High Risk</v>
      </c>
    </row>
    <row r="787" spans="1:26" x14ac:dyDescent="0.3">
      <c r="A787" t="s">
        <v>1616</v>
      </c>
      <c r="B787" s="1">
        <v>44339</v>
      </c>
      <c r="C787" t="s">
        <v>1617</v>
      </c>
      <c r="D787" t="s">
        <v>25</v>
      </c>
      <c r="E787">
        <v>15210</v>
      </c>
      <c r="F787">
        <v>9.1999999999999993</v>
      </c>
      <c r="G787">
        <v>60</v>
      </c>
      <c r="H787" t="s">
        <v>19</v>
      </c>
      <c r="I787" t="s">
        <v>57</v>
      </c>
      <c r="J787" t="s">
        <v>21</v>
      </c>
      <c r="K787">
        <v>74757</v>
      </c>
      <c r="L787" t="s">
        <v>22</v>
      </c>
      <c r="M787">
        <v>0.46</v>
      </c>
      <c r="N787">
        <v>0.83</v>
      </c>
      <c r="O787">
        <v>16609.32</v>
      </c>
      <c r="P787">
        <v>0</v>
      </c>
      <c r="Q787">
        <f ca="1">DATEDIF(banking_loan_data[[#This Row],[Issue Date]],TODAY(),"M")</f>
        <v>57</v>
      </c>
      <c r="R787">
        <f t="shared" si="72"/>
        <v>6996.5999999999995</v>
      </c>
      <c r="S787">
        <f>+banking_loan_data[[#This Row],[Loan Amount]]+banking_loan_data[[#This Row],[Interest earned]]</f>
        <v>22206.6</v>
      </c>
      <c r="T787" s="2">
        <f t="shared" si="73"/>
        <v>1399.3199999999997</v>
      </c>
      <c r="U787" s="2">
        <f t="shared" si="74"/>
        <v>0</v>
      </c>
      <c r="V787" s="2" t="str">
        <f>IF(banking_loan_data[[#This Row],[Loan Status]]="FULLY PAID","GOOD",IF(banking_loan_data[[#This Row],[Loan Status]]="CURRENT","ACTIVE","BAD"))</f>
        <v>GOOD</v>
      </c>
      <c r="W78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87" s="3">
        <f t="shared" si="75"/>
        <v>11661.000000000016</v>
      </c>
      <c r="Y787" s="4">
        <f t="shared" si="76"/>
        <v>9.1999999999999985E-2</v>
      </c>
      <c r="Z787" s="2" t="str">
        <f t="shared" si="77"/>
        <v>High Risk</v>
      </c>
    </row>
    <row r="788" spans="1:26" x14ac:dyDescent="0.3">
      <c r="A788" t="s">
        <v>1618</v>
      </c>
      <c r="B788" s="1">
        <v>45189</v>
      </c>
      <c r="C788" t="s">
        <v>1619</v>
      </c>
      <c r="D788" t="s">
        <v>76</v>
      </c>
      <c r="E788">
        <v>17456</v>
      </c>
      <c r="F788">
        <v>22.3</v>
      </c>
      <c r="G788">
        <v>36</v>
      </c>
      <c r="H788" t="s">
        <v>26</v>
      </c>
      <c r="I788" t="s">
        <v>57</v>
      </c>
      <c r="J788" t="s">
        <v>37</v>
      </c>
      <c r="K788">
        <v>107475</v>
      </c>
      <c r="L788" t="s">
        <v>22</v>
      </c>
      <c r="M788">
        <v>0.21</v>
      </c>
      <c r="N788">
        <v>0.73</v>
      </c>
      <c r="O788">
        <v>7474.7</v>
      </c>
      <c r="P788">
        <v>0</v>
      </c>
      <c r="Q788">
        <f ca="1">DATEDIF(banking_loan_data[[#This Row],[Issue Date]],TODAY(),"M")</f>
        <v>29</v>
      </c>
      <c r="R788">
        <f t="shared" si="72"/>
        <v>11678.064</v>
      </c>
      <c r="S788">
        <f>+banking_loan_data[[#This Row],[Loan Amount]]+banking_loan_data[[#This Row],[Interest earned]]</f>
        <v>29134.063999999998</v>
      </c>
      <c r="T788" s="2">
        <f t="shared" si="73"/>
        <v>-9981.2999999999993</v>
      </c>
      <c r="U788" s="2">
        <f t="shared" si="74"/>
        <v>0</v>
      </c>
      <c r="V788" s="2" t="str">
        <f>IF(banking_loan_data[[#This Row],[Loan Status]]="FULLY PAID","GOOD",IF(banking_loan_data[[#This Row],[Loan Status]]="CURRENT","ACTIVE","BAD"))</f>
        <v>ACTIVE</v>
      </c>
      <c r="W78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88" s="3">
        <f t="shared" si="75"/>
        <v>32439.066666666669</v>
      </c>
      <c r="Y788" s="4">
        <f t="shared" si="76"/>
        <v>-0.57179766269477539</v>
      </c>
      <c r="Z788" s="2" t="str">
        <f t="shared" si="77"/>
        <v>Normal</v>
      </c>
    </row>
    <row r="789" spans="1:26" x14ac:dyDescent="0.3">
      <c r="A789" t="s">
        <v>1620</v>
      </c>
      <c r="B789" s="1">
        <v>44861</v>
      </c>
      <c r="C789" t="s">
        <v>1621</v>
      </c>
      <c r="D789" t="s">
        <v>76</v>
      </c>
      <c r="E789">
        <v>32367</v>
      </c>
      <c r="F789">
        <v>13</v>
      </c>
      <c r="G789">
        <v>36</v>
      </c>
      <c r="H789" t="s">
        <v>19</v>
      </c>
      <c r="I789" t="s">
        <v>84</v>
      </c>
      <c r="J789" t="s">
        <v>32</v>
      </c>
      <c r="K789">
        <v>81257</v>
      </c>
      <c r="L789" t="s">
        <v>33</v>
      </c>
      <c r="M789">
        <v>0.42</v>
      </c>
      <c r="N789">
        <v>0.76</v>
      </c>
      <c r="O789">
        <v>36574.71</v>
      </c>
      <c r="P789">
        <v>0</v>
      </c>
      <c r="Q789">
        <f ca="1">DATEDIF(banking_loan_data[[#This Row],[Issue Date]],TODAY(),"M")</f>
        <v>40</v>
      </c>
      <c r="R789">
        <f t="shared" si="72"/>
        <v>12623.13</v>
      </c>
      <c r="S789">
        <f>+banking_loan_data[[#This Row],[Loan Amount]]+banking_loan_data[[#This Row],[Interest earned]]</f>
        <v>44990.13</v>
      </c>
      <c r="T789" s="2">
        <f t="shared" si="73"/>
        <v>4207.7099999999991</v>
      </c>
      <c r="U789" s="2">
        <f t="shared" si="74"/>
        <v>0</v>
      </c>
      <c r="V789" s="2" t="str">
        <f>IF(banking_loan_data[[#This Row],[Loan Status]]="FULLY PAID","GOOD",IF(banking_loan_data[[#This Row],[Loan Status]]="CURRENT","ACTIVE","BAD"))</f>
        <v>GOOD</v>
      </c>
      <c r="W78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89" s="3">
        <f t="shared" si="75"/>
        <v>35064.250000117368</v>
      </c>
      <c r="Y789" s="4">
        <f t="shared" si="76"/>
        <v>0.12999999999999998</v>
      </c>
      <c r="Z789" s="2" t="str">
        <f t="shared" si="77"/>
        <v>High Risk</v>
      </c>
    </row>
    <row r="790" spans="1:26" x14ac:dyDescent="0.3">
      <c r="A790" t="s">
        <v>1622</v>
      </c>
      <c r="B790" s="1">
        <v>44341</v>
      </c>
      <c r="C790" t="s">
        <v>1623</v>
      </c>
      <c r="D790" t="s">
        <v>18</v>
      </c>
      <c r="E790">
        <v>11106</v>
      </c>
      <c r="F790">
        <v>10.9</v>
      </c>
      <c r="G790">
        <v>36</v>
      </c>
      <c r="H790" t="s">
        <v>19</v>
      </c>
      <c r="I790" t="s">
        <v>84</v>
      </c>
      <c r="J790" t="s">
        <v>28</v>
      </c>
      <c r="K790">
        <v>125500</v>
      </c>
      <c r="L790" t="s">
        <v>29</v>
      </c>
      <c r="M790">
        <v>0.13</v>
      </c>
      <c r="N790">
        <v>0.56000000000000005</v>
      </c>
      <c r="O790">
        <v>12316.55</v>
      </c>
      <c r="P790">
        <v>0</v>
      </c>
      <c r="Q790">
        <f ca="1">DATEDIF(banking_loan_data[[#This Row],[Issue Date]],TODAY(),"M")</f>
        <v>57</v>
      </c>
      <c r="R790">
        <f t="shared" si="72"/>
        <v>3631.6620000000003</v>
      </c>
      <c r="S790">
        <f>+banking_loan_data[[#This Row],[Loan Amount]]+banking_loan_data[[#This Row],[Interest earned]]</f>
        <v>14737.662</v>
      </c>
      <c r="T790" s="2">
        <f t="shared" si="73"/>
        <v>1210.5499999999993</v>
      </c>
      <c r="U790" s="2">
        <f t="shared" si="74"/>
        <v>0</v>
      </c>
      <c r="V790" s="2" t="str">
        <f>IF(banking_loan_data[[#This Row],[Loan Status]]="FULLY PAID","GOOD",IF(banking_loan_data[[#This Row],[Loan Status]]="CURRENT","ACTIVE","BAD"))</f>
        <v>GOOD</v>
      </c>
      <c r="W79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90" s="3">
        <f t="shared" si="75"/>
        <v>10087.950000794786</v>
      </c>
      <c r="Y790" s="4">
        <f t="shared" si="76"/>
        <v>0.10899963983432372</v>
      </c>
      <c r="Z790" s="2" t="str">
        <f t="shared" si="77"/>
        <v>Normal</v>
      </c>
    </row>
    <row r="791" spans="1:26" x14ac:dyDescent="0.3">
      <c r="A791" t="s">
        <v>1624</v>
      </c>
      <c r="B791" s="1">
        <v>45203</v>
      </c>
      <c r="C791" t="s">
        <v>1625</v>
      </c>
      <c r="D791" t="s">
        <v>46</v>
      </c>
      <c r="E791">
        <v>38957</v>
      </c>
      <c r="F791">
        <v>8</v>
      </c>
      <c r="G791">
        <v>60</v>
      </c>
      <c r="H791" t="s">
        <v>19</v>
      </c>
      <c r="I791" t="s">
        <v>57</v>
      </c>
      <c r="J791" t="s">
        <v>21</v>
      </c>
      <c r="K791">
        <v>30307</v>
      </c>
      <c r="L791" t="s">
        <v>33</v>
      </c>
      <c r="M791">
        <v>0.34</v>
      </c>
      <c r="N791">
        <v>0.92</v>
      </c>
      <c r="O791">
        <v>42073.56</v>
      </c>
      <c r="P791">
        <v>0</v>
      </c>
      <c r="Q791">
        <f ca="1">DATEDIF(banking_loan_data[[#This Row],[Issue Date]],TODAY(),"M")</f>
        <v>29</v>
      </c>
      <c r="R791">
        <f t="shared" si="72"/>
        <v>15582.800000000001</v>
      </c>
      <c r="S791">
        <f>+banking_loan_data[[#This Row],[Loan Amount]]+banking_loan_data[[#This Row],[Interest earned]]</f>
        <v>54539.8</v>
      </c>
      <c r="T791" s="2">
        <f t="shared" si="73"/>
        <v>3116.5599999999977</v>
      </c>
      <c r="U791" s="2">
        <f t="shared" si="74"/>
        <v>0</v>
      </c>
      <c r="V791" s="2" t="str">
        <f>IF(banking_loan_data[[#This Row],[Loan Status]]="FULLY PAID","GOOD",IF(banking_loan_data[[#This Row],[Loan Status]]="CURRENT","ACTIVE","BAD"))</f>
        <v>GOOD</v>
      </c>
      <c r="W79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91" s="3">
        <f t="shared" si="75"/>
        <v>25971.333333334602</v>
      </c>
      <c r="Y791" s="4">
        <f t="shared" si="76"/>
        <v>7.9999999999999946E-2</v>
      </c>
      <c r="Z791" s="2" t="str">
        <f t="shared" si="77"/>
        <v>High Risk</v>
      </c>
    </row>
    <row r="792" spans="1:26" x14ac:dyDescent="0.3">
      <c r="A792" t="s">
        <v>1626</v>
      </c>
      <c r="B792" s="1">
        <v>44699</v>
      </c>
      <c r="C792" t="s">
        <v>1627</v>
      </c>
      <c r="D792" t="s">
        <v>65</v>
      </c>
      <c r="E792">
        <v>3472</v>
      </c>
      <c r="F792">
        <v>10.3</v>
      </c>
      <c r="G792">
        <v>60</v>
      </c>
      <c r="H792" t="s">
        <v>26</v>
      </c>
      <c r="I792" t="s">
        <v>84</v>
      </c>
      <c r="J792" t="s">
        <v>32</v>
      </c>
      <c r="K792">
        <v>86889</v>
      </c>
      <c r="L792" t="s">
        <v>22</v>
      </c>
      <c r="M792">
        <v>0.28999999999999998</v>
      </c>
      <c r="N792">
        <v>0.66</v>
      </c>
      <c r="O792">
        <v>679.21</v>
      </c>
      <c r="P792">
        <v>0</v>
      </c>
      <c r="Q792">
        <f ca="1">DATEDIF(banking_loan_data[[#This Row],[Issue Date]],TODAY(),"M")</f>
        <v>46</v>
      </c>
      <c r="R792">
        <f t="shared" si="72"/>
        <v>1788.0800000000002</v>
      </c>
      <c r="S792">
        <f>+banking_loan_data[[#This Row],[Loan Amount]]+banking_loan_data[[#This Row],[Interest earned]]</f>
        <v>5260.08</v>
      </c>
      <c r="T792" s="2">
        <f t="shared" si="73"/>
        <v>-2792.79</v>
      </c>
      <c r="U792" s="2">
        <f t="shared" si="74"/>
        <v>0</v>
      </c>
      <c r="V792" s="2" t="str">
        <f>IF(banking_loan_data[[#This Row],[Loan Status]]="FULLY PAID","GOOD",IF(banking_loan_data[[#This Row],[Loan Status]]="CURRENT","ACTIVE","BAD"))</f>
        <v>ACTIVE</v>
      </c>
      <c r="W79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92" s="3">
        <f t="shared" si="75"/>
        <v>2980.1333333333341</v>
      </c>
      <c r="Y792" s="4">
        <f t="shared" si="76"/>
        <v>-0.80437499999999995</v>
      </c>
      <c r="Z792" s="2" t="str">
        <f t="shared" si="77"/>
        <v>Normal</v>
      </c>
    </row>
    <row r="793" spans="1:26" x14ac:dyDescent="0.3">
      <c r="A793" t="s">
        <v>1628</v>
      </c>
      <c r="B793" s="1">
        <v>45017</v>
      </c>
      <c r="C793" t="s">
        <v>1629</v>
      </c>
      <c r="D793" t="s">
        <v>25</v>
      </c>
      <c r="E793">
        <v>7704</v>
      </c>
      <c r="F793">
        <v>5.4</v>
      </c>
      <c r="G793">
        <v>36</v>
      </c>
      <c r="H793" t="s">
        <v>19</v>
      </c>
      <c r="I793" t="s">
        <v>84</v>
      </c>
      <c r="J793" t="s">
        <v>32</v>
      </c>
      <c r="K793">
        <v>98895</v>
      </c>
      <c r="L793" t="s">
        <v>33</v>
      </c>
      <c r="M793">
        <v>0.32</v>
      </c>
      <c r="N793">
        <v>0.7</v>
      </c>
      <c r="O793">
        <v>8120.02</v>
      </c>
      <c r="P793">
        <v>0</v>
      </c>
      <c r="Q793">
        <f ca="1">DATEDIF(banking_loan_data[[#This Row],[Issue Date]],TODAY(),"M")</f>
        <v>35</v>
      </c>
      <c r="R793">
        <f t="shared" si="72"/>
        <v>1248.0480000000002</v>
      </c>
      <c r="S793">
        <f>+banking_loan_data[[#This Row],[Loan Amount]]+banking_loan_data[[#This Row],[Interest earned]]</f>
        <v>8952.0480000000007</v>
      </c>
      <c r="T793" s="2">
        <f t="shared" si="73"/>
        <v>416.02000000000044</v>
      </c>
      <c r="U793" s="2">
        <f t="shared" si="74"/>
        <v>0</v>
      </c>
      <c r="V793" s="2" t="str">
        <f>IF(banking_loan_data[[#This Row],[Loan Status]]="FULLY PAID","GOOD",IF(banking_loan_data[[#This Row],[Loan Status]]="CURRENT","ACTIVE","BAD"))</f>
        <v>GOOD</v>
      </c>
      <c r="W79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93" s="3">
        <f t="shared" si="75"/>
        <v>3466.8053787502745</v>
      </c>
      <c r="Y793" s="4">
        <f t="shared" si="76"/>
        <v>5.4000519210799638E-2</v>
      </c>
      <c r="Z793" s="2" t="str">
        <f t="shared" si="77"/>
        <v>Normal</v>
      </c>
    </row>
    <row r="794" spans="1:26" x14ac:dyDescent="0.3">
      <c r="A794" t="s">
        <v>1630</v>
      </c>
      <c r="B794" s="1">
        <v>44300</v>
      </c>
      <c r="C794" t="s">
        <v>1631</v>
      </c>
      <c r="D794" t="s">
        <v>18</v>
      </c>
      <c r="E794">
        <v>4713</v>
      </c>
      <c r="F794">
        <v>16.7</v>
      </c>
      <c r="G794">
        <v>60</v>
      </c>
      <c r="H794" t="s">
        <v>19</v>
      </c>
      <c r="I794" t="s">
        <v>57</v>
      </c>
      <c r="J794" t="s">
        <v>47</v>
      </c>
      <c r="K794">
        <v>125184</v>
      </c>
      <c r="L794" t="s">
        <v>22</v>
      </c>
      <c r="M794">
        <v>0.47</v>
      </c>
      <c r="N794">
        <v>0.8</v>
      </c>
      <c r="O794">
        <v>5500.07</v>
      </c>
      <c r="P794">
        <v>0</v>
      </c>
      <c r="Q794">
        <f ca="1">DATEDIF(banking_loan_data[[#This Row],[Issue Date]],TODAY(),"M")</f>
        <v>59</v>
      </c>
      <c r="R794">
        <f t="shared" si="72"/>
        <v>3935.3549999999996</v>
      </c>
      <c r="S794">
        <f>+banking_loan_data[[#This Row],[Loan Amount]]+banking_loan_data[[#This Row],[Interest earned]]</f>
        <v>8648.3549999999996</v>
      </c>
      <c r="T794" s="2">
        <f t="shared" si="73"/>
        <v>787.06999999999971</v>
      </c>
      <c r="U794" s="2">
        <f t="shared" si="74"/>
        <v>0</v>
      </c>
      <c r="V794" s="2" t="str">
        <f>IF(banking_loan_data[[#This Row],[Loan Status]]="FULLY PAID","GOOD",IF(banking_loan_data[[#This Row],[Loan Status]]="CURRENT","ACTIVE","BAD"))</f>
        <v>GOOD</v>
      </c>
      <c r="W79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94" s="3">
        <f t="shared" si="75"/>
        <v>6558.9249999999993</v>
      </c>
      <c r="Y794" s="4">
        <f t="shared" si="76"/>
        <v>0.16699978782092079</v>
      </c>
      <c r="Z794" s="2" t="str">
        <f t="shared" si="77"/>
        <v>High Risk</v>
      </c>
    </row>
    <row r="795" spans="1:26" x14ac:dyDescent="0.3">
      <c r="A795" t="s">
        <v>1632</v>
      </c>
      <c r="B795" s="1">
        <v>45259</v>
      </c>
      <c r="C795" t="s">
        <v>1633</v>
      </c>
      <c r="D795" t="s">
        <v>53</v>
      </c>
      <c r="E795">
        <v>6051</v>
      </c>
      <c r="F795">
        <v>21.8</v>
      </c>
      <c r="G795">
        <v>36</v>
      </c>
      <c r="H795" t="s">
        <v>19</v>
      </c>
      <c r="I795" t="s">
        <v>20</v>
      </c>
      <c r="J795" t="s">
        <v>21</v>
      </c>
      <c r="K795">
        <v>65944</v>
      </c>
      <c r="L795" t="s">
        <v>33</v>
      </c>
      <c r="M795">
        <v>0.45</v>
      </c>
      <c r="N795">
        <v>0.65</v>
      </c>
      <c r="O795">
        <v>7370.12</v>
      </c>
      <c r="P795">
        <v>0</v>
      </c>
      <c r="Q795">
        <f ca="1">DATEDIF(banking_loan_data[[#This Row],[Issue Date]],TODAY(),"M")</f>
        <v>27</v>
      </c>
      <c r="R795">
        <f t="shared" si="72"/>
        <v>3957.3540000000007</v>
      </c>
      <c r="S795">
        <f>+banking_loan_data[[#This Row],[Loan Amount]]+banking_loan_data[[#This Row],[Interest earned]]</f>
        <v>10008.354000000001</v>
      </c>
      <c r="T795" s="2">
        <f t="shared" si="73"/>
        <v>1319.12</v>
      </c>
      <c r="U795" s="2">
        <f t="shared" si="74"/>
        <v>0</v>
      </c>
      <c r="V795" s="2" t="str">
        <f>IF(banking_loan_data[[#This Row],[Loan Status]]="FULLY PAID","GOOD",IF(banking_loan_data[[#This Row],[Loan Status]]="CURRENT","ACTIVE","BAD"))</f>
        <v>GOOD</v>
      </c>
      <c r="W79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95" s="3">
        <f t="shared" si="75"/>
        <v>10992.650000000001</v>
      </c>
      <c r="Y795" s="4">
        <f t="shared" si="76"/>
        <v>0.21800033052388032</v>
      </c>
      <c r="Z795" s="2" t="str">
        <f t="shared" si="77"/>
        <v>High Risk</v>
      </c>
    </row>
    <row r="796" spans="1:26" x14ac:dyDescent="0.3">
      <c r="A796" t="s">
        <v>1634</v>
      </c>
      <c r="B796" s="1">
        <v>44394</v>
      </c>
      <c r="C796" t="s">
        <v>1635</v>
      </c>
      <c r="D796" t="s">
        <v>18</v>
      </c>
      <c r="E796">
        <v>11756</v>
      </c>
      <c r="F796">
        <v>16</v>
      </c>
      <c r="G796">
        <v>36</v>
      </c>
      <c r="H796" t="s">
        <v>19</v>
      </c>
      <c r="I796" t="s">
        <v>20</v>
      </c>
      <c r="J796" t="s">
        <v>37</v>
      </c>
      <c r="K796">
        <v>129555</v>
      </c>
      <c r="L796" t="s">
        <v>29</v>
      </c>
      <c r="M796">
        <v>0.41</v>
      </c>
      <c r="N796">
        <v>0.61</v>
      </c>
      <c r="O796">
        <v>13636.96</v>
      </c>
      <c r="P796">
        <v>0</v>
      </c>
      <c r="Q796">
        <f ca="1">DATEDIF(banking_loan_data[[#This Row],[Issue Date]],TODAY(),"M")</f>
        <v>56</v>
      </c>
      <c r="R796">
        <f t="shared" si="72"/>
        <v>5642.88</v>
      </c>
      <c r="S796">
        <f>+banking_loan_data[[#This Row],[Loan Amount]]+banking_loan_data[[#This Row],[Interest earned]]</f>
        <v>17398.88</v>
      </c>
      <c r="T796" s="2">
        <f t="shared" si="73"/>
        <v>1880.9599999999991</v>
      </c>
      <c r="U796" s="2">
        <f t="shared" si="74"/>
        <v>0</v>
      </c>
      <c r="V796" s="2" t="str">
        <f>IF(banking_loan_data[[#This Row],[Loan Status]]="FULLY PAID","GOOD",IF(banking_loan_data[[#This Row],[Loan Status]]="CURRENT","ACTIVE","BAD"))</f>
        <v>GOOD</v>
      </c>
      <c r="W79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96" s="3">
        <f t="shared" si="75"/>
        <v>15674.666666667554</v>
      </c>
      <c r="Y796" s="4">
        <f t="shared" si="76"/>
        <v>0.15999999999999992</v>
      </c>
      <c r="Z796" s="2" t="str">
        <f t="shared" si="77"/>
        <v>High Risk</v>
      </c>
    </row>
    <row r="797" spans="1:26" x14ac:dyDescent="0.3">
      <c r="A797" t="s">
        <v>1636</v>
      </c>
      <c r="B797" s="1">
        <v>44775</v>
      </c>
      <c r="C797" t="s">
        <v>1637</v>
      </c>
      <c r="D797" t="s">
        <v>25</v>
      </c>
      <c r="E797">
        <v>3475</v>
      </c>
      <c r="F797">
        <v>9.4</v>
      </c>
      <c r="G797">
        <v>36</v>
      </c>
      <c r="H797" t="s">
        <v>19</v>
      </c>
      <c r="I797" t="s">
        <v>73</v>
      </c>
      <c r="J797" t="s">
        <v>32</v>
      </c>
      <c r="K797">
        <v>68134</v>
      </c>
      <c r="L797" t="s">
        <v>33</v>
      </c>
      <c r="M797">
        <v>0.21</v>
      </c>
      <c r="N797">
        <v>0.78</v>
      </c>
      <c r="O797">
        <v>3801.65</v>
      </c>
      <c r="P797">
        <v>0</v>
      </c>
      <c r="Q797">
        <f ca="1">DATEDIF(banking_loan_data[[#This Row],[Issue Date]],TODAY(),"M")</f>
        <v>43</v>
      </c>
      <c r="R797">
        <f t="shared" si="72"/>
        <v>979.94999999999993</v>
      </c>
      <c r="S797">
        <f>+banking_loan_data[[#This Row],[Loan Amount]]+banking_loan_data[[#This Row],[Interest earned]]</f>
        <v>4454.95</v>
      </c>
      <c r="T797" s="2">
        <f t="shared" si="73"/>
        <v>326.65000000000009</v>
      </c>
      <c r="U797" s="2">
        <f t="shared" si="74"/>
        <v>0</v>
      </c>
      <c r="V797" s="2" t="str">
        <f>IF(banking_loan_data[[#This Row],[Loan Status]]="FULLY PAID","GOOD",IF(banking_loan_data[[#This Row],[Loan Status]]="CURRENT","ACTIVE","BAD"))</f>
        <v>GOOD</v>
      </c>
      <c r="W79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797" s="3">
        <f t="shared" si="75"/>
        <v>2722.0833357910424</v>
      </c>
      <c r="Y797" s="4">
        <f t="shared" si="76"/>
        <v>9.4000000000000028E-2</v>
      </c>
      <c r="Z797" s="2" t="str">
        <f t="shared" si="77"/>
        <v>Normal</v>
      </c>
    </row>
    <row r="798" spans="1:26" x14ac:dyDescent="0.3">
      <c r="A798" t="s">
        <v>1638</v>
      </c>
      <c r="B798" s="1">
        <v>44587</v>
      </c>
      <c r="C798" t="s">
        <v>1639</v>
      </c>
      <c r="D798" t="s">
        <v>50</v>
      </c>
      <c r="E798">
        <v>37378</v>
      </c>
      <c r="F798">
        <v>5.7</v>
      </c>
      <c r="G798">
        <v>36</v>
      </c>
      <c r="H798" t="s">
        <v>19</v>
      </c>
      <c r="I798" t="s">
        <v>57</v>
      </c>
      <c r="J798" t="s">
        <v>32</v>
      </c>
      <c r="K798">
        <v>57323</v>
      </c>
      <c r="L798" t="s">
        <v>29</v>
      </c>
      <c r="M798">
        <v>0.46</v>
      </c>
      <c r="N798">
        <v>0.51</v>
      </c>
      <c r="O798">
        <v>39508.550000000003</v>
      </c>
      <c r="P798">
        <v>0</v>
      </c>
      <c r="Q798">
        <f ca="1">DATEDIF(banking_loan_data[[#This Row],[Issue Date]],TODAY(),"M")</f>
        <v>49</v>
      </c>
      <c r="R798">
        <f t="shared" si="72"/>
        <v>6391.6380000000017</v>
      </c>
      <c r="S798">
        <f>+banking_loan_data[[#This Row],[Loan Amount]]+banking_loan_data[[#This Row],[Interest earned]]</f>
        <v>43769.637999999999</v>
      </c>
      <c r="T798" s="2">
        <f t="shared" si="73"/>
        <v>2130.5500000000029</v>
      </c>
      <c r="U798" s="2">
        <f t="shared" si="74"/>
        <v>0</v>
      </c>
      <c r="V798" s="2" t="str">
        <f>IF(banking_loan_data[[#This Row],[Loan Status]]="FULLY PAID","GOOD",IF(banking_loan_data[[#This Row],[Loan Status]]="CURRENT","ACTIVE","BAD"))</f>
        <v>GOOD</v>
      </c>
      <c r="W79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798" s="3">
        <f t="shared" si="75"/>
        <v>17754.564886661119</v>
      </c>
      <c r="Y798" s="4">
        <f t="shared" si="76"/>
        <v>5.7000107014821631E-2</v>
      </c>
      <c r="Z798" s="2" t="str">
        <f t="shared" si="77"/>
        <v>High Risk</v>
      </c>
    </row>
    <row r="799" spans="1:26" x14ac:dyDescent="0.3">
      <c r="A799" t="s">
        <v>1640</v>
      </c>
      <c r="B799" s="1">
        <v>44750</v>
      </c>
      <c r="C799" t="s">
        <v>1641</v>
      </c>
      <c r="D799" t="s">
        <v>40</v>
      </c>
      <c r="E799">
        <v>5255</v>
      </c>
      <c r="F799">
        <v>9.3000000000000007</v>
      </c>
      <c r="G799">
        <v>60</v>
      </c>
      <c r="H799" t="s">
        <v>19</v>
      </c>
      <c r="I799" t="s">
        <v>41</v>
      </c>
      <c r="J799" t="s">
        <v>28</v>
      </c>
      <c r="K799">
        <v>146205</v>
      </c>
      <c r="L799" t="s">
        <v>29</v>
      </c>
      <c r="M799">
        <v>0.14000000000000001</v>
      </c>
      <c r="N799">
        <v>0.82</v>
      </c>
      <c r="O799">
        <v>5743.72</v>
      </c>
      <c r="P799">
        <v>0</v>
      </c>
      <c r="Q799">
        <f ca="1">DATEDIF(banking_loan_data[[#This Row],[Issue Date]],TODAY(),"M")</f>
        <v>44</v>
      </c>
      <c r="R799">
        <f t="shared" si="72"/>
        <v>2443.5750000000003</v>
      </c>
      <c r="S799">
        <f>+banking_loan_data[[#This Row],[Loan Amount]]+banking_loan_data[[#This Row],[Interest earned]]</f>
        <v>7698.5750000000007</v>
      </c>
      <c r="T799" s="2">
        <f t="shared" si="73"/>
        <v>488.72000000000025</v>
      </c>
      <c r="U799" s="2">
        <f t="shared" si="74"/>
        <v>0</v>
      </c>
      <c r="V799" s="2" t="str">
        <f>IF(banking_loan_data[[#This Row],[Loan Status]]="FULLY PAID","GOOD",IF(banking_loan_data[[#This Row],[Loan Status]]="CURRENT","ACTIVE","BAD"))</f>
        <v>GOOD</v>
      </c>
      <c r="W79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799" s="3">
        <f t="shared" si="75"/>
        <v>4072.6250000000045</v>
      </c>
      <c r="Y799" s="4">
        <f t="shared" si="76"/>
        <v>9.3000951474785973E-2</v>
      </c>
      <c r="Z799" s="2" t="str">
        <f t="shared" si="77"/>
        <v>High Risk</v>
      </c>
    </row>
    <row r="800" spans="1:26" x14ac:dyDescent="0.3">
      <c r="A800" t="s">
        <v>1642</v>
      </c>
      <c r="B800" s="1">
        <v>45235</v>
      </c>
      <c r="C800" t="s">
        <v>1643</v>
      </c>
      <c r="D800" t="s">
        <v>25</v>
      </c>
      <c r="E800">
        <v>15484</v>
      </c>
      <c r="F800">
        <v>13.3</v>
      </c>
      <c r="G800">
        <v>36</v>
      </c>
      <c r="H800" t="s">
        <v>19</v>
      </c>
      <c r="I800" t="s">
        <v>27</v>
      </c>
      <c r="J800" t="s">
        <v>47</v>
      </c>
      <c r="K800">
        <v>101762</v>
      </c>
      <c r="L800" t="s">
        <v>33</v>
      </c>
      <c r="M800">
        <v>0.44</v>
      </c>
      <c r="N800">
        <v>0.73</v>
      </c>
      <c r="O800">
        <v>17543.37</v>
      </c>
      <c r="P800">
        <v>0</v>
      </c>
      <c r="Q800">
        <f ca="1">DATEDIF(banking_loan_data[[#This Row],[Issue Date]],TODAY(),"M")</f>
        <v>28</v>
      </c>
      <c r="R800">
        <f t="shared" si="72"/>
        <v>6178.1160000000009</v>
      </c>
      <c r="S800">
        <f>+banking_loan_data[[#This Row],[Loan Amount]]+banking_loan_data[[#This Row],[Interest earned]]</f>
        <v>21662.116000000002</v>
      </c>
      <c r="T800" s="2">
        <f t="shared" si="73"/>
        <v>2059.369999999999</v>
      </c>
      <c r="U800" s="2">
        <f t="shared" si="74"/>
        <v>0</v>
      </c>
      <c r="V800" s="2" t="str">
        <f>IF(banking_loan_data[[#This Row],[Loan Status]]="FULLY PAID","GOOD",IF(banking_loan_data[[#This Row],[Loan Status]]="CURRENT","ACTIVE","BAD"))</f>
        <v>GOOD</v>
      </c>
      <c r="W80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00" s="3">
        <f t="shared" si="75"/>
        <v>17161.433333370722</v>
      </c>
      <c r="Y800" s="4">
        <f t="shared" si="76"/>
        <v>0.13299987083440964</v>
      </c>
      <c r="Z800" s="2" t="str">
        <f t="shared" si="77"/>
        <v>High Risk</v>
      </c>
    </row>
    <row r="801" spans="1:26" x14ac:dyDescent="0.3">
      <c r="A801" t="s">
        <v>1644</v>
      </c>
      <c r="B801" s="1">
        <v>44674</v>
      </c>
      <c r="C801" t="s">
        <v>1645</v>
      </c>
      <c r="D801" t="s">
        <v>72</v>
      </c>
      <c r="E801">
        <v>35503</v>
      </c>
      <c r="F801">
        <v>20.2</v>
      </c>
      <c r="G801">
        <v>36</v>
      </c>
      <c r="H801" t="s">
        <v>19</v>
      </c>
      <c r="I801" t="s">
        <v>27</v>
      </c>
      <c r="J801" t="s">
        <v>32</v>
      </c>
      <c r="K801">
        <v>117225</v>
      </c>
      <c r="L801" t="s">
        <v>29</v>
      </c>
      <c r="M801">
        <v>0.23</v>
      </c>
      <c r="N801">
        <v>0.77</v>
      </c>
      <c r="O801">
        <v>42674.61</v>
      </c>
      <c r="P801">
        <v>0</v>
      </c>
      <c r="Q801">
        <f ca="1">DATEDIF(banking_loan_data[[#This Row],[Issue Date]],TODAY(),"M")</f>
        <v>46</v>
      </c>
      <c r="R801">
        <f t="shared" si="72"/>
        <v>21514.817999999999</v>
      </c>
      <c r="S801">
        <f>+banking_loan_data[[#This Row],[Loan Amount]]+banking_loan_data[[#This Row],[Interest earned]]</f>
        <v>57017.817999999999</v>
      </c>
      <c r="T801" s="2">
        <f t="shared" si="73"/>
        <v>7171.6100000000006</v>
      </c>
      <c r="U801" s="2">
        <f t="shared" si="74"/>
        <v>0</v>
      </c>
      <c r="V801" s="2" t="str">
        <f>IF(banking_loan_data[[#This Row],[Loan Status]]="FULLY PAID","GOOD",IF(banking_loan_data[[#This Row],[Loan Status]]="CURRENT","ACTIVE","BAD"))</f>
        <v>GOOD</v>
      </c>
      <c r="W80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01" s="3">
        <f t="shared" si="75"/>
        <v>59763.38333333336</v>
      </c>
      <c r="Y801" s="4">
        <f t="shared" si="76"/>
        <v>0.20200011266653523</v>
      </c>
      <c r="Z801" s="2" t="str">
        <f t="shared" si="77"/>
        <v>Normal</v>
      </c>
    </row>
    <row r="802" spans="1:26" x14ac:dyDescent="0.3">
      <c r="A802" t="s">
        <v>1646</v>
      </c>
      <c r="B802" s="1">
        <v>45119</v>
      </c>
      <c r="C802" t="s">
        <v>1647</v>
      </c>
      <c r="D802" t="s">
        <v>76</v>
      </c>
      <c r="E802">
        <v>9258</v>
      </c>
      <c r="F802">
        <v>8.8000000000000007</v>
      </c>
      <c r="G802">
        <v>60</v>
      </c>
      <c r="H802" t="s">
        <v>26</v>
      </c>
      <c r="I802" t="s">
        <v>36</v>
      </c>
      <c r="J802" t="s">
        <v>32</v>
      </c>
      <c r="K802">
        <v>126507</v>
      </c>
      <c r="L802" t="s">
        <v>29</v>
      </c>
      <c r="M802">
        <v>0.12</v>
      </c>
      <c r="N802">
        <v>0.78</v>
      </c>
      <c r="O802">
        <v>3956.83</v>
      </c>
      <c r="P802">
        <v>0</v>
      </c>
      <c r="Q802">
        <f ca="1">DATEDIF(banking_loan_data[[#This Row],[Issue Date]],TODAY(),"M")</f>
        <v>32</v>
      </c>
      <c r="R802">
        <f t="shared" si="72"/>
        <v>4073.5200000000004</v>
      </c>
      <c r="S802">
        <f>+banking_loan_data[[#This Row],[Loan Amount]]+banking_loan_data[[#This Row],[Interest earned]]</f>
        <v>13331.52</v>
      </c>
      <c r="T802" s="2">
        <f t="shared" si="73"/>
        <v>-5301.17</v>
      </c>
      <c r="U802" s="2">
        <f t="shared" si="74"/>
        <v>0</v>
      </c>
      <c r="V802" s="2" t="str">
        <f>IF(banking_loan_data[[#This Row],[Loan Status]]="FULLY PAID","GOOD",IF(banking_loan_data[[#This Row],[Loan Status]]="CURRENT","ACTIVE","BAD"))</f>
        <v>ACTIVE</v>
      </c>
      <c r="W80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02" s="3">
        <f t="shared" si="75"/>
        <v>6789.2000000000326</v>
      </c>
      <c r="Y802" s="4">
        <f t="shared" si="76"/>
        <v>-0.57260423417584794</v>
      </c>
      <c r="Z802" s="2" t="str">
        <f t="shared" si="77"/>
        <v>Normal</v>
      </c>
    </row>
    <row r="803" spans="1:26" x14ac:dyDescent="0.3">
      <c r="A803" t="s">
        <v>1648</v>
      </c>
      <c r="B803" s="1">
        <v>44616</v>
      </c>
      <c r="C803" t="s">
        <v>1649</v>
      </c>
      <c r="D803" t="s">
        <v>65</v>
      </c>
      <c r="E803">
        <v>36196</v>
      </c>
      <c r="F803">
        <v>19.399999999999999</v>
      </c>
      <c r="G803">
        <v>36</v>
      </c>
      <c r="H803" t="s">
        <v>81</v>
      </c>
      <c r="I803" t="s">
        <v>36</v>
      </c>
      <c r="J803" t="s">
        <v>37</v>
      </c>
      <c r="K803">
        <v>55954</v>
      </c>
      <c r="L803" t="s">
        <v>22</v>
      </c>
      <c r="M803">
        <v>0.37</v>
      </c>
      <c r="N803">
        <v>0.74</v>
      </c>
      <c r="O803">
        <v>4744.32</v>
      </c>
      <c r="P803">
        <v>13544.73</v>
      </c>
      <c r="Q803">
        <f ca="1">DATEDIF(banking_loan_data[[#This Row],[Issue Date]],TODAY(),"M")</f>
        <v>48</v>
      </c>
      <c r="R803">
        <f t="shared" si="72"/>
        <v>21066.071999999996</v>
      </c>
      <c r="S803">
        <f>+banking_loan_data[[#This Row],[Loan Amount]]+banking_loan_data[[#This Row],[Interest earned]]</f>
        <v>57262.072</v>
      </c>
      <c r="T803" s="2">
        <f t="shared" si="73"/>
        <v>-17906.95</v>
      </c>
      <c r="U803" s="2">
        <f t="shared" si="74"/>
        <v>1</v>
      </c>
      <c r="V803" s="2" t="str">
        <f>IF(banking_loan_data[[#This Row],[Loan Status]]="FULLY PAID","GOOD",IF(banking_loan_data[[#This Row],[Loan Status]]="CURRENT","ACTIVE","BAD"))</f>
        <v>BAD</v>
      </c>
      <c r="W80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03" s="3">
        <f t="shared" si="75"/>
        <v>58516.866666666705</v>
      </c>
      <c r="Y803" s="4">
        <f t="shared" si="76"/>
        <v>-0.49472179246325565</v>
      </c>
      <c r="Z803" s="2" t="str">
        <f t="shared" si="77"/>
        <v>Normal</v>
      </c>
    </row>
    <row r="804" spans="1:26" x14ac:dyDescent="0.3">
      <c r="A804" t="s">
        <v>1650</v>
      </c>
      <c r="B804" s="1">
        <v>44353</v>
      </c>
      <c r="C804" t="s">
        <v>1651</v>
      </c>
      <c r="D804" t="s">
        <v>65</v>
      </c>
      <c r="E804">
        <v>9533</v>
      </c>
      <c r="F804">
        <v>22.3</v>
      </c>
      <c r="G804">
        <v>36</v>
      </c>
      <c r="H804" t="s">
        <v>19</v>
      </c>
      <c r="I804" t="s">
        <v>57</v>
      </c>
      <c r="J804" t="s">
        <v>37</v>
      </c>
      <c r="K804">
        <v>85021</v>
      </c>
      <c r="L804" t="s">
        <v>22</v>
      </c>
      <c r="M804">
        <v>0.19</v>
      </c>
      <c r="N804">
        <v>0.76</v>
      </c>
      <c r="O804">
        <v>11658.86</v>
      </c>
      <c r="P804">
        <v>0</v>
      </c>
      <c r="Q804">
        <f ca="1">DATEDIF(banking_loan_data[[#This Row],[Issue Date]],TODAY(),"M")</f>
        <v>57</v>
      </c>
      <c r="R804">
        <f t="shared" si="72"/>
        <v>6377.5770000000002</v>
      </c>
      <c r="S804">
        <f>+banking_loan_data[[#This Row],[Loan Amount]]+banking_loan_data[[#This Row],[Interest earned]]</f>
        <v>15910.577000000001</v>
      </c>
      <c r="T804" s="2">
        <f t="shared" si="73"/>
        <v>2125.8600000000006</v>
      </c>
      <c r="U804" s="2">
        <f t="shared" si="74"/>
        <v>0</v>
      </c>
      <c r="V804" s="2" t="str">
        <f>IF(banking_loan_data[[#This Row],[Loan Status]]="FULLY PAID","GOOD",IF(banking_loan_data[[#This Row],[Loan Status]]="CURRENT","ACTIVE","BAD"))</f>
        <v>GOOD</v>
      </c>
      <c r="W80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04" s="3">
        <f t="shared" si="75"/>
        <v>17715.491666666669</v>
      </c>
      <c r="Y804" s="4">
        <f t="shared" si="76"/>
        <v>0.22300010489877276</v>
      </c>
      <c r="Z804" s="2" t="str">
        <f t="shared" si="77"/>
        <v>Normal</v>
      </c>
    </row>
    <row r="805" spans="1:26" x14ac:dyDescent="0.3">
      <c r="A805" t="s">
        <v>1652</v>
      </c>
      <c r="B805" s="1">
        <v>44746</v>
      </c>
      <c r="C805" t="s">
        <v>1653</v>
      </c>
      <c r="D805" t="s">
        <v>46</v>
      </c>
      <c r="E805">
        <v>33581</v>
      </c>
      <c r="F805">
        <v>14.1</v>
      </c>
      <c r="G805">
        <v>60</v>
      </c>
      <c r="H805" t="s">
        <v>19</v>
      </c>
      <c r="I805" t="s">
        <v>20</v>
      </c>
      <c r="J805" t="s">
        <v>28</v>
      </c>
      <c r="K805">
        <v>119959</v>
      </c>
      <c r="L805" t="s">
        <v>29</v>
      </c>
      <c r="M805">
        <v>0.2</v>
      </c>
      <c r="N805">
        <v>0.81</v>
      </c>
      <c r="O805">
        <v>38315.919999999998</v>
      </c>
      <c r="P805">
        <v>0</v>
      </c>
      <c r="Q805">
        <f ca="1">DATEDIF(banking_loan_data[[#This Row],[Issue Date]],TODAY(),"M")</f>
        <v>44</v>
      </c>
      <c r="R805">
        <f t="shared" si="72"/>
        <v>23674.604999999996</v>
      </c>
      <c r="S805">
        <f>+banking_loan_data[[#This Row],[Loan Amount]]+banking_loan_data[[#This Row],[Interest earned]]</f>
        <v>57255.604999999996</v>
      </c>
      <c r="T805" s="2">
        <f t="shared" si="73"/>
        <v>4734.9199999999983</v>
      </c>
      <c r="U805" s="2">
        <f t="shared" si="74"/>
        <v>0</v>
      </c>
      <c r="V805" s="2" t="str">
        <f>IF(banking_loan_data[[#This Row],[Loan Status]]="FULLY PAID","GOOD",IF(banking_loan_data[[#This Row],[Loan Status]]="CURRENT","ACTIVE","BAD"))</f>
        <v>GOOD</v>
      </c>
      <c r="W80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05" s="3">
        <f t="shared" si="75"/>
        <v>39457.675000000003</v>
      </c>
      <c r="Y805" s="4">
        <f t="shared" si="76"/>
        <v>0.14099997022125602</v>
      </c>
      <c r="Z805" s="2" t="str">
        <f t="shared" si="77"/>
        <v>High Risk</v>
      </c>
    </row>
    <row r="806" spans="1:26" x14ac:dyDescent="0.3">
      <c r="A806" t="s">
        <v>1654</v>
      </c>
      <c r="B806" s="1">
        <v>45217</v>
      </c>
      <c r="C806" t="s">
        <v>1655</v>
      </c>
      <c r="D806" t="s">
        <v>40</v>
      </c>
      <c r="E806">
        <v>6249</v>
      </c>
      <c r="F806">
        <v>21.4</v>
      </c>
      <c r="G806">
        <v>60</v>
      </c>
      <c r="H806" t="s">
        <v>19</v>
      </c>
      <c r="I806" t="s">
        <v>27</v>
      </c>
      <c r="J806" t="s">
        <v>28</v>
      </c>
      <c r="K806">
        <v>125927</v>
      </c>
      <c r="L806" t="s">
        <v>33</v>
      </c>
      <c r="M806">
        <v>0.22</v>
      </c>
      <c r="N806">
        <v>0.84</v>
      </c>
      <c r="O806">
        <v>7586.29</v>
      </c>
      <c r="P806">
        <v>0</v>
      </c>
      <c r="Q806">
        <f ca="1">DATEDIF(banking_loan_data[[#This Row],[Issue Date]],TODAY(),"M")</f>
        <v>29</v>
      </c>
      <c r="R806">
        <f t="shared" si="72"/>
        <v>6686.4299999999994</v>
      </c>
      <c r="S806">
        <f>+banking_loan_data[[#This Row],[Loan Amount]]+banking_loan_data[[#This Row],[Interest earned]]</f>
        <v>12935.43</v>
      </c>
      <c r="T806" s="2">
        <f t="shared" si="73"/>
        <v>1337.29</v>
      </c>
      <c r="U806" s="2">
        <f t="shared" si="74"/>
        <v>0</v>
      </c>
      <c r="V806" s="2" t="str">
        <f>IF(banking_loan_data[[#This Row],[Loan Status]]="FULLY PAID","GOOD",IF(banking_loan_data[[#This Row],[Loan Status]]="CURRENT","ACTIVE","BAD"))</f>
        <v>GOOD</v>
      </c>
      <c r="W80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06" s="3">
        <f t="shared" si="75"/>
        <v>11144.05</v>
      </c>
      <c r="Y806" s="4">
        <f t="shared" si="76"/>
        <v>0.21400064010241637</v>
      </c>
      <c r="Z806" s="2" t="str">
        <f t="shared" si="77"/>
        <v>High Risk</v>
      </c>
    </row>
    <row r="807" spans="1:26" x14ac:dyDescent="0.3">
      <c r="A807" t="s">
        <v>1656</v>
      </c>
      <c r="B807" s="1">
        <v>45193</v>
      </c>
      <c r="C807" t="s">
        <v>1657</v>
      </c>
      <c r="D807" t="s">
        <v>72</v>
      </c>
      <c r="E807">
        <v>20201</v>
      </c>
      <c r="F807">
        <v>16.100000000000001</v>
      </c>
      <c r="G807">
        <v>60</v>
      </c>
      <c r="H807" t="s">
        <v>26</v>
      </c>
      <c r="I807" t="s">
        <v>57</v>
      </c>
      <c r="J807" t="s">
        <v>28</v>
      </c>
      <c r="K807">
        <v>109866</v>
      </c>
      <c r="L807" t="s">
        <v>29</v>
      </c>
      <c r="M807">
        <v>0.13</v>
      </c>
      <c r="N807">
        <v>0.83</v>
      </c>
      <c r="O807">
        <v>8625.3799999999992</v>
      </c>
      <c r="P807">
        <v>0</v>
      </c>
      <c r="Q807">
        <f ca="1">DATEDIF(banking_loan_data[[#This Row],[Issue Date]],TODAY(),"M")</f>
        <v>29</v>
      </c>
      <c r="R807">
        <f t="shared" si="72"/>
        <v>16261.805000000002</v>
      </c>
      <c r="S807">
        <f>+banking_loan_data[[#This Row],[Loan Amount]]+banking_loan_data[[#This Row],[Interest earned]]</f>
        <v>36462.805</v>
      </c>
      <c r="T807" s="2">
        <f t="shared" si="73"/>
        <v>-11575.62</v>
      </c>
      <c r="U807" s="2">
        <f t="shared" si="74"/>
        <v>0</v>
      </c>
      <c r="V807" s="2" t="str">
        <f>IF(banking_loan_data[[#This Row],[Loan Status]]="FULLY PAID","GOOD",IF(banking_loan_data[[#This Row],[Loan Status]]="CURRENT","ACTIVE","BAD"))</f>
        <v>ACTIVE</v>
      </c>
      <c r="W80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07" s="3">
        <f t="shared" si="75"/>
        <v>27103.008333333335</v>
      </c>
      <c r="Y807" s="4">
        <f t="shared" si="76"/>
        <v>-0.57302212761744475</v>
      </c>
      <c r="Z807" s="2" t="str">
        <f t="shared" si="77"/>
        <v>High Risk</v>
      </c>
    </row>
    <row r="808" spans="1:26" x14ac:dyDescent="0.3">
      <c r="A808" t="s">
        <v>1658</v>
      </c>
      <c r="B808" s="1">
        <v>45147</v>
      </c>
      <c r="C808" t="s">
        <v>1659</v>
      </c>
      <c r="D808" t="s">
        <v>76</v>
      </c>
      <c r="E808">
        <v>10686</v>
      </c>
      <c r="F808">
        <v>17.7</v>
      </c>
      <c r="G808">
        <v>36</v>
      </c>
      <c r="H808" t="s">
        <v>19</v>
      </c>
      <c r="I808" t="s">
        <v>73</v>
      </c>
      <c r="J808" t="s">
        <v>37</v>
      </c>
      <c r="K808">
        <v>100427</v>
      </c>
      <c r="L808" t="s">
        <v>33</v>
      </c>
      <c r="M808">
        <v>0.17</v>
      </c>
      <c r="N808">
        <v>0.89</v>
      </c>
      <c r="O808">
        <v>12577.42</v>
      </c>
      <c r="P808">
        <v>0</v>
      </c>
      <c r="Q808">
        <f ca="1">DATEDIF(banking_loan_data[[#This Row],[Issue Date]],TODAY(),"M")</f>
        <v>31</v>
      </c>
      <c r="R808">
        <f t="shared" si="72"/>
        <v>5674.2659999999996</v>
      </c>
      <c r="S808">
        <f>+banking_loan_data[[#This Row],[Loan Amount]]+banking_loan_data[[#This Row],[Interest earned]]</f>
        <v>16360.266</v>
      </c>
      <c r="T808" s="2">
        <f t="shared" si="73"/>
        <v>1891.42</v>
      </c>
      <c r="U808" s="2">
        <f t="shared" si="74"/>
        <v>0</v>
      </c>
      <c r="V808" s="2" t="str">
        <f>IF(banking_loan_data[[#This Row],[Loan Status]]="FULLY PAID","GOOD",IF(banking_loan_data[[#This Row],[Loan Status]]="CURRENT","ACTIVE","BAD"))</f>
        <v>GOOD</v>
      </c>
      <c r="W80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808" s="3">
        <f t="shared" si="75"/>
        <v>15761.850000000106</v>
      </c>
      <c r="Y808" s="4">
        <f t="shared" si="76"/>
        <v>0.17699981283922891</v>
      </c>
      <c r="Z808" s="2" t="str">
        <f t="shared" si="77"/>
        <v>High Risk</v>
      </c>
    </row>
    <row r="809" spans="1:26" x14ac:dyDescent="0.3">
      <c r="A809" t="s">
        <v>1660</v>
      </c>
      <c r="B809" s="1">
        <v>44485</v>
      </c>
      <c r="C809" t="s">
        <v>1661</v>
      </c>
      <c r="D809" t="s">
        <v>65</v>
      </c>
      <c r="E809">
        <v>33007</v>
      </c>
      <c r="F809">
        <v>15.5</v>
      </c>
      <c r="G809">
        <v>60</v>
      </c>
      <c r="H809" t="s">
        <v>19</v>
      </c>
      <c r="I809" t="s">
        <v>27</v>
      </c>
      <c r="J809" t="s">
        <v>37</v>
      </c>
      <c r="K809">
        <v>34992</v>
      </c>
      <c r="L809" t="s">
        <v>22</v>
      </c>
      <c r="M809">
        <v>0.1</v>
      </c>
      <c r="N809">
        <v>0.59</v>
      </c>
      <c r="O809">
        <v>38123.08</v>
      </c>
      <c r="P809">
        <v>0</v>
      </c>
      <c r="Q809">
        <f ca="1">DATEDIF(banking_loan_data[[#This Row],[Issue Date]],TODAY(),"M")</f>
        <v>53</v>
      </c>
      <c r="R809">
        <f t="shared" si="72"/>
        <v>25580.424999999999</v>
      </c>
      <c r="S809">
        <f>+banking_loan_data[[#This Row],[Loan Amount]]+banking_loan_data[[#This Row],[Interest earned]]</f>
        <v>58587.425000000003</v>
      </c>
      <c r="T809" s="2">
        <f t="shared" si="73"/>
        <v>5116.0800000000017</v>
      </c>
      <c r="U809" s="2">
        <f t="shared" si="74"/>
        <v>0</v>
      </c>
      <c r="V809" s="2" t="str">
        <f>IF(banking_loan_data[[#This Row],[Loan Status]]="FULLY PAID","GOOD",IF(banking_loan_data[[#This Row],[Loan Status]]="CURRENT","ACTIVE","BAD"))</f>
        <v>GOOD</v>
      </c>
      <c r="W80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09" s="3">
        <f t="shared" si="75"/>
        <v>42634.041666666672</v>
      </c>
      <c r="Y809" s="4">
        <f t="shared" si="76"/>
        <v>0.15499984851698129</v>
      </c>
      <c r="Z809" s="2" t="str">
        <f t="shared" si="77"/>
        <v>Normal</v>
      </c>
    </row>
    <row r="810" spans="1:26" x14ac:dyDescent="0.3">
      <c r="A810" t="s">
        <v>1662</v>
      </c>
      <c r="B810" s="1">
        <v>44392</v>
      </c>
      <c r="C810" t="s">
        <v>1663</v>
      </c>
      <c r="D810" t="s">
        <v>72</v>
      </c>
      <c r="E810">
        <v>1661</v>
      </c>
      <c r="F810">
        <v>14.3</v>
      </c>
      <c r="G810">
        <v>60</v>
      </c>
      <c r="H810" t="s">
        <v>26</v>
      </c>
      <c r="I810" t="s">
        <v>36</v>
      </c>
      <c r="J810" t="s">
        <v>47</v>
      </c>
      <c r="K810">
        <v>31961</v>
      </c>
      <c r="L810" t="s">
        <v>33</v>
      </c>
      <c r="M810">
        <v>0.28000000000000003</v>
      </c>
      <c r="N810">
        <v>0.68</v>
      </c>
      <c r="O810">
        <v>197.22</v>
      </c>
      <c r="P810">
        <v>0</v>
      </c>
      <c r="Q810">
        <f ca="1">DATEDIF(banking_loan_data[[#This Row],[Issue Date]],TODAY(),"M")</f>
        <v>56</v>
      </c>
      <c r="R810">
        <f t="shared" si="72"/>
        <v>1187.615</v>
      </c>
      <c r="S810">
        <f>+banking_loan_data[[#This Row],[Loan Amount]]+banking_loan_data[[#This Row],[Interest earned]]</f>
        <v>2848.6149999999998</v>
      </c>
      <c r="T810" s="2">
        <f t="shared" si="73"/>
        <v>-1463.78</v>
      </c>
      <c r="U810" s="2">
        <f t="shared" si="74"/>
        <v>0</v>
      </c>
      <c r="V810" s="2" t="str">
        <f>IF(banking_loan_data[[#This Row],[Loan Status]]="FULLY PAID","GOOD",IF(banking_loan_data[[#This Row],[Loan Status]]="CURRENT","ACTIVE","BAD"))</f>
        <v>ACTIVE</v>
      </c>
      <c r="W81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10" s="3">
        <f t="shared" si="75"/>
        <v>1979.3583333333333</v>
      </c>
      <c r="Y810" s="4">
        <f t="shared" si="76"/>
        <v>-0.88126429861529199</v>
      </c>
      <c r="Z810" s="2" t="str">
        <f t="shared" si="77"/>
        <v>Normal</v>
      </c>
    </row>
    <row r="811" spans="1:26" x14ac:dyDescent="0.3">
      <c r="A811" t="s">
        <v>1664</v>
      </c>
      <c r="B811" s="1">
        <v>44794</v>
      </c>
      <c r="C811" t="s">
        <v>1665</v>
      </c>
      <c r="D811" t="s">
        <v>18</v>
      </c>
      <c r="E811">
        <v>31137</v>
      </c>
      <c r="F811">
        <v>9.6999999999999993</v>
      </c>
      <c r="G811">
        <v>36</v>
      </c>
      <c r="H811" t="s">
        <v>19</v>
      </c>
      <c r="I811" t="s">
        <v>57</v>
      </c>
      <c r="J811" t="s">
        <v>21</v>
      </c>
      <c r="K811">
        <v>42497</v>
      </c>
      <c r="L811" t="s">
        <v>29</v>
      </c>
      <c r="M811">
        <v>0.13</v>
      </c>
      <c r="N811">
        <v>0.93</v>
      </c>
      <c r="O811">
        <v>34157.29</v>
      </c>
      <c r="P811">
        <v>0</v>
      </c>
      <c r="Q811">
        <f ca="1">DATEDIF(banking_loan_data[[#This Row],[Issue Date]],TODAY(),"M")</f>
        <v>42</v>
      </c>
      <c r="R811">
        <f t="shared" si="72"/>
        <v>9060.8670000000002</v>
      </c>
      <c r="S811">
        <f>+banking_loan_data[[#This Row],[Loan Amount]]+banking_loan_data[[#This Row],[Interest earned]]</f>
        <v>40197.866999999998</v>
      </c>
      <c r="T811" s="2">
        <f t="shared" si="73"/>
        <v>3020.2900000000009</v>
      </c>
      <c r="U811" s="2">
        <f t="shared" si="74"/>
        <v>0</v>
      </c>
      <c r="V811" s="2" t="str">
        <f>IF(banking_loan_data[[#This Row],[Loan Status]]="FULLY PAID","GOOD",IF(banking_loan_data[[#This Row],[Loan Status]]="CURRENT","ACTIVE","BAD"))</f>
        <v>GOOD</v>
      </c>
      <c r="W81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11" s="3">
        <f t="shared" si="75"/>
        <v>25169.075013767073</v>
      </c>
      <c r="Y811" s="4">
        <f t="shared" si="76"/>
        <v>9.7000032116131965E-2</v>
      </c>
      <c r="Z811" s="2" t="str">
        <f t="shared" si="77"/>
        <v>High Risk</v>
      </c>
    </row>
    <row r="812" spans="1:26" x14ac:dyDescent="0.3">
      <c r="A812" t="s">
        <v>1666</v>
      </c>
      <c r="B812" s="1">
        <v>44713</v>
      </c>
      <c r="C812" t="s">
        <v>1667</v>
      </c>
      <c r="D812" t="s">
        <v>46</v>
      </c>
      <c r="E812">
        <v>11526</v>
      </c>
      <c r="F812">
        <v>11.1</v>
      </c>
      <c r="G812">
        <v>36</v>
      </c>
      <c r="H812" t="s">
        <v>26</v>
      </c>
      <c r="I812" t="s">
        <v>84</v>
      </c>
      <c r="J812" t="s">
        <v>21</v>
      </c>
      <c r="K812">
        <v>147551</v>
      </c>
      <c r="L812" t="s">
        <v>29</v>
      </c>
      <c r="M812">
        <v>0.37</v>
      </c>
      <c r="N812">
        <v>0.68</v>
      </c>
      <c r="O812">
        <v>1006.42</v>
      </c>
      <c r="P812">
        <v>0</v>
      </c>
      <c r="Q812">
        <f ca="1">DATEDIF(banking_loan_data[[#This Row],[Issue Date]],TODAY(),"M")</f>
        <v>45</v>
      </c>
      <c r="R812">
        <f t="shared" si="72"/>
        <v>3838.1579999999999</v>
      </c>
      <c r="S812">
        <f>+banking_loan_data[[#This Row],[Loan Amount]]+banking_loan_data[[#This Row],[Interest earned]]</f>
        <v>15364.157999999999</v>
      </c>
      <c r="T812" s="2">
        <f t="shared" si="73"/>
        <v>-10519.58</v>
      </c>
      <c r="U812" s="2">
        <f t="shared" si="74"/>
        <v>0</v>
      </c>
      <c r="V812" s="2" t="str">
        <f>IF(banking_loan_data[[#This Row],[Loan Status]]="FULLY PAID","GOOD",IF(banking_loan_data[[#This Row],[Loan Status]]="CURRENT","ACTIVE","BAD"))</f>
        <v>ACTIVE</v>
      </c>
      <c r="W81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12" s="3">
        <f t="shared" si="75"/>
        <v>10661.550000614207</v>
      </c>
      <c r="Y812" s="4">
        <f t="shared" si="76"/>
        <v>-0.91268263057435361</v>
      </c>
      <c r="Z812" s="2" t="str">
        <f t="shared" si="77"/>
        <v>Normal</v>
      </c>
    </row>
    <row r="813" spans="1:26" x14ac:dyDescent="0.3">
      <c r="A813" t="s">
        <v>1668</v>
      </c>
      <c r="B813" s="1">
        <v>45061</v>
      </c>
      <c r="C813" t="s">
        <v>1669</v>
      </c>
      <c r="D813" t="s">
        <v>25</v>
      </c>
      <c r="E813">
        <v>4374</v>
      </c>
      <c r="F813">
        <v>10.8</v>
      </c>
      <c r="G813">
        <v>36</v>
      </c>
      <c r="H813" t="s">
        <v>19</v>
      </c>
      <c r="I813" t="s">
        <v>57</v>
      </c>
      <c r="J813" t="s">
        <v>47</v>
      </c>
      <c r="K813">
        <v>62551</v>
      </c>
      <c r="L813" t="s">
        <v>29</v>
      </c>
      <c r="M813">
        <v>0.19</v>
      </c>
      <c r="N813">
        <v>0.56000000000000005</v>
      </c>
      <c r="O813">
        <v>4846.3900000000003</v>
      </c>
      <c r="P813">
        <v>0</v>
      </c>
      <c r="Q813">
        <f ca="1">DATEDIF(banking_loan_data[[#This Row],[Issue Date]],TODAY(),"M")</f>
        <v>34</v>
      </c>
      <c r="R813">
        <f t="shared" si="72"/>
        <v>1417.1760000000002</v>
      </c>
      <c r="S813">
        <f>+banking_loan_data[[#This Row],[Loan Amount]]+banking_loan_data[[#This Row],[Interest earned]]</f>
        <v>5791.1760000000004</v>
      </c>
      <c r="T813" s="2">
        <f t="shared" si="73"/>
        <v>472.39000000000033</v>
      </c>
      <c r="U813" s="2">
        <f t="shared" si="74"/>
        <v>0</v>
      </c>
      <c r="V813" s="2" t="str">
        <f>IF(banking_loan_data[[#This Row],[Loan Status]]="FULLY PAID","GOOD",IF(banking_loan_data[[#This Row],[Loan Status]]="CURRENT","ACTIVE","BAD"))</f>
        <v>GOOD</v>
      </c>
      <c r="W81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13" s="3">
        <f t="shared" si="75"/>
        <v>3936.6000003630706</v>
      </c>
      <c r="Y813" s="4">
        <f t="shared" si="76"/>
        <v>0.10799954275262924</v>
      </c>
      <c r="Z813" s="2" t="str">
        <f t="shared" si="77"/>
        <v>Normal</v>
      </c>
    </row>
    <row r="814" spans="1:26" x14ac:dyDescent="0.3">
      <c r="A814" t="s">
        <v>1670</v>
      </c>
      <c r="B814" s="1">
        <v>45002</v>
      </c>
      <c r="C814" t="s">
        <v>1671</v>
      </c>
      <c r="D814" t="s">
        <v>25</v>
      </c>
      <c r="E814">
        <v>26592</v>
      </c>
      <c r="F814">
        <v>16.3</v>
      </c>
      <c r="G814">
        <v>36</v>
      </c>
      <c r="H814" t="s">
        <v>26</v>
      </c>
      <c r="I814" t="s">
        <v>27</v>
      </c>
      <c r="J814" t="s">
        <v>21</v>
      </c>
      <c r="K814">
        <v>106384</v>
      </c>
      <c r="L814" t="s">
        <v>29</v>
      </c>
      <c r="M814">
        <v>0.48</v>
      </c>
      <c r="N814">
        <v>0.74</v>
      </c>
      <c r="O814">
        <v>9009.34</v>
      </c>
      <c r="P814">
        <v>0</v>
      </c>
      <c r="Q814">
        <f ca="1">DATEDIF(banking_loan_data[[#This Row],[Issue Date]],TODAY(),"M")</f>
        <v>36</v>
      </c>
      <c r="R814">
        <f t="shared" si="72"/>
        <v>13003.487999999999</v>
      </c>
      <c r="S814">
        <f>+banking_loan_data[[#This Row],[Loan Amount]]+banking_loan_data[[#This Row],[Interest earned]]</f>
        <v>39595.487999999998</v>
      </c>
      <c r="T814" s="2">
        <f t="shared" si="73"/>
        <v>-17582.66</v>
      </c>
      <c r="U814" s="2">
        <f t="shared" si="74"/>
        <v>0</v>
      </c>
      <c r="V814" s="2" t="str">
        <f>IF(banking_loan_data[[#This Row],[Loan Status]]="FULLY PAID","GOOD",IF(banking_loan_data[[#This Row],[Loan Status]]="CURRENT","ACTIVE","BAD"))</f>
        <v>ACTIVE</v>
      </c>
      <c r="W81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14" s="3">
        <f t="shared" si="75"/>
        <v>36120.800000001393</v>
      </c>
      <c r="Y814" s="4">
        <f t="shared" si="76"/>
        <v>-0.6612011131167268</v>
      </c>
      <c r="Z814" s="2" t="str">
        <f t="shared" si="77"/>
        <v>High Risk</v>
      </c>
    </row>
    <row r="815" spans="1:26" x14ac:dyDescent="0.3">
      <c r="A815" t="s">
        <v>1672</v>
      </c>
      <c r="B815" s="1">
        <v>45011</v>
      </c>
      <c r="C815" t="s">
        <v>1673</v>
      </c>
      <c r="D815" t="s">
        <v>50</v>
      </c>
      <c r="E815">
        <v>29982</v>
      </c>
      <c r="F815">
        <v>7.4</v>
      </c>
      <c r="G815">
        <v>36</v>
      </c>
      <c r="H815" t="s">
        <v>19</v>
      </c>
      <c r="I815" t="s">
        <v>20</v>
      </c>
      <c r="J815" t="s">
        <v>37</v>
      </c>
      <c r="K815">
        <v>85755</v>
      </c>
      <c r="L815" t="s">
        <v>29</v>
      </c>
      <c r="M815">
        <v>0.45</v>
      </c>
      <c r="N815">
        <v>0.55000000000000004</v>
      </c>
      <c r="O815">
        <v>32200.67</v>
      </c>
      <c r="P815">
        <v>0</v>
      </c>
      <c r="Q815">
        <f ca="1">DATEDIF(banking_loan_data[[#This Row],[Issue Date]],TODAY(),"M")</f>
        <v>35</v>
      </c>
      <c r="R815">
        <f t="shared" si="72"/>
        <v>6656.0040000000008</v>
      </c>
      <c r="S815">
        <f>+banking_loan_data[[#This Row],[Loan Amount]]+banking_loan_data[[#This Row],[Interest earned]]</f>
        <v>36638.004000000001</v>
      </c>
      <c r="T815" s="2">
        <f t="shared" si="73"/>
        <v>2218.6699999999983</v>
      </c>
      <c r="U815" s="2">
        <f t="shared" si="74"/>
        <v>0</v>
      </c>
      <c r="V815" s="2" t="str">
        <f>IF(banking_loan_data[[#This Row],[Loan Status]]="FULLY PAID","GOOD",IF(banking_loan_data[[#This Row],[Loan Status]]="CURRENT","ACTIVE","BAD"))</f>
        <v>GOOD</v>
      </c>
      <c r="W81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15" s="3">
        <f t="shared" si="75"/>
        <v>18488.900570917911</v>
      </c>
      <c r="Y815" s="4">
        <f t="shared" si="76"/>
        <v>7.4000066706690626E-2</v>
      </c>
      <c r="Z815" s="2" t="str">
        <f t="shared" si="77"/>
        <v>High Risk</v>
      </c>
    </row>
    <row r="816" spans="1:26" x14ac:dyDescent="0.3">
      <c r="A816" t="s">
        <v>1674</v>
      </c>
      <c r="B816" s="1">
        <v>44424</v>
      </c>
      <c r="C816" t="s">
        <v>1675</v>
      </c>
      <c r="D816" t="s">
        <v>76</v>
      </c>
      <c r="E816">
        <v>1207</v>
      </c>
      <c r="F816">
        <v>23.3</v>
      </c>
      <c r="G816">
        <v>60</v>
      </c>
      <c r="H816" t="s">
        <v>81</v>
      </c>
      <c r="I816" t="s">
        <v>84</v>
      </c>
      <c r="J816" t="s">
        <v>21</v>
      </c>
      <c r="K816">
        <v>43255</v>
      </c>
      <c r="L816" t="s">
        <v>33</v>
      </c>
      <c r="M816">
        <v>0.22</v>
      </c>
      <c r="N816">
        <v>0.59</v>
      </c>
      <c r="O816">
        <v>291.58999999999997</v>
      </c>
      <c r="P816">
        <v>508.63</v>
      </c>
      <c r="Q816">
        <f ca="1">DATEDIF(banking_loan_data[[#This Row],[Issue Date]],TODAY(),"M")</f>
        <v>55</v>
      </c>
      <c r="R816">
        <f t="shared" si="72"/>
        <v>1406.155</v>
      </c>
      <c r="S816">
        <f>+banking_loan_data[[#This Row],[Loan Amount]]+banking_loan_data[[#This Row],[Interest earned]]</f>
        <v>2613.1549999999997</v>
      </c>
      <c r="T816" s="2">
        <f t="shared" si="73"/>
        <v>-406.78</v>
      </c>
      <c r="U816" s="2">
        <f t="shared" si="74"/>
        <v>1</v>
      </c>
      <c r="V816" s="2" t="str">
        <f>IF(banking_loan_data[[#This Row],[Loan Status]]="FULLY PAID","GOOD",IF(banking_loan_data[[#This Row],[Loan Status]]="CURRENT","ACTIVE","BAD"))</f>
        <v>BAD</v>
      </c>
      <c r="W81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16" s="3">
        <f t="shared" si="75"/>
        <v>2343.5916666666667</v>
      </c>
      <c r="Y816" s="4">
        <f t="shared" si="76"/>
        <v>-0.33701739850869922</v>
      </c>
      <c r="Z816" s="2" t="str">
        <f t="shared" si="77"/>
        <v>Normal</v>
      </c>
    </row>
    <row r="817" spans="1:26" x14ac:dyDescent="0.3">
      <c r="A817" t="s">
        <v>1676</v>
      </c>
      <c r="B817" s="1">
        <v>44412</v>
      </c>
      <c r="C817" t="s">
        <v>1677</v>
      </c>
      <c r="D817" t="s">
        <v>72</v>
      </c>
      <c r="E817">
        <v>36433</v>
      </c>
      <c r="F817">
        <v>19.399999999999999</v>
      </c>
      <c r="G817">
        <v>60</v>
      </c>
      <c r="H817" t="s">
        <v>26</v>
      </c>
      <c r="I817" t="s">
        <v>20</v>
      </c>
      <c r="J817" t="s">
        <v>37</v>
      </c>
      <c r="K817">
        <v>34567</v>
      </c>
      <c r="L817" t="s">
        <v>29</v>
      </c>
      <c r="M817">
        <v>0.41</v>
      </c>
      <c r="N817">
        <v>0.95</v>
      </c>
      <c r="O817">
        <v>16706.38</v>
      </c>
      <c r="P817">
        <v>0</v>
      </c>
      <c r="Q817">
        <f ca="1">DATEDIF(banking_loan_data[[#This Row],[Issue Date]],TODAY(),"M")</f>
        <v>55</v>
      </c>
      <c r="R817">
        <f t="shared" si="72"/>
        <v>35340.01</v>
      </c>
      <c r="S817">
        <f>+banking_loan_data[[#This Row],[Loan Amount]]+banking_loan_data[[#This Row],[Interest earned]]</f>
        <v>71773.010000000009</v>
      </c>
      <c r="T817" s="2">
        <f t="shared" si="73"/>
        <v>-19726.62</v>
      </c>
      <c r="U817" s="2">
        <f t="shared" si="74"/>
        <v>0</v>
      </c>
      <c r="V817" s="2" t="str">
        <f>IF(banking_loan_data[[#This Row],[Loan Status]]="FULLY PAID","GOOD",IF(banking_loan_data[[#This Row],[Loan Status]]="CURRENT","ACTIVE","BAD"))</f>
        <v>ACTIVE</v>
      </c>
      <c r="W81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17" s="3">
        <f t="shared" si="75"/>
        <v>58900.016666666663</v>
      </c>
      <c r="Y817" s="4">
        <f t="shared" si="76"/>
        <v>-0.54144923558312519</v>
      </c>
      <c r="Z817" s="2" t="str">
        <f t="shared" si="77"/>
        <v>High Risk</v>
      </c>
    </row>
    <row r="818" spans="1:26" x14ac:dyDescent="0.3">
      <c r="A818" t="s">
        <v>1678</v>
      </c>
      <c r="B818" s="1">
        <v>45144</v>
      </c>
      <c r="C818" t="s">
        <v>1679</v>
      </c>
      <c r="D818" t="s">
        <v>56</v>
      </c>
      <c r="E818">
        <v>24197</v>
      </c>
      <c r="F818">
        <v>13</v>
      </c>
      <c r="G818">
        <v>60</v>
      </c>
      <c r="H818" t="s">
        <v>19</v>
      </c>
      <c r="I818" t="s">
        <v>27</v>
      </c>
      <c r="J818" t="s">
        <v>47</v>
      </c>
      <c r="K818">
        <v>78847</v>
      </c>
      <c r="L818" t="s">
        <v>22</v>
      </c>
      <c r="M818">
        <v>0.42</v>
      </c>
      <c r="N818">
        <v>0.74</v>
      </c>
      <c r="O818">
        <v>27342.61</v>
      </c>
      <c r="P818">
        <v>0</v>
      </c>
      <c r="Q818">
        <f ca="1">DATEDIF(banking_loan_data[[#This Row],[Issue Date]],TODAY(),"M")</f>
        <v>31</v>
      </c>
      <c r="R818">
        <f t="shared" si="72"/>
        <v>15728.050000000001</v>
      </c>
      <c r="S818">
        <f>+banking_loan_data[[#This Row],[Loan Amount]]+banking_loan_data[[#This Row],[Interest earned]]</f>
        <v>39925.050000000003</v>
      </c>
      <c r="T818" s="2">
        <f t="shared" si="73"/>
        <v>3145.6100000000006</v>
      </c>
      <c r="U818" s="2">
        <f t="shared" si="74"/>
        <v>0</v>
      </c>
      <c r="V818" s="2" t="str">
        <f>IF(banking_loan_data[[#This Row],[Loan Status]]="FULLY PAID","GOOD",IF(banking_loan_data[[#This Row],[Loan Status]]="CURRENT","ACTIVE","BAD"))</f>
        <v>GOOD</v>
      </c>
      <c r="W81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18" s="3">
        <f t="shared" si="75"/>
        <v>26213.416666666664</v>
      </c>
      <c r="Y818" s="4">
        <f t="shared" si="76"/>
        <v>0.13000000000000003</v>
      </c>
      <c r="Z818" s="2" t="str">
        <f t="shared" si="77"/>
        <v>High Risk</v>
      </c>
    </row>
    <row r="819" spans="1:26" x14ac:dyDescent="0.3">
      <c r="A819" t="s">
        <v>1680</v>
      </c>
      <c r="B819" s="1">
        <v>44211</v>
      </c>
      <c r="C819" t="s">
        <v>1681</v>
      </c>
      <c r="D819" t="s">
        <v>65</v>
      </c>
      <c r="E819">
        <v>34400</v>
      </c>
      <c r="F819">
        <v>8.1999999999999993</v>
      </c>
      <c r="G819">
        <v>36</v>
      </c>
      <c r="H819" t="s">
        <v>19</v>
      </c>
      <c r="I819" t="s">
        <v>20</v>
      </c>
      <c r="J819" t="s">
        <v>28</v>
      </c>
      <c r="K819">
        <v>134817</v>
      </c>
      <c r="L819" t="s">
        <v>29</v>
      </c>
      <c r="M819">
        <v>0.49</v>
      </c>
      <c r="N819">
        <v>0.63</v>
      </c>
      <c r="O819">
        <v>37220.800000000003</v>
      </c>
      <c r="P819">
        <v>0</v>
      </c>
      <c r="Q819">
        <f ca="1">DATEDIF(banking_loan_data[[#This Row],[Issue Date]],TODAY(),"M")</f>
        <v>62</v>
      </c>
      <c r="R819">
        <f t="shared" si="72"/>
        <v>8462.4</v>
      </c>
      <c r="S819">
        <f>+banking_loan_data[[#This Row],[Loan Amount]]+banking_loan_data[[#This Row],[Interest earned]]</f>
        <v>42862.400000000001</v>
      </c>
      <c r="T819" s="2">
        <f t="shared" si="73"/>
        <v>2820.8000000000029</v>
      </c>
      <c r="U819" s="2">
        <f t="shared" si="74"/>
        <v>0</v>
      </c>
      <c r="V819" s="2" t="str">
        <f>IF(banking_loan_data[[#This Row],[Loan Status]]="FULLY PAID","GOOD",IF(banking_loan_data[[#This Row],[Loan Status]]="CURRENT","ACTIVE","BAD"))</f>
        <v>GOOD</v>
      </c>
      <c r="W81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19" s="3">
        <f t="shared" si="75"/>
        <v>23506.666836126431</v>
      </c>
      <c r="Y819" s="4">
        <f t="shared" si="76"/>
        <v>8.2000000000000087E-2</v>
      </c>
      <c r="Z819" s="2" t="str">
        <f t="shared" si="77"/>
        <v>High Risk</v>
      </c>
    </row>
    <row r="820" spans="1:26" x14ac:dyDescent="0.3">
      <c r="A820" t="s">
        <v>1682</v>
      </c>
      <c r="B820" s="1">
        <v>44243</v>
      </c>
      <c r="C820" t="s">
        <v>1683</v>
      </c>
      <c r="D820" t="s">
        <v>53</v>
      </c>
      <c r="E820">
        <v>4083</v>
      </c>
      <c r="F820">
        <v>22.6</v>
      </c>
      <c r="G820">
        <v>36</v>
      </c>
      <c r="H820" t="s">
        <v>19</v>
      </c>
      <c r="I820" t="s">
        <v>57</v>
      </c>
      <c r="J820" t="s">
        <v>47</v>
      </c>
      <c r="K820">
        <v>78003</v>
      </c>
      <c r="L820" t="s">
        <v>33</v>
      </c>
      <c r="M820">
        <v>0.34</v>
      </c>
      <c r="N820">
        <v>0.95</v>
      </c>
      <c r="O820">
        <v>5005.76</v>
      </c>
      <c r="P820">
        <v>0</v>
      </c>
      <c r="Q820">
        <f ca="1">DATEDIF(banking_loan_data[[#This Row],[Issue Date]],TODAY(),"M")</f>
        <v>61</v>
      </c>
      <c r="R820">
        <f t="shared" si="72"/>
        <v>2768.2739999999999</v>
      </c>
      <c r="S820">
        <f>+banking_loan_data[[#This Row],[Loan Amount]]+banking_loan_data[[#This Row],[Interest earned]]</f>
        <v>6851.2739999999994</v>
      </c>
      <c r="T820" s="2">
        <f t="shared" si="73"/>
        <v>922.76000000000022</v>
      </c>
      <c r="U820" s="2">
        <f t="shared" si="74"/>
        <v>0</v>
      </c>
      <c r="V820" s="2" t="str">
        <f>IF(banking_loan_data[[#This Row],[Loan Status]]="FULLY PAID","GOOD",IF(banking_loan_data[[#This Row],[Loan Status]]="CURRENT","ACTIVE","BAD"))</f>
        <v>GOOD</v>
      </c>
      <c r="W82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20" s="3">
        <f t="shared" si="75"/>
        <v>7689.6500000000005</v>
      </c>
      <c r="Y820" s="4">
        <f t="shared" si="76"/>
        <v>0.22600048983590504</v>
      </c>
      <c r="Z820" s="2" t="str">
        <f t="shared" si="77"/>
        <v>High Risk</v>
      </c>
    </row>
    <row r="821" spans="1:26" x14ac:dyDescent="0.3">
      <c r="A821" t="s">
        <v>1684</v>
      </c>
      <c r="B821" s="1">
        <v>44520</v>
      </c>
      <c r="C821" t="s">
        <v>1685</v>
      </c>
      <c r="D821" t="s">
        <v>53</v>
      </c>
      <c r="E821">
        <v>30328</v>
      </c>
      <c r="F821">
        <v>21.5</v>
      </c>
      <c r="G821">
        <v>36</v>
      </c>
      <c r="H821" t="s">
        <v>26</v>
      </c>
      <c r="I821" t="s">
        <v>73</v>
      </c>
      <c r="J821" t="s">
        <v>21</v>
      </c>
      <c r="K821">
        <v>50389</v>
      </c>
      <c r="L821" t="s">
        <v>29</v>
      </c>
      <c r="M821">
        <v>0.13</v>
      </c>
      <c r="N821">
        <v>0.93</v>
      </c>
      <c r="O821">
        <v>6473.06</v>
      </c>
      <c r="P821">
        <v>0</v>
      </c>
      <c r="Q821">
        <f ca="1">DATEDIF(banking_loan_data[[#This Row],[Issue Date]],TODAY(),"M")</f>
        <v>51</v>
      </c>
      <c r="R821">
        <f t="shared" si="72"/>
        <v>19561.560000000001</v>
      </c>
      <c r="S821">
        <f>+banking_loan_data[[#This Row],[Loan Amount]]+banking_loan_data[[#This Row],[Interest earned]]</f>
        <v>49889.56</v>
      </c>
      <c r="T821" s="2">
        <f t="shared" si="73"/>
        <v>-23854.94</v>
      </c>
      <c r="U821" s="2">
        <f t="shared" si="74"/>
        <v>0</v>
      </c>
      <c r="V821" s="2" t="str">
        <f>IF(banking_loan_data[[#This Row],[Loan Status]]="FULLY PAID","GOOD",IF(banking_loan_data[[#This Row],[Loan Status]]="CURRENT","ACTIVE","BAD"))</f>
        <v>ACTIVE</v>
      </c>
      <c r="W82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821" s="3">
        <f t="shared" si="75"/>
        <v>54337.666666666679</v>
      </c>
      <c r="Y821" s="4">
        <f t="shared" si="76"/>
        <v>-0.78656489053020306</v>
      </c>
      <c r="Z821" s="2" t="str">
        <f t="shared" si="77"/>
        <v>High Risk</v>
      </c>
    </row>
    <row r="822" spans="1:26" x14ac:dyDescent="0.3">
      <c r="A822" t="s">
        <v>1686</v>
      </c>
      <c r="B822" s="1">
        <v>45040</v>
      </c>
      <c r="C822" t="s">
        <v>1687</v>
      </c>
      <c r="D822" t="s">
        <v>25</v>
      </c>
      <c r="E822">
        <v>21103</v>
      </c>
      <c r="F822">
        <v>19.399999999999999</v>
      </c>
      <c r="G822">
        <v>60</v>
      </c>
      <c r="H822" t="s">
        <v>26</v>
      </c>
      <c r="I822" t="s">
        <v>57</v>
      </c>
      <c r="J822" t="s">
        <v>37</v>
      </c>
      <c r="K822">
        <v>74523</v>
      </c>
      <c r="L822" t="s">
        <v>29</v>
      </c>
      <c r="M822">
        <v>0.36</v>
      </c>
      <c r="N822">
        <v>0.7</v>
      </c>
      <c r="O822">
        <v>3782.05</v>
      </c>
      <c r="P822">
        <v>0</v>
      </c>
      <c r="Q822">
        <f ca="1">DATEDIF(banking_loan_data[[#This Row],[Issue Date]],TODAY(),"M")</f>
        <v>34</v>
      </c>
      <c r="R822">
        <f t="shared" si="72"/>
        <v>20469.91</v>
      </c>
      <c r="S822">
        <f>+banking_loan_data[[#This Row],[Loan Amount]]+banking_loan_data[[#This Row],[Interest earned]]</f>
        <v>41572.910000000003</v>
      </c>
      <c r="T822" s="2">
        <f t="shared" si="73"/>
        <v>-17320.95</v>
      </c>
      <c r="U822" s="2">
        <f t="shared" si="74"/>
        <v>0</v>
      </c>
      <c r="V822" s="2" t="str">
        <f>IF(banking_loan_data[[#This Row],[Loan Status]]="FULLY PAID","GOOD",IF(banking_loan_data[[#This Row],[Loan Status]]="CURRENT","ACTIVE","BAD"))</f>
        <v>ACTIVE</v>
      </c>
      <c r="W82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22" s="3">
        <f t="shared" si="75"/>
        <v>34116.516666666663</v>
      </c>
      <c r="Y822" s="4">
        <f t="shared" si="76"/>
        <v>-0.82078140548737155</v>
      </c>
      <c r="Z822" s="2" t="str">
        <f t="shared" si="77"/>
        <v>Normal</v>
      </c>
    </row>
    <row r="823" spans="1:26" x14ac:dyDescent="0.3">
      <c r="A823" t="s">
        <v>1688</v>
      </c>
      <c r="B823" s="1">
        <v>44326</v>
      </c>
      <c r="C823" t="s">
        <v>1689</v>
      </c>
      <c r="D823" t="s">
        <v>56</v>
      </c>
      <c r="E823">
        <v>11754</v>
      </c>
      <c r="F823">
        <v>10.4</v>
      </c>
      <c r="G823">
        <v>60</v>
      </c>
      <c r="H823" t="s">
        <v>19</v>
      </c>
      <c r="I823" t="s">
        <v>20</v>
      </c>
      <c r="J823" t="s">
        <v>21</v>
      </c>
      <c r="K823">
        <v>91576</v>
      </c>
      <c r="L823" t="s">
        <v>33</v>
      </c>
      <c r="M823">
        <v>0.35</v>
      </c>
      <c r="N823">
        <v>0.62</v>
      </c>
      <c r="O823">
        <v>12976.42</v>
      </c>
      <c r="P823">
        <v>0</v>
      </c>
      <c r="Q823">
        <f ca="1">DATEDIF(banking_loan_data[[#This Row],[Issue Date]],TODAY(),"M")</f>
        <v>58</v>
      </c>
      <c r="R823">
        <f t="shared" si="72"/>
        <v>6112.0800000000008</v>
      </c>
      <c r="S823">
        <f>+banking_loan_data[[#This Row],[Loan Amount]]+banking_loan_data[[#This Row],[Interest earned]]</f>
        <v>17866.080000000002</v>
      </c>
      <c r="T823" s="2">
        <f t="shared" si="73"/>
        <v>1222.42</v>
      </c>
      <c r="U823" s="2">
        <f t="shared" si="74"/>
        <v>0</v>
      </c>
      <c r="V823" s="2" t="str">
        <f>IF(banking_loan_data[[#This Row],[Loan Status]]="FULLY PAID","GOOD",IF(banking_loan_data[[#This Row],[Loan Status]]="CURRENT","ACTIVE","BAD"))</f>
        <v>GOOD</v>
      </c>
      <c r="W82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23" s="3">
        <f t="shared" si="75"/>
        <v>10186.800000000001</v>
      </c>
      <c r="Y823" s="4">
        <f t="shared" si="76"/>
        <v>0.10400034030968182</v>
      </c>
      <c r="Z823" s="2" t="str">
        <f t="shared" si="77"/>
        <v>Normal</v>
      </c>
    </row>
    <row r="824" spans="1:26" x14ac:dyDescent="0.3">
      <c r="A824" t="s">
        <v>1690</v>
      </c>
      <c r="B824" s="1">
        <v>44291</v>
      </c>
      <c r="C824" t="s">
        <v>1691</v>
      </c>
      <c r="D824" t="s">
        <v>53</v>
      </c>
      <c r="E824">
        <v>35447</v>
      </c>
      <c r="F824">
        <v>13</v>
      </c>
      <c r="G824">
        <v>36</v>
      </c>
      <c r="H824" t="s">
        <v>81</v>
      </c>
      <c r="I824" t="s">
        <v>57</v>
      </c>
      <c r="J824" t="s">
        <v>21</v>
      </c>
      <c r="K824">
        <v>73919</v>
      </c>
      <c r="L824" t="s">
        <v>29</v>
      </c>
      <c r="M824">
        <v>0.36</v>
      </c>
      <c r="N824">
        <v>0.88</v>
      </c>
      <c r="O824">
        <v>8869.57</v>
      </c>
      <c r="P824">
        <v>8023.15</v>
      </c>
      <c r="Q824">
        <f ca="1">DATEDIF(banking_loan_data[[#This Row],[Issue Date]],TODAY(),"M")</f>
        <v>59</v>
      </c>
      <c r="R824">
        <f t="shared" si="72"/>
        <v>13824.33</v>
      </c>
      <c r="S824">
        <f>+banking_loan_data[[#This Row],[Loan Amount]]+banking_loan_data[[#This Row],[Interest earned]]</f>
        <v>49271.33</v>
      </c>
      <c r="T824" s="2">
        <f t="shared" si="73"/>
        <v>-18554.28</v>
      </c>
      <c r="U824" s="2">
        <f t="shared" si="74"/>
        <v>1</v>
      </c>
      <c r="V824" s="2" t="str">
        <f>IF(banking_loan_data[[#This Row],[Loan Status]]="FULLY PAID","GOOD",IF(banking_loan_data[[#This Row],[Loan Status]]="CURRENT","ACTIVE","BAD"))</f>
        <v>BAD</v>
      </c>
      <c r="W82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24" s="3">
        <f t="shared" si="75"/>
        <v>38400.916666795201</v>
      </c>
      <c r="Y824" s="4">
        <f t="shared" si="76"/>
        <v>-0.5234372443366152</v>
      </c>
      <c r="Z824" s="2" t="str">
        <f t="shared" si="77"/>
        <v>High Risk</v>
      </c>
    </row>
    <row r="825" spans="1:26" x14ac:dyDescent="0.3">
      <c r="A825" t="s">
        <v>1692</v>
      </c>
      <c r="B825" s="1">
        <v>44823</v>
      </c>
      <c r="C825" t="s">
        <v>1693</v>
      </c>
      <c r="D825" t="s">
        <v>40</v>
      </c>
      <c r="E825">
        <v>16901</v>
      </c>
      <c r="F825">
        <v>7.1</v>
      </c>
      <c r="G825">
        <v>60</v>
      </c>
      <c r="H825" t="s">
        <v>19</v>
      </c>
      <c r="I825" t="s">
        <v>27</v>
      </c>
      <c r="J825" t="s">
        <v>28</v>
      </c>
      <c r="K825">
        <v>112103</v>
      </c>
      <c r="L825" t="s">
        <v>33</v>
      </c>
      <c r="M825">
        <v>0.22</v>
      </c>
      <c r="N825">
        <v>0.82</v>
      </c>
      <c r="O825">
        <v>18100.97</v>
      </c>
      <c r="P825">
        <v>0</v>
      </c>
      <c r="Q825">
        <f ca="1">DATEDIF(banking_loan_data[[#This Row],[Issue Date]],TODAY(),"M")</f>
        <v>42</v>
      </c>
      <c r="R825">
        <f t="shared" si="72"/>
        <v>5999.8549999999996</v>
      </c>
      <c r="S825">
        <f>+banking_loan_data[[#This Row],[Loan Amount]]+banking_loan_data[[#This Row],[Interest earned]]</f>
        <v>22900.855</v>
      </c>
      <c r="T825" s="2">
        <f t="shared" si="73"/>
        <v>1199.9700000000012</v>
      </c>
      <c r="U825" s="2">
        <f t="shared" si="74"/>
        <v>0</v>
      </c>
      <c r="V825" s="2" t="str">
        <f>IF(banking_loan_data[[#This Row],[Loan Status]]="FULLY PAID","GOOD",IF(banking_loan_data[[#This Row],[Loan Status]]="CURRENT","ACTIVE","BAD"))</f>
        <v>GOOD</v>
      </c>
      <c r="W82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25" s="3">
        <f t="shared" si="75"/>
        <v>9999.7583333410766</v>
      </c>
      <c r="Y825" s="4">
        <f t="shared" si="76"/>
        <v>7.0999940831903502E-2</v>
      </c>
      <c r="Z825" s="2" t="str">
        <f t="shared" si="77"/>
        <v>High Risk</v>
      </c>
    </row>
    <row r="826" spans="1:26" x14ac:dyDescent="0.3">
      <c r="A826" t="s">
        <v>1694</v>
      </c>
      <c r="B826" s="1">
        <v>44951</v>
      </c>
      <c r="C826" t="s">
        <v>1695</v>
      </c>
      <c r="D826" t="s">
        <v>40</v>
      </c>
      <c r="E826">
        <v>34004</v>
      </c>
      <c r="F826">
        <v>8.8000000000000007</v>
      </c>
      <c r="G826">
        <v>36</v>
      </c>
      <c r="H826" t="s">
        <v>19</v>
      </c>
      <c r="I826" t="s">
        <v>27</v>
      </c>
      <c r="J826" t="s">
        <v>21</v>
      </c>
      <c r="K826">
        <v>33358</v>
      </c>
      <c r="L826" t="s">
        <v>29</v>
      </c>
      <c r="M826">
        <v>0.44</v>
      </c>
      <c r="N826">
        <v>0.81</v>
      </c>
      <c r="O826">
        <v>36996.35</v>
      </c>
      <c r="P826">
        <v>0</v>
      </c>
      <c r="Q826">
        <f ca="1">DATEDIF(banking_loan_data[[#This Row],[Issue Date]],TODAY(),"M")</f>
        <v>37</v>
      </c>
      <c r="R826">
        <f t="shared" si="72"/>
        <v>8977.0560000000005</v>
      </c>
      <c r="S826">
        <f>+banking_loan_data[[#This Row],[Loan Amount]]+banking_loan_data[[#This Row],[Interest earned]]</f>
        <v>42981.055999999997</v>
      </c>
      <c r="T826" s="2">
        <f t="shared" si="73"/>
        <v>2992.3499999999985</v>
      </c>
      <c r="U826" s="2">
        <f t="shared" si="74"/>
        <v>0</v>
      </c>
      <c r="V826" s="2" t="str">
        <f>IF(banking_loan_data[[#This Row],[Loan Status]]="FULLY PAID","GOOD",IF(banking_loan_data[[#This Row],[Loan Status]]="CURRENT","ACTIVE","BAD"))</f>
        <v>GOOD</v>
      </c>
      <c r="W82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26" s="3">
        <f t="shared" si="75"/>
        <v>24936.266729339055</v>
      </c>
      <c r="Y826" s="4">
        <f t="shared" si="76"/>
        <v>8.7999941183390148E-2</v>
      </c>
      <c r="Z826" s="2" t="str">
        <f t="shared" si="77"/>
        <v>High Risk</v>
      </c>
    </row>
    <row r="827" spans="1:26" x14ac:dyDescent="0.3">
      <c r="A827" t="s">
        <v>1696</v>
      </c>
      <c r="B827" s="1">
        <v>44990</v>
      </c>
      <c r="C827" t="s">
        <v>1697</v>
      </c>
      <c r="D827" t="s">
        <v>76</v>
      </c>
      <c r="E827">
        <v>8446</v>
      </c>
      <c r="F827">
        <v>20.7</v>
      </c>
      <c r="G827">
        <v>60</v>
      </c>
      <c r="H827" t="s">
        <v>81</v>
      </c>
      <c r="I827" t="s">
        <v>20</v>
      </c>
      <c r="J827" t="s">
        <v>28</v>
      </c>
      <c r="K827">
        <v>118535</v>
      </c>
      <c r="L827" t="s">
        <v>22</v>
      </c>
      <c r="M827">
        <v>0.48</v>
      </c>
      <c r="N827">
        <v>0.9</v>
      </c>
      <c r="O827">
        <v>1999.88</v>
      </c>
      <c r="P827">
        <v>1314.2</v>
      </c>
      <c r="Q827">
        <f ca="1">DATEDIF(banking_loan_data[[#This Row],[Issue Date]],TODAY(),"M")</f>
        <v>36</v>
      </c>
      <c r="R827">
        <f t="shared" si="72"/>
        <v>8741.6099999999988</v>
      </c>
      <c r="S827">
        <f>+banking_loan_data[[#This Row],[Loan Amount]]+banking_loan_data[[#This Row],[Interest earned]]</f>
        <v>17187.61</v>
      </c>
      <c r="T827" s="2">
        <f t="shared" si="73"/>
        <v>-5131.92</v>
      </c>
      <c r="U827" s="2">
        <f t="shared" si="74"/>
        <v>1</v>
      </c>
      <c r="V827" s="2" t="str">
        <f>IF(banking_loan_data[[#This Row],[Loan Status]]="FULLY PAID","GOOD",IF(banking_loan_data[[#This Row],[Loan Status]]="CURRENT","ACTIVE","BAD"))</f>
        <v>BAD</v>
      </c>
      <c r="W82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27" s="3">
        <f t="shared" si="75"/>
        <v>14569.349999999999</v>
      </c>
      <c r="Y827" s="4">
        <f t="shared" si="76"/>
        <v>-0.60761543926118877</v>
      </c>
      <c r="Z827" s="2" t="str">
        <f t="shared" si="77"/>
        <v>High Risk</v>
      </c>
    </row>
    <row r="828" spans="1:26" x14ac:dyDescent="0.3">
      <c r="A828" t="s">
        <v>1698</v>
      </c>
      <c r="B828" s="1">
        <v>44265</v>
      </c>
      <c r="C828" t="s">
        <v>1699</v>
      </c>
      <c r="D828" t="s">
        <v>56</v>
      </c>
      <c r="E828">
        <v>38211</v>
      </c>
      <c r="F828">
        <v>19.3</v>
      </c>
      <c r="G828">
        <v>60</v>
      </c>
      <c r="H828" t="s">
        <v>26</v>
      </c>
      <c r="I828" t="s">
        <v>27</v>
      </c>
      <c r="J828" t="s">
        <v>37</v>
      </c>
      <c r="K828">
        <v>137894</v>
      </c>
      <c r="L828" t="s">
        <v>29</v>
      </c>
      <c r="M828">
        <v>0.19</v>
      </c>
      <c r="N828">
        <v>0.81</v>
      </c>
      <c r="O828">
        <v>7832.97</v>
      </c>
      <c r="P828">
        <v>0</v>
      </c>
      <c r="Q828">
        <f ca="1">DATEDIF(banking_loan_data[[#This Row],[Issue Date]],TODAY(),"M")</f>
        <v>60</v>
      </c>
      <c r="R828">
        <f t="shared" si="72"/>
        <v>36873.615000000005</v>
      </c>
      <c r="S828">
        <f>+banking_loan_data[[#This Row],[Loan Amount]]+banking_loan_data[[#This Row],[Interest earned]]</f>
        <v>75084.615000000005</v>
      </c>
      <c r="T828" s="2">
        <f t="shared" si="73"/>
        <v>-30378.03</v>
      </c>
      <c r="U828" s="2">
        <f t="shared" si="74"/>
        <v>0</v>
      </c>
      <c r="V828" s="2" t="str">
        <f>IF(banking_loan_data[[#This Row],[Loan Status]]="FULLY PAID","GOOD",IF(banking_loan_data[[#This Row],[Loan Status]]="CURRENT","ACTIVE","BAD"))</f>
        <v>ACTIVE</v>
      </c>
      <c r="W82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28" s="3">
        <f t="shared" si="75"/>
        <v>61456.025000000001</v>
      </c>
      <c r="Y828" s="4">
        <f t="shared" si="76"/>
        <v>-0.79500745858522415</v>
      </c>
      <c r="Z828" s="2" t="str">
        <f t="shared" si="77"/>
        <v>High Risk</v>
      </c>
    </row>
    <row r="829" spans="1:26" x14ac:dyDescent="0.3">
      <c r="A829" t="s">
        <v>1700</v>
      </c>
      <c r="B829" s="1">
        <v>44207</v>
      </c>
      <c r="C829" t="s">
        <v>1701</v>
      </c>
      <c r="D829" t="s">
        <v>40</v>
      </c>
      <c r="E829">
        <v>30301</v>
      </c>
      <c r="F829">
        <v>16.899999999999999</v>
      </c>
      <c r="G829">
        <v>60</v>
      </c>
      <c r="H829" t="s">
        <v>19</v>
      </c>
      <c r="I829" t="s">
        <v>20</v>
      </c>
      <c r="J829" t="s">
        <v>37</v>
      </c>
      <c r="K829">
        <v>106524</v>
      </c>
      <c r="L829" t="s">
        <v>33</v>
      </c>
      <c r="M829">
        <v>0.14000000000000001</v>
      </c>
      <c r="N829">
        <v>0.63</v>
      </c>
      <c r="O829">
        <v>35421.870000000003</v>
      </c>
      <c r="P829">
        <v>0</v>
      </c>
      <c r="Q829">
        <f ca="1">DATEDIF(banking_loan_data[[#This Row],[Issue Date]],TODAY(),"M")</f>
        <v>62</v>
      </c>
      <c r="R829">
        <f t="shared" si="72"/>
        <v>25604.344999999998</v>
      </c>
      <c r="S829">
        <f>+banking_loan_data[[#This Row],[Loan Amount]]+banking_loan_data[[#This Row],[Interest earned]]</f>
        <v>55905.345000000001</v>
      </c>
      <c r="T829" s="2">
        <f t="shared" si="73"/>
        <v>5120.8700000000026</v>
      </c>
      <c r="U829" s="2">
        <f t="shared" si="74"/>
        <v>0</v>
      </c>
      <c r="V829" s="2" t="str">
        <f>IF(banking_loan_data[[#This Row],[Loan Status]]="FULLY PAID","GOOD",IF(banking_loan_data[[#This Row],[Loan Status]]="CURRENT","ACTIVE","BAD"))</f>
        <v>GOOD</v>
      </c>
      <c r="W82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29" s="3">
        <f t="shared" si="75"/>
        <v>42673.908333333333</v>
      </c>
      <c r="Y829" s="4">
        <f t="shared" si="76"/>
        <v>0.16900003300221123</v>
      </c>
      <c r="Z829" s="2" t="str">
        <f t="shared" si="77"/>
        <v>Normal</v>
      </c>
    </row>
    <row r="830" spans="1:26" x14ac:dyDescent="0.3">
      <c r="A830" t="s">
        <v>1702</v>
      </c>
      <c r="B830" s="1">
        <v>45068</v>
      </c>
      <c r="C830" t="s">
        <v>1703</v>
      </c>
      <c r="D830" t="s">
        <v>40</v>
      </c>
      <c r="E830">
        <v>27116</v>
      </c>
      <c r="F830">
        <v>22.9</v>
      </c>
      <c r="G830">
        <v>36</v>
      </c>
      <c r="H830" t="s">
        <v>26</v>
      </c>
      <c r="I830" t="s">
        <v>73</v>
      </c>
      <c r="J830" t="s">
        <v>28</v>
      </c>
      <c r="K830">
        <v>135982</v>
      </c>
      <c r="L830" t="s">
        <v>22</v>
      </c>
      <c r="M830">
        <v>0.18</v>
      </c>
      <c r="N830">
        <v>0.81</v>
      </c>
      <c r="O830">
        <v>9820.9699999999993</v>
      </c>
      <c r="P830">
        <v>0</v>
      </c>
      <c r="Q830">
        <f ca="1">DATEDIF(banking_loan_data[[#This Row],[Issue Date]],TODAY(),"M")</f>
        <v>33</v>
      </c>
      <c r="R830">
        <f t="shared" si="72"/>
        <v>18628.691999999999</v>
      </c>
      <c r="S830">
        <f>+banking_loan_data[[#This Row],[Loan Amount]]+banking_loan_data[[#This Row],[Interest earned]]</f>
        <v>45744.691999999995</v>
      </c>
      <c r="T830" s="2">
        <f t="shared" si="73"/>
        <v>-17295.03</v>
      </c>
      <c r="U830" s="2">
        <f t="shared" si="74"/>
        <v>0</v>
      </c>
      <c r="V830" s="2" t="str">
        <f>IF(banking_loan_data[[#This Row],[Loan Status]]="FULLY PAID","GOOD",IF(banking_loan_data[[#This Row],[Loan Status]]="CURRENT","ACTIVE","BAD"))</f>
        <v>ACTIVE</v>
      </c>
      <c r="W83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830" s="3">
        <f t="shared" si="75"/>
        <v>51746.366666666661</v>
      </c>
      <c r="Y830" s="4">
        <f t="shared" si="76"/>
        <v>-0.63781641835078917</v>
      </c>
      <c r="Z830" s="2" t="str">
        <f t="shared" si="77"/>
        <v>High Risk</v>
      </c>
    </row>
    <row r="831" spans="1:26" x14ac:dyDescent="0.3">
      <c r="A831" t="s">
        <v>1704</v>
      </c>
      <c r="B831" s="1">
        <v>44746</v>
      </c>
      <c r="C831" t="s">
        <v>1705</v>
      </c>
      <c r="D831" t="s">
        <v>25</v>
      </c>
      <c r="E831">
        <v>19752</v>
      </c>
      <c r="F831">
        <v>16.7</v>
      </c>
      <c r="G831">
        <v>60</v>
      </c>
      <c r="H831" t="s">
        <v>60</v>
      </c>
      <c r="I831" t="s">
        <v>57</v>
      </c>
      <c r="J831" t="s">
        <v>47</v>
      </c>
      <c r="K831">
        <v>127057</v>
      </c>
      <c r="L831" t="s">
        <v>33</v>
      </c>
      <c r="M831">
        <v>0.43</v>
      </c>
      <c r="N831">
        <v>0.64</v>
      </c>
      <c r="O831">
        <v>0</v>
      </c>
      <c r="P831">
        <v>0</v>
      </c>
      <c r="Q831">
        <f ca="1">DATEDIF(banking_loan_data[[#This Row],[Issue Date]],TODAY(),"M")</f>
        <v>44</v>
      </c>
      <c r="R831">
        <f t="shared" si="72"/>
        <v>16492.919999999998</v>
      </c>
      <c r="S831">
        <f>+banking_loan_data[[#This Row],[Loan Amount]]+banking_loan_data[[#This Row],[Interest earned]]</f>
        <v>36244.92</v>
      </c>
      <c r="T831" s="2">
        <f t="shared" si="73"/>
        <v>-19752</v>
      </c>
      <c r="U831" s="2">
        <f t="shared" si="74"/>
        <v>0</v>
      </c>
      <c r="V831" s="2" t="str">
        <f>IF(banking_loan_data[[#This Row],[Loan Status]]="FULLY PAID","GOOD",IF(banking_loan_data[[#This Row],[Loan Status]]="CURRENT","ACTIVE","BAD"))</f>
        <v>BAD</v>
      </c>
      <c r="W83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31" s="3">
        <f t="shared" si="75"/>
        <v>27488.199999999997</v>
      </c>
      <c r="Y831" s="4">
        <f t="shared" si="76"/>
        <v>-1</v>
      </c>
      <c r="Z831" s="2" t="str">
        <f t="shared" si="77"/>
        <v>High Risk</v>
      </c>
    </row>
    <row r="832" spans="1:26" x14ac:dyDescent="0.3">
      <c r="A832" t="s">
        <v>1706</v>
      </c>
      <c r="B832" s="1">
        <v>44908</v>
      </c>
      <c r="C832" t="s">
        <v>1707</v>
      </c>
      <c r="D832" t="s">
        <v>53</v>
      </c>
      <c r="E832">
        <v>33376</v>
      </c>
      <c r="F832">
        <v>14.3</v>
      </c>
      <c r="G832">
        <v>60</v>
      </c>
      <c r="H832" t="s">
        <v>26</v>
      </c>
      <c r="I832" t="s">
        <v>73</v>
      </c>
      <c r="J832" t="s">
        <v>37</v>
      </c>
      <c r="K832">
        <v>35698</v>
      </c>
      <c r="L832" t="s">
        <v>29</v>
      </c>
      <c r="M832">
        <v>0.37</v>
      </c>
      <c r="N832">
        <v>0.84</v>
      </c>
      <c r="O832">
        <v>13076.81</v>
      </c>
      <c r="P832">
        <v>0</v>
      </c>
      <c r="Q832">
        <f ca="1">DATEDIF(banking_loan_data[[#This Row],[Issue Date]],TODAY(),"M")</f>
        <v>39</v>
      </c>
      <c r="R832">
        <f t="shared" si="72"/>
        <v>23863.84</v>
      </c>
      <c r="S832">
        <f>+banking_loan_data[[#This Row],[Loan Amount]]+banking_loan_data[[#This Row],[Interest earned]]</f>
        <v>57239.839999999997</v>
      </c>
      <c r="T832" s="2">
        <f t="shared" si="73"/>
        <v>-20299.190000000002</v>
      </c>
      <c r="U832" s="2">
        <f t="shared" si="74"/>
        <v>0</v>
      </c>
      <c r="V832" s="2" t="str">
        <f>IF(banking_loan_data[[#This Row],[Loan Status]]="FULLY PAID","GOOD",IF(banking_loan_data[[#This Row],[Loan Status]]="CURRENT","ACTIVE","BAD"))</f>
        <v>ACTIVE</v>
      </c>
      <c r="W83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832" s="3">
        <f t="shared" si="75"/>
        <v>39773.066666666666</v>
      </c>
      <c r="Y832" s="4">
        <f t="shared" si="76"/>
        <v>-0.60819720757430495</v>
      </c>
      <c r="Z832" s="2" t="str">
        <f t="shared" si="77"/>
        <v>High Risk</v>
      </c>
    </row>
    <row r="833" spans="1:26" x14ac:dyDescent="0.3">
      <c r="A833" t="s">
        <v>1708</v>
      </c>
      <c r="B833" s="1">
        <v>44219</v>
      </c>
      <c r="C833" t="s">
        <v>1709</v>
      </c>
      <c r="D833" t="s">
        <v>76</v>
      </c>
      <c r="E833">
        <v>17669</v>
      </c>
      <c r="F833">
        <v>11.8</v>
      </c>
      <c r="G833">
        <v>36</v>
      </c>
      <c r="H833" t="s">
        <v>26</v>
      </c>
      <c r="I833" t="s">
        <v>57</v>
      </c>
      <c r="J833" t="s">
        <v>47</v>
      </c>
      <c r="K833">
        <v>96809</v>
      </c>
      <c r="L833" t="s">
        <v>22</v>
      </c>
      <c r="M833">
        <v>0.35</v>
      </c>
      <c r="N833">
        <v>0.78</v>
      </c>
      <c r="O833">
        <v>7665.57</v>
      </c>
      <c r="P833">
        <v>0</v>
      </c>
      <c r="Q833">
        <f ca="1">DATEDIF(banking_loan_data[[#This Row],[Issue Date]],TODAY(),"M")</f>
        <v>61</v>
      </c>
      <c r="R833">
        <f t="shared" si="72"/>
        <v>6254.826</v>
      </c>
      <c r="S833">
        <f>+banking_loan_data[[#This Row],[Loan Amount]]+banking_loan_data[[#This Row],[Interest earned]]</f>
        <v>23923.826000000001</v>
      </c>
      <c r="T833" s="2">
        <f t="shared" si="73"/>
        <v>-10003.43</v>
      </c>
      <c r="U833" s="2">
        <f t="shared" si="74"/>
        <v>0</v>
      </c>
      <c r="V833" s="2" t="str">
        <f>IF(banking_loan_data[[#This Row],[Loan Status]]="FULLY PAID","GOOD",IF(banking_loan_data[[#This Row],[Loan Status]]="CURRENT","ACTIVE","BAD"))</f>
        <v>ACTIVE</v>
      </c>
      <c r="W83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33" s="3">
        <f t="shared" si="75"/>
        <v>17374.516667008382</v>
      </c>
      <c r="Y833" s="4">
        <f t="shared" si="76"/>
        <v>-0.56615711132491942</v>
      </c>
      <c r="Z833" s="2" t="str">
        <f t="shared" si="77"/>
        <v>Normal</v>
      </c>
    </row>
    <row r="834" spans="1:26" x14ac:dyDescent="0.3">
      <c r="A834" t="s">
        <v>1710</v>
      </c>
      <c r="B834" s="1">
        <v>45011</v>
      </c>
      <c r="C834" t="s">
        <v>1711</v>
      </c>
      <c r="D834" t="s">
        <v>72</v>
      </c>
      <c r="E834">
        <v>33916</v>
      </c>
      <c r="F834">
        <v>23.8</v>
      </c>
      <c r="G834">
        <v>60</v>
      </c>
      <c r="H834" t="s">
        <v>26</v>
      </c>
      <c r="I834" t="s">
        <v>41</v>
      </c>
      <c r="J834" t="s">
        <v>37</v>
      </c>
      <c r="K834">
        <v>123079</v>
      </c>
      <c r="L834" t="s">
        <v>33</v>
      </c>
      <c r="M834">
        <v>0.26</v>
      </c>
      <c r="N834">
        <v>0.53</v>
      </c>
      <c r="O834">
        <v>16543.73</v>
      </c>
      <c r="P834">
        <v>0</v>
      </c>
      <c r="Q834">
        <f ca="1">DATEDIF(banking_loan_data[[#This Row],[Issue Date]],TODAY(),"M")</f>
        <v>35</v>
      </c>
      <c r="R834">
        <f t="shared" ref="R834:R897" si="78">(((E834*F834)/100)*G834)/12</f>
        <v>40360.04</v>
      </c>
      <c r="S834">
        <f>+banking_loan_data[[#This Row],[Loan Amount]]+banking_loan_data[[#This Row],[Interest earned]]</f>
        <v>74276.040000000008</v>
      </c>
      <c r="T834" s="2">
        <f t="shared" ref="T834:T897" si="79">O834 + P834 - E834</f>
        <v>-17372.27</v>
      </c>
      <c r="U834" s="2">
        <f t="shared" ref="U834:U897" si="80">IF(H834="CHARGED OFF",1,0)</f>
        <v>0</v>
      </c>
      <c r="V834" s="2" t="str">
        <f>IF(banking_loan_data[[#This Row],[Loan Status]]="FULLY PAID","GOOD",IF(banking_loan_data[[#This Row],[Loan Status]]="CURRENT","ACTIVE","BAD"))</f>
        <v>ACTIVE</v>
      </c>
      <c r="W83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34" s="3">
        <f t="shared" ref="X834:X897" si="81">PMT(F834/12,G834,-E834)</f>
        <v>67266.733333333337</v>
      </c>
      <c r="Y834" s="4">
        <f t="shared" ref="Y834:Y897" si="82">IF(E834=0,0,T834/E834)</f>
        <v>-0.51221458898455008</v>
      </c>
      <c r="Z834" s="2" t="str">
        <f t="shared" ref="Z834:Z897" si="83">IF(OR(M834&gt;0.4,N834&gt;0.8),"High Risk","Normal")</f>
        <v>Normal</v>
      </c>
    </row>
    <row r="835" spans="1:26" x14ac:dyDescent="0.3">
      <c r="A835" t="s">
        <v>1712</v>
      </c>
      <c r="B835" s="1">
        <v>44542</v>
      </c>
      <c r="C835" t="s">
        <v>1713</v>
      </c>
      <c r="D835" t="s">
        <v>18</v>
      </c>
      <c r="E835">
        <v>14395</v>
      </c>
      <c r="F835">
        <v>6.7</v>
      </c>
      <c r="G835">
        <v>36</v>
      </c>
      <c r="H835" t="s">
        <v>19</v>
      </c>
      <c r="I835" t="s">
        <v>57</v>
      </c>
      <c r="J835" t="s">
        <v>37</v>
      </c>
      <c r="K835">
        <v>85805</v>
      </c>
      <c r="L835" t="s">
        <v>22</v>
      </c>
      <c r="M835">
        <v>0.33</v>
      </c>
      <c r="N835">
        <v>0.73</v>
      </c>
      <c r="O835">
        <v>15359.46</v>
      </c>
      <c r="P835">
        <v>0</v>
      </c>
      <c r="Q835">
        <f ca="1">DATEDIF(banking_loan_data[[#This Row],[Issue Date]],TODAY(),"M")</f>
        <v>51</v>
      </c>
      <c r="R835">
        <f t="shared" si="78"/>
        <v>2893.395</v>
      </c>
      <c r="S835">
        <f>+banking_loan_data[[#This Row],[Loan Amount]]+banking_loan_data[[#This Row],[Interest earned]]</f>
        <v>17288.395</v>
      </c>
      <c r="T835" s="2">
        <f t="shared" si="79"/>
        <v>964.45999999999913</v>
      </c>
      <c r="U835" s="2">
        <f t="shared" si="80"/>
        <v>0</v>
      </c>
      <c r="V835" s="2" t="str">
        <f>IF(banking_loan_data[[#This Row],[Loan Status]]="FULLY PAID","GOOD",IF(banking_loan_data[[#This Row],[Loan Status]]="CURRENT","ACTIVE","BAD"))</f>
        <v>GOOD</v>
      </c>
      <c r="W83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35" s="3">
        <f t="shared" si="81"/>
        <v>8037.2092651539142</v>
      </c>
      <c r="Y835" s="4">
        <f t="shared" si="82"/>
        <v>6.6999652657172573E-2</v>
      </c>
      <c r="Z835" s="2" t="str">
        <f t="shared" si="83"/>
        <v>Normal</v>
      </c>
    </row>
    <row r="836" spans="1:26" x14ac:dyDescent="0.3">
      <c r="A836" t="s">
        <v>1714</v>
      </c>
      <c r="B836" s="1">
        <v>44498</v>
      </c>
      <c r="C836" t="s">
        <v>1715</v>
      </c>
      <c r="D836" t="s">
        <v>65</v>
      </c>
      <c r="E836">
        <v>21421</v>
      </c>
      <c r="F836">
        <v>23.6</v>
      </c>
      <c r="G836">
        <v>36</v>
      </c>
      <c r="H836" t="s">
        <v>26</v>
      </c>
      <c r="I836" t="s">
        <v>20</v>
      </c>
      <c r="J836" t="s">
        <v>32</v>
      </c>
      <c r="K836">
        <v>61349</v>
      </c>
      <c r="L836" t="s">
        <v>22</v>
      </c>
      <c r="M836">
        <v>0.22</v>
      </c>
      <c r="N836">
        <v>0.65</v>
      </c>
      <c r="O836">
        <v>3641.47</v>
      </c>
      <c r="P836">
        <v>0</v>
      </c>
      <c r="Q836">
        <f ca="1">DATEDIF(banking_loan_data[[#This Row],[Issue Date]],TODAY(),"M")</f>
        <v>52</v>
      </c>
      <c r="R836">
        <f t="shared" si="78"/>
        <v>15166.068000000001</v>
      </c>
      <c r="S836">
        <f>+banking_loan_data[[#This Row],[Loan Amount]]+banking_loan_data[[#This Row],[Interest earned]]</f>
        <v>36587.067999999999</v>
      </c>
      <c r="T836" s="2">
        <f t="shared" si="79"/>
        <v>-17779.53</v>
      </c>
      <c r="U836" s="2">
        <f t="shared" si="80"/>
        <v>0</v>
      </c>
      <c r="V836" s="2" t="str">
        <f>IF(banking_loan_data[[#This Row],[Loan Status]]="FULLY PAID","GOOD",IF(banking_loan_data[[#This Row],[Loan Status]]="CURRENT","ACTIVE","BAD"))</f>
        <v>ACTIVE</v>
      </c>
      <c r="W83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36" s="3">
        <f t="shared" si="81"/>
        <v>42127.966666666667</v>
      </c>
      <c r="Y836" s="4">
        <f t="shared" si="82"/>
        <v>-0.83000466831613828</v>
      </c>
      <c r="Z836" s="2" t="str">
        <f t="shared" si="83"/>
        <v>Normal</v>
      </c>
    </row>
    <row r="837" spans="1:26" x14ac:dyDescent="0.3">
      <c r="A837" t="s">
        <v>1716</v>
      </c>
      <c r="B837" s="1">
        <v>44559</v>
      </c>
      <c r="C837" t="s">
        <v>1717</v>
      </c>
      <c r="D837" t="s">
        <v>65</v>
      </c>
      <c r="E837">
        <v>27342</v>
      </c>
      <c r="F837">
        <v>21.5</v>
      </c>
      <c r="G837">
        <v>36</v>
      </c>
      <c r="H837" t="s">
        <v>19</v>
      </c>
      <c r="I837" t="s">
        <v>57</v>
      </c>
      <c r="J837" t="s">
        <v>21</v>
      </c>
      <c r="K837">
        <v>106777</v>
      </c>
      <c r="L837" t="s">
        <v>33</v>
      </c>
      <c r="M837">
        <v>0.28999999999999998</v>
      </c>
      <c r="N837">
        <v>0.65</v>
      </c>
      <c r="O837">
        <v>33220.53</v>
      </c>
      <c r="P837">
        <v>0</v>
      </c>
      <c r="Q837">
        <f ca="1">DATEDIF(banking_loan_data[[#This Row],[Issue Date]],TODAY(),"M")</f>
        <v>50</v>
      </c>
      <c r="R837">
        <f t="shared" si="78"/>
        <v>17635.59</v>
      </c>
      <c r="S837">
        <f>+banking_loan_data[[#This Row],[Loan Amount]]+banking_loan_data[[#This Row],[Interest earned]]</f>
        <v>44977.59</v>
      </c>
      <c r="T837" s="2">
        <f t="shared" si="79"/>
        <v>5878.5299999999988</v>
      </c>
      <c r="U837" s="2">
        <f t="shared" si="80"/>
        <v>0</v>
      </c>
      <c r="V837" s="2" t="str">
        <f>IF(banking_loan_data[[#This Row],[Loan Status]]="FULLY PAID","GOOD",IF(banking_loan_data[[#This Row],[Loan Status]]="CURRENT","ACTIVE","BAD"))</f>
        <v>GOOD</v>
      </c>
      <c r="W83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37" s="3">
        <f t="shared" si="81"/>
        <v>48987.750000000007</v>
      </c>
      <c r="Y837" s="4">
        <f t="shared" si="82"/>
        <v>0.21499999999999997</v>
      </c>
      <c r="Z837" s="2" t="str">
        <f t="shared" si="83"/>
        <v>Normal</v>
      </c>
    </row>
    <row r="838" spans="1:26" x14ac:dyDescent="0.3">
      <c r="A838" t="s">
        <v>1718</v>
      </c>
      <c r="B838" s="1">
        <v>44592</v>
      </c>
      <c r="C838" t="s">
        <v>1719</v>
      </c>
      <c r="D838" t="s">
        <v>46</v>
      </c>
      <c r="E838">
        <v>5895</v>
      </c>
      <c r="F838">
        <v>7.6</v>
      </c>
      <c r="G838">
        <v>36</v>
      </c>
      <c r="H838" t="s">
        <v>81</v>
      </c>
      <c r="I838" t="s">
        <v>36</v>
      </c>
      <c r="J838" t="s">
        <v>21</v>
      </c>
      <c r="K838">
        <v>80248</v>
      </c>
      <c r="L838" t="s">
        <v>22</v>
      </c>
      <c r="M838">
        <v>0.42</v>
      </c>
      <c r="N838">
        <v>0.77</v>
      </c>
      <c r="O838">
        <v>1855.91</v>
      </c>
      <c r="P838">
        <v>1714.08</v>
      </c>
      <c r="Q838">
        <f ca="1">DATEDIF(banking_loan_data[[#This Row],[Issue Date]],TODAY(),"M")</f>
        <v>49</v>
      </c>
      <c r="R838">
        <f t="shared" si="78"/>
        <v>1344.06</v>
      </c>
      <c r="S838">
        <f>+banking_loan_data[[#This Row],[Loan Amount]]+banking_loan_data[[#This Row],[Interest earned]]</f>
        <v>7239.0599999999995</v>
      </c>
      <c r="T838" s="2">
        <f t="shared" si="79"/>
        <v>-2325.0100000000002</v>
      </c>
      <c r="U838" s="2">
        <f t="shared" si="80"/>
        <v>1</v>
      </c>
      <c r="V838" s="2" t="str">
        <f>IF(banking_loan_data[[#This Row],[Loan Status]]="FULLY PAID","GOOD",IF(banking_loan_data[[#This Row],[Loan Status]]="CURRENT","ACTIVE","BAD"))</f>
        <v>BAD</v>
      </c>
      <c r="W83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38" s="3">
        <f t="shared" si="81"/>
        <v>3733.5000796934178</v>
      </c>
      <c r="Y838" s="4">
        <f t="shared" si="82"/>
        <v>-0.39440373197625112</v>
      </c>
      <c r="Z838" s="2" t="str">
        <f t="shared" si="83"/>
        <v>High Risk</v>
      </c>
    </row>
    <row r="839" spans="1:26" x14ac:dyDescent="0.3">
      <c r="A839" t="s">
        <v>1720</v>
      </c>
      <c r="B839" s="1">
        <v>44414</v>
      </c>
      <c r="C839" t="s">
        <v>1721</v>
      </c>
      <c r="D839" t="s">
        <v>18</v>
      </c>
      <c r="E839">
        <v>12023</v>
      </c>
      <c r="F839">
        <v>16.3</v>
      </c>
      <c r="G839">
        <v>36</v>
      </c>
      <c r="H839" t="s">
        <v>19</v>
      </c>
      <c r="I839" t="s">
        <v>27</v>
      </c>
      <c r="J839" t="s">
        <v>47</v>
      </c>
      <c r="K839">
        <v>105033</v>
      </c>
      <c r="L839" t="s">
        <v>33</v>
      </c>
      <c r="M839">
        <v>0.49</v>
      </c>
      <c r="N839">
        <v>0.65</v>
      </c>
      <c r="O839">
        <v>13982.75</v>
      </c>
      <c r="P839">
        <v>0</v>
      </c>
      <c r="Q839">
        <f ca="1">DATEDIF(banking_loan_data[[#This Row],[Issue Date]],TODAY(),"M")</f>
        <v>55</v>
      </c>
      <c r="R839">
        <f t="shared" si="78"/>
        <v>5879.2470000000003</v>
      </c>
      <c r="S839">
        <f>+banking_loan_data[[#This Row],[Loan Amount]]+banking_loan_data[[#This Row],[Interest earned]]</f>
        <v>17902.246999999999</v>
      </c>
      <c r="T839" s="2">
        <f t="shared" si="79"/>
        <v>1959.75</v>
      </c>
      <c r="U839" s="2">
        <f t="shared" si="80"/>
        <v>0</v>
      </c>
      <c r="V839" s="2" t="str">
        <f>IF(banking_loan_data[[#This Row],[Loan Status]]="FULLY PAID","GOOD",IF(banking_loan_data[[#This Row],[Loan Status]]="CURRENT","ACTIVE","BAD"))</f>
        <v>GOOD</v>
      </c>
      <c r="W83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39" s="3">
        <f t="shared" si="81"/>
        <v>16331.241666667298</v>
      </c>
      <c r="Y839" s="4">
        <f t="shared" si="82"/>
        <v>0.16300008317391665</v>
      </c>
      <c r="Z839" s="2" t="str">
        <f t="shared" si="83"/>
        <v>High Risk</v>
      </c>
    </row>
    <row r="840" spans="1:26" x14ac:dyDescent="0.3">
      <c r="A840" t="s">
        <v>1722</v>
      </c>
      <c r="B840" s="1">
        <v>44337</v>
      </c>
      <c r="C840" t="s">
        <v>1723</v>
      </c>
      <c r="D840" t="s">
        <v>18</v>
      </c>
      <c r="E840">
        <v>11699</v>
      </c>
      <c r="F840">
        <v>22.3</v>
      </c>
      <c r="G840">
        <v>60</v>
      </c>
      <c r="H840" t="s">
        <v>26</v>
      </c>
      <c r="I840" t="s">
        <v>27</v>
      </c>
      <c r="J840" t="s">
        <v>21</v>
      </c>
      <c r="K840">
        <v>137411</v>
      </c>
      <c r="L840" t="s">
        <v>22</v>
      </c>
      <c r="M840">
        <v>0.47</v>
      </c>
      <c r="N840">
        <v>0.85</v>
      </c>
      <c r="O840">
        <v>2660.54</v>
      </c>
      <c r="P840">
        <v>0</v>
      </c>
      <c r="Q840">
        <f ca="1">DATEDIF(banking_loan_data[[#This Row],[Issue Date]],TODAY(),"M")</f>
        <v>57</v>
      </c>
      <c r="R840">
        <f t="shared" si="78"/>
        <v>13044.385</v>
      </c>
      <c r="S840">
        <f>+banking_loan_data[[#This Row],[Loan Amount]]+banking_loan_data[[#This Row],[Interest earned]]</f>
        <v>24743.385000000002</v>
      </c>
      <c r="T840" s="2">
        <f t="shared" si="79"/>
        <v>-9038.4599999999991</v>
      </c>
      <c r="U840" s="2">
        <f t="shared" si="80"/>
        <v>0</v>
      </c>
      <c r="V840" s="2" t="str">
        <f>IF(banking_loan_data[[#This Row],[Loan Status]]="FULLY PAID","GOOD",IF(banking_loan_data[[#This Row],[Loan Status]]="CURRENT","ACTIVE","BAD"))</f>
        <v>ACTIVE</v>
      </c>
      <c r="W84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40" s="3">
        <f t="shared" si="81"/>
        <v>21740.641666666666</v>
      </c>
      <c r="Y840" s="4">
        <f t="shared" si="82"/>
        <v>-0.77258398153688346</v>
      </c>
      <c r="Z840" s="2" t="str">
        <f t="shared" si="83"/>
        <v>High Risk</v>
      </c>
    </row>
    <row r="841" spans="1:26" x14ac:dyDescent="0.3">
      <c r="A841" t="s">
        <v>1724</v>
      </c>
      <c r="B841" s="1">
        <v>45154</v>
      </c>
      <c r="C841" t="s">
        <v>1725</v>
      </c>
      <c r="D841" t="s">
        <v>65</v>
      </c>
      <c r="E841">
        <v>10715</v>
      </c>
      <c r="F841">
        <v>16.399999999999999</v>
      </c>
      <c r="G841">
        <v>36</v>
      </c>
      <c r="H841" t="s">
        <v>19</v>
      </c>
      <c r="I841" t="s">
        <v>36</v>
      </c>
      <c r="J841" t="s">
        <v>47</v>
      </c>
      <c r="K841">
        <v>128239</v>
      </c>
      <c r="L841" t="s">
        <v>22</v>
      </c>
      <c r="M841">
        <v>0.47</v>
      </c>
      <c r="N841">
        <v>0.53</v>
      </c>
      <c r="O841">
        <v>12472.26</v>
      </c>
      <c r="P841">
        <v>0</v>
      </c>
      <c r="Q841">
        <f ca="1">DATEDIF(banking_loan_data[[#This Row],[Issue Date]],TODAY(),"M")</f>
        <v>31</v>
      </c>
      <c r="R841">
        <f t="shared" si="78"/>
        <v>5271.78</v>
      </c>
      <c r="S841">
        <f>+banking_loan_data[[#This Row],[Loan Amount]]+banking_loan_data[[#This Row],[Interest earned]]</f>
        <v>15986.779999999999</v>
      </c>
      <c r="T841" s="2">
        <f t="shared" si="79"/>
        <v>1757.2600000000002</v>
      </c>
      <c r="U841" s="2">
        <f t="shared" si="80"/>
        <v>0</v>
      </c>
      <c r="V841" s="2" t="str">
        <f>IF(banking_loan_data[[#This Row],[Loan Status]]="FULLY PAID","GOOD",IF(banking_loan_data[[#This Row],[Loan Status]]="CURRENT","ACTIVE","BAD"))</f>
        <v>GOOD</v>
      </c>
      <c r="W84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41" s="3">
        <f t="shared" si="81"/>
        <v>14643.833333333829</v>
      </c>
      <c r="Y841" s="4">
        <f t="shared" si="82"/>
        <v>0.16400000000000001</v>
      </c>
      <c r="Z841" s="2" t="str">
        <f t="shared" si="83"/>
        <v>High Risk</v>
      </c>
    </row>
    <row r="842" spans="1:26" x14ac:dyDescent="0.3">
      <c r="A842" t="s">
        <v>1726</v>
      </c>
      <c r="B842" s="1">
        <v>45181</v>
      </c>
      <c r="C842" t="s">
        <v>1727</v>
      </c>
      <c r="D842" t="s">
        <v>65</v>
      </c>
      <c r="E842">
        <v>20169</v>
      </c>
      <c r="F842">
        <v>23.1</v>
      </c>
      <c r="G842">
        <v>36</v>
      </c>
      <c r="H842" t="s">
        <v>19</v>
      </c>
      <c r="I842" t="s">
        <v>36</v>
      </c>
      <c r="J842" t="s">
        <v>37</v>
      </c>
      <c r="K842">
        <v>74041</v>
      </c>
      <c r="L842" t="s">
        <v>22</v>
      </c>
      <c r="M842">
        <v>0.26</v>
      </c>
      <c r="N842">
        <v>0.8</v>
      </c>
      <c r="O842">
        <v>24828.04</v>
      </c>
      <c r="P842">
        <v>0</v>
      </c>
      <c r="Q842">
        <f ca="1">DATEDIF(banking_loan_data[[#This Row],[Issue Date]],TODAY(),"M")</f>
        <v>30</v>
      </c>
      <c r="R842">
        <f t="shared" si="78"/>
        <v>13977.117000000004</v>
      </c>
      <c r="S842">
        <f>+banking_loan_data[[#This Row],[Loan Amount]]+banking_loan_data[[#This Row],[Interest earned]]</f>
        <v>34146.117000000006</v>
      </c>
      <c r="T842" s="2">
        <f t="shared" si="79"/>
        <v>4659.0400000000009</v>
      </c>
      <c r="U842" s="2">
        <f t="shared" si="80"/>
        <v>0</v>
      </c>
      <c r="V842" s="2" t="str">
        <f>IF(banking_loan_data[[#This Row],[Loan Status]]="FULLY PAID","GOOD",IF(banking_loan_data[[#This Row],[Loan Status]]="CURRENT","ACTIVE","BAD"))</f>
        <v>GOOD</v>
      </c>
      <c r="W84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42" s="3">
        <f t="shared" si="81"/>
        <v>38825.325000000004</v>
      </c>
      <c r="Y842" s="4">
        <f t="shared" si="82"/>
        <v>0.23100004958104026</v>
      </c>
      <c r="Z842" s="2" t="str">
        <f t="shared" si="83"/>
        <v>Normal</v>
      </c>
    </row>
    <row r="843" spans="1:26" x14ac:dyDescent="0.3">
      <c r="A843" t="s">
        <v>1728</v>
      </c>
      <c r="B843" s="1">
        <v>45189</v>
      </c>
      <c r="C843" t="s">
        <v>1729</v>
      </c>
      <c r="D843" t="s">
        <v>72</v>
      </c>
      <c r="E843">
        <v>17163</v>
      </c>
      <c r="F843">
        <v>23.9</v>
      </c>
      <c r="G843">
        <v>36</v>
      </c>
      <c r="H843" t="s">
        <v>19</v>
      </c>
      <c r="I843" t="s">
        <v>27</v>
      </c>
      <c r="J843" t="s">
        <v>32</v>
      </c>
      <c r="K843">
        <v>61954</v>
      </c>
      <c r="L843" t="s">
        <v>29</v>
      </c>
      <c r="M843">
        <v>0.28999999999999998</v>
      </c>
      <c r="N843">
        <v>0.86</v>
      </c>
      <c r="O843">
        <v>21264.959999999999</v>
      </c>
      <c r="P843">
        <v>0</v>
      </c>
      <c r="Q843">
        <f ca="1">DATEDIF(banking_loan_data[[#This Row],[Issue Date]],TODAY(),"M")</f>
        <v>29</v>
      </c>
      <c r="R843">
        <f t="shared" si="78"/>
        <v>12305.870999999999</v>
      </c>
      <c r="S843">
        <f>+banking_loan_data[[#This Row],[Loan Amount]]+banking_loan_data[[#This Row],[Interest earned]]</f>
        <v>29468.870999999999</v>
      </c>
      <c r="T843" s="2">
        <f t="shared" si="79"/>
        <v>4101.9599999999991</v>
      </c>
      <c r="U843" s="2">
        <f t="shared" si="80"/>
        <v>0</v>
      </c>
      <c r="V843" s="2" t="str">
        <f>IF(banking_loan_data[[#This Row],[Loan Status]]="FULLY PAID","GOOD",IF(banking_loan_data[[#This Row],[Loan Status]]="CURRENT","ACTIVE","BAD"))</f>
        <v>GOOD</v>
      </c>
      <c r="W84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43" s="3">
        <f t="shared" si="81"/>
        <v>34182.974999999999</v>
      </c>
      <c r="Y843" s="4">
        <f t="shared" si="82"/>
        <v>0.23900017479461627</v>
      </c>
      <c r="Z843" s="2" t="str">
        <f t="shared" si="83"/>
        <v>High Risk</v>
      </c>
    </row>
    <row r="844" spans="1:26" x14ac:dyDescent="0.3">
      <c r="A844" t="s">
        <v>1730</v>
      </c>
      <c r="B844" s="1">
        <v>45024</v>
      </c>
      <c r="C844" t="s">
        <v>1731</v>
      </c>
      <c r="D844" t="s">
        <v>56</v>
      </c>
      <c r="E844">
        <v>6782</v>
      </c>
      <c r="F844">
        <v>13.4</v>
      </c>
      <c r="G844">
        <v>36</v>
      </c>
      <c r="H844" t="s">
        <v>60</v>
      </c>
      <c r="I844" t="s">
        <v>20</v>
      </c>
      <c r="J844" t="s">
        <v>32</v>
      </c>
      <c r="K844">
        <v>38002</v>
      </c>
      <c r="L844" t="s">
        <v>29</v>
      </c>
      <c r="M844">
        <v>0.38</v>
      </c>
      <c r="N844">
        <v>0.8</v>
      </c>
      <c r="O844">
        <v>0</v>
      </c>
      <c r="P844">
        <v>0</v>
      </c>
      <c r="Q844">
        <f ca="1">DATEDIF(banking_loan_data[[#This Row],[Issue Date]],TODAY(),"M")</f>
        <v>35</v>
      </c>
      <c r="R844">
        <f t="shared" si="78"/>
        <v>2726.364</v>
      </c>
      <c r="S844">
        <f>+banking_loan_data[[#This Row],[Loan Amount]]+banking_loan_data[[#This Row],[Interest earned]]</f>
        <v>9508.3639999999996</v>
      </c>
      <c r="T844" s="2">
        <f t="shared" si="79"/>
        <v>-6782</v>
      </c>
      <c r="U844" s="2">
        <f t="shared" si="80"/>
        <v>0</v>
      </c>
      <c r="V844" s="2" t="str">
        <f>IF(banking_loan_data[[#This Row],[Loan Status]]="FULLY PAID","GOOD",IF(banking_loan_data[[#This Row],[Loan Status]]="CURRENT","ACTIVE","BAD"))</f>
        <v>BAD</v>
      </c>
      <c r="W84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44" s="3">
        <f t="shared" si="81"/>
        <v>7573.2333333476481</v>
      </c>
      <c r="Y844" s="4">
        <f t="shared" si="82"/>
        <v>-1</v>
      </c>
      <c r="Z844" s="2" t="str">
        <f t="shared" si="83"/>
        <v>Normal</v>
      </c>
    </row>
    <row r="845" spans="1:26" x14ac:dyDescent="0.3">
      <c r="A845" t="s">
        <v>1732</v>
      </c>
      <c r="B845" s="1">
        <v>44879</v>
      </c>
      <c r="C845" t="s">
        <v>1733</v>
      </c>
      <c r="D845" t="s">
        <v>56</v>
      </c>
      <c r="E845">
        <v>23641</v>
      </c>
      <c r="F845">
        <v>12.5</v>
      </c>
      <c r="G845">
        <v>60</v>
      </c>
      <c r="H845" t="s">
        <v>60</v>
      </c>
      <c r="I845" t="s">
        <v>84</v>
      </c>
      <c r="J845" t="s">
        <v>37</v>
      </c>
      <c r="K845">
        <v>99783</v>
      </c>
      <c r="L845" t="s">
        <v>33</v>
      </c>
      <c r="M845">
        <v>0.47</v>
      </c>
      <c r="N845">
        <v>0.72</v>
      </c>
      <c r="O845">
        <v>0</v>
      </c>
      <c r="P845">
        <v>0</v>
      </c>
      <c r="Q845">
        <f ca="1">DATEDIF(banking_loan_data[[#This Row],[Issue Date]],TODAY(),"M")</f>
        <v>40</v>
      </c>
      <c r="R845">
        <f t="shared" si="78"/>
        <v>14775.625</v>
      </c>
      <c r="S845">
        <f>+banking_loan_data[[#This Row],[Loan Amount]]+banking_loan_data[[#This Row],[Interest earned]]</f>
        <v>38416.625</v>
      </c>
      <c r="T845" s="2">
        <f t="shared" si="79"/>
        <v>-23641</v>
      </c>
      <c r="U845" s="2">
        <f t="shared" si="80"/>
        <v>0</v>
      </c>
      <c r="V845" s="2" t="str">
        <f>IF(banking_loan_data[[#This Row],[Loan Status]]="FULLY PAID","GOOD",IF(banking_loan_data[[#This Row],[Loan Status]]="CURRENT","ACTIVE","BAD"))</f>
        <v>BAD</v>
      </c>
      <c r="W84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45" s="3">
        <f t="shared" si="81"/>
        <v>24626.041666666668</v>
      </c>
      <c r="Y845" s="4">
        <f t="shared" si="82"/>
        <v>-1</v>
      </c>
      <c r="Z845" s="2" t="str">
        <f t="shared" si="83"/>
        <v>High Risk</v>
      </c>
    </row>
    <row r="846" spans="1:26" x14ac:dyDescent="0.3">
      <c r="A846" t="s">
        <v>1734</v>
      </c>
      <c r="B846" s="1">
        <v>45200</v>
      </c>
      <c r="C846" t="s">
        <v>1735</v>
      </c>
      <c r="D846" t="s">
        <v>72</v>
      </c>
      <c r="E846">
        <v>19792</v>
      </c>
      <c r="F846">
        <v>23.7</v>
      </c>
      <c r="G846">
        <v>36</v>
      </c>
      <c r="H846" t="s">
        <v>19</v>
      </c>
      <c r="I846" t="s">
        <v>20</v>
      </c>
      <c r="J846" t="s">
        <v>28</v>
      </c>
      <c r="K846">
        <v>137524</v>
      </c>
      <c r="L846" t="s">
        <v>22</v>
      </c>
      <c r="M846">
        <v>0.16</v>
      </c>
      <c r="N846">
        <v>0.93</v>
      </c>
      <c r="O846">
        <v>24482.7</v>
      </c>
      <c r="P846">
        <v>0</v>
      </c>
      <c r="Q846">
        <f ca="1">DATEDIF(banking_loan_data[[#This Row],[Issue Date]],TODAY(),"M")</f>
        <v>29</v>
      </c>
      <c r="R846">
        <f t="shared" si="78"/>
        <v>14072.111999999999</v>
      </c>
      <c r="S846">
        <f>+banking_loan_data[[#This Row],[Loan Amount]]+banking_loan_data[[#This Row],[Interest earned]]</f>
        <v>33864.112000000001</v>
      </c>
      <c r="T846" s="2">
        <f t="shared" si="79"/>
        <v>4690.7000000000007</v>
      </c>
      <c r="U846" s="2">
        <f t="shared" si="80"/>
        <v>0</v>
      </c>
      <c r="V846" s="2" t="str">
        <f>IF(banking_loan_data[[#This Row],[Loan Status]]="FULLY PAID","GOOD",IF(banking_loan_data[[#This Row],[Loan Status]]="CURRENT","ACTIVE","BAD"))</f>
        <v>GOOD</v>
      </c>
      <c r="W84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46" s="3">
        <f t="shared" si="81"/>
        <v>39089.199999999997</v>
      </c>
      <c r="Y846" s="4">
        <f t="shared" si="82"/>
        <v>0.23699979789814071</v>
      </c>
      <c r="Z846" s="2" t="str">
        <f t="shared" si="83"/>
        <v>High Risk</v>
      </c>
    </row>
    <row r="847" spans="1:26" x14ac:dyDescent="0.3">
      <c r="A847" t="s">
        <v>1736</v>
      </c>
      <c r="B847" s="1">
        <v>44552</v>
      </c>
      <c r="C847" t="s">
        <v>1737</v>
      </c>
      <c r="D847" t="s">
        <v>53</v>
      </c>
      <c r="E847">
        <v>36585</v>
      </c>
      <c r="F847">
        <v>18.5</v>
      </c>
      <c r="G847">
        <v>60</v>
      </c>
      <c r="H847" t="s">
        <v>315</v>
      </c>
      <c r="I847" t="s">
        <v>27</v>
      </c>
      <c r="J847" t="s">
        <v>28</v>
      </c>
      <c r="K847">
        <v>117234</v>
      </c>
      <c r="L847" t="s">
        <v>33</v>
      </c>
      <c r="M847">
        <v>0.22</v>
      </c>
      <c r="N847">
        <v>0.63</v>
      </c>
      <c r="O847">
        <v>0</v>
      </c>
      <c r="P847">
        <v>0</v>
      </c>
      <c r="Q847">
        <f ca="1">DATEDIF(banking_loan_data[[#This Row],[Issue Date]],TODAY(),"M")</f>
        <v>50</v>
      </c>
      <c r="R847">
        <f t="shared" si="78"/>
        <v>33841.125</v>
      </c>
      <c r="S847">
        <f>+banking_loan_data[[#This Row],[Loan Amount]]+banking_loan_data[[#This Row],[Interest earned]]</f>
        <v>70426.125</v>
      </c>
      <c r="T847" s="2">
        <f t="shared" si="79"/>
        <v>-36585</v>
      </c>
      <c r="U847" s="2">
        <f t="shared" si="80"/>
        <v>0</v>
      </c>
      <c r="V847" s="2" t="str">
        <f>IF(banking_loan_data[[#This Row],[Loan Status]]="FULLY PAID","GOOD",IF(banking_loan_data[[#This Row],[Loan Status]]="CURRENT","ACTIVE","BAD"))</f>
        <v>BAD</v>
      </c>
      <c r="W84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47" s="3">
        <f t="shared" si="81"/>
        <v>56401.875</v>
      </c>
      <c r="Y847" s="4">
        <f t="shared" si="82"/>
        <v>-1</v>
      </c>
      <c r="Z847" s="2" t="str">
        <f t="shared" si="83"/>
        <v>Normal</v>
      </c>
    </row>
    <row r="848" spans="1:26" x14ac:dyDescent="0.3">
      <c r="A848" t="s">
        <v>1738</v>
      </c>
      <c r="B848" s="1">
        <v>45204</v>
      </c>
      <c r="C848" t="s">
        <v>1739</v>
      </c>
      <c r="D848" t="s">
        <v>18</v>
      </c>
      <c r="E848">
        <v>31682</v>
      </c>
      <c r="F848">
        <v>7.3</v>
      </c>
      <c r="G848">
        <v>36</v>
      </c>
      <c r="H848" t="s">
        <v>26</v>
      </c>
      <c r="I848" t="s">
        <v>27</v>
      </c>
      <c r="J848" t="s">
        <v>21</v>
      </c>
      <c r="K848">
        <v>49738</v>
      </c>
      <c r="L848" t="s">
        <v>29</v>
      </c>
      <c r="M848">
        <v>0.16</v>
      </c>
      <c r="N848">
        <v>0.51</v>
      </c>
      <c r="O848">
        <v>11237.19</v>
      </c>
      <c r="P848">
        <v>0</v>
      </c>
      <c r="Q848">
        <f ca="1">DATEDIF(banking_loan_data[[#This Row],[Issue Date]],TODAY(),"M")</f>
        <v>29</v>
      </c>
      <c r="R848">
        <f t="shared" si="78"/>
        <v>6938.3580000000002</v>
      </c>
      <c r="S848">
        <f>+banking_loan_data[[#This Row],[Loan Amount]]+banking_loan_data[[#This Row],[Interest earned]]</f>
        <v>38620.358</v>
      </c>
      <c r="T848" s="2">
        <f t="shared" si="79"/>
        <v>-20444.809999999998</v>
      </c>
      <c r="U848" s="2">
        <f t="shared" si="80"/>
        <v>0</v>
      </c>
      <c r="V848" s="2" t="str">
        <f>IF(banking_loan_data[[#This Row],[Loan Status]]="FULLY PAID","GOOD",IF(banking_loan_data[[#This Row],[Loan Status]]="CURRENT","ACTIVE","BAD"))</f>
        <v>ACTIVE</v>
      </c>
      <c r="W84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48" s="3">
        <f t="shared" si="81"/>
        <v>19273.217383496303</v>
      </c>
      <c r="Y848" s="4">
        <f t="shared" si="82"/>
        <v>-0.64531311154598814</v>
      </c>
      <c r="Z848" s="2" t="str">
        <f t="shared" si="83"/>
        <v>Normal</v>
      </c>
    </row>
    <row r="849" spans="1:26" x14ac:dyDescent="0.3">
      <c r="A849" t="s">
        <v>1740</v>
      </c>
      <c r="B849" s="1">
        <v>45084</v>
      </c>
      <c r="C849" t="s">
        <v>1741</v>
      </c>
      <c r="D849" t="s">
        <v>50</v>
      </c>
      <c r="E849">
        <v>19880</v>
      </c>
      <c r="F849">
        <v>5.8</v>
      </c>
      <c r="G849">
        <v>60</v>
      </c>
      <c r="H849" t="s">
        <v>26</v>
      </c>
      <c r="I849" t="s">
        <v>27</v>
      </c>
      <c r="J849" t="s">
        <v>47</v>
      </c>
      <c r="K849">
        <v>40703</v>
      </c>
      <c r="L849" t="s">
        <v>29</v>
      </c>
      <c r="M849">
        <v>0.34</v>
      </c>
      <c r="N849">
        <v>0.69</v>
      </c>
      <c r="O849">
        <v>5252.13</v>
      </c>
      <c r="P849">
        <v>0</v>
      </c>
      <c r="Q849">
        <f ca="1">DATEDIF(banking_loan_data[[#This Row],[Issue Date]],TODAY(),"M")</f>
        <v>33</v>
      </c>
      <c r="R849">
        <f t="shared" si="78"/>
        <v>5765.2</v>
      </c>
      <c r="S849">
        <f>+banking_loan_data[[#This Row],[Loan Amount]]+banking_loan_data[[#This Row],[Interest earned]]</f>
        <v>25645.200000000001</v>
      </c>
      <c r="T849" s="2">
        <f t="shared" si="79"/>
        <v>-14627.869999999999</v>
      </c>
      <c r="U849" s="2">
        <f t="shared" si="80"/>
        <v>0</v>
      </c>
      <c r="V849" s="2" t="str">
        <f>IF(banking_loan_data[[#This Row],[Loan Status]]="FULLY PAID","GOOD",IF(banking_loan_data[[#This Row],[Loan Status]]="CURRENT","ACTIVE","BAD"))</f>
        <v>ACTIVE</v>
      </c>
      <c r="W84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49" s="3">
        <f t="shared" si="81"/>
        <v>9608.6666671775693</v>
      </c>
      <c r="Y849" s="4">
        <f t="shared" si="82"/>
        <v>-0.73580835010060353</v>
      </c>
      <c r="Z849" s="2" t="str">
        <f t="shared" si="83"/>
        <v>Normal</v>
      </c>
    </row>
    <row r="850" spans="1:26" x14ac:dyDescent="0.3">
      <c r="A850" t="s">
        <v>1742</v>
      </c>
      <c r="B850" s="1">
        <v>44323</v>
      </c>
      <c r="C850" t="s">
        <v>1743</v>
      </c>
      <c r="D850" t="s">
        <v>18</v>
      </c>
      <c r="E850">
        <v>39067</v>
      </c>
      <c r="F850">
        <v>16.3</v>
      </c>
      <c r="G850">
        <v>36</v>
      </c>
      <c r="H850" t="s">
        <v>19</v>
      </c>
      <c r="I850" t="s">
        <v>73</v>
      </c>
      <c r="J850" t="s">
        <v>32</v>
      </c>
      <c r="K850">
        <v>143776</v>
      </c>
      <c r="L850" t="s">
        <v>29</v>
      </c>
      <c r="M850">
        <v>0.22</v>
      </c>
      <c r="N850">
        <v>0.51</v>
      </c>
      <c r="O850">
        <v>45434.92</v>
      </c>
      <c r="P850">
        <v>0</v>
      </c>
      <c r="Q850">
        <f ca="1">DATEDIF(banking_loan_data[[#This Row],[Issue Date]],TODAY(),"M")</f>
        <v>58</v>
      </c>
      <c r="R850">
        <f t="shared" si="78"/>
        <v>19103.762999999999</v>
      </c>
      <c r="S850">
        <f>+banking_loan_data[[#This Row],[Loan Amount]]+banking_loan_data[[#This Row],[Interest earned]]</f>
        <v>58170.762999999999</v>
      </c>
      <c r="T850" s="2">
        <f t="shared" si="79"/>
        <v>6367.9199999999983</v>
      </c>
      <c r="U850" s="2">
        <f t="shared" si="80"/>
        <v>0</v>
      </c>
      <c r="V850" s="2" t="str">
        <f>IF(banking_loan_data[[#This Row],[Loan Status]]="FULLY PAID","GOOD",IF(banking_loan_data[[#This Row],[Loan Status]]="CURRENT","ACTIVE","BAD"))</f>
        <v>GOOD</v>
      </c>
      <c r="W85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850" s="3">
        <f t="shared" si="81"/>
        <v>53066.008333335383</v>
      </c>
      <c r="Y850" s="4">
        <f t="shared" si="82"/>
        <v>0.16299997440294872</v>
      </c>
      <c r="Z850" s="2" t="str">
        <f t="shared" si="83"/>
        <v>Normal</v>
      </c>
    </row>
    <row r="851" spans="1:26" x14ac:dyDescent="0.3">
      <c r="A851" t="s">
        <v>1744</v>
      </c>
      <c r="B851" s="1">
        <v>45205</v>
      </c>
      <c r="C851" t="s">
        <v>1745</v>
      </c>
      <c r="D851" t="s">
        <v>46</v>
      </c>
      <c r="E851">
        <v>19073</v>
      </c>
      <c r="F851">
        <v>23.6</v>
      </c>
      <c r="G851">
        <v>36</v>
      </c>
      <c r="H851" t="s">
        <v>81</v>
      </c>
      <c r="I851" t="s">
        <v>27</v>
      </c>
      <c r="J851" t="s">
        <v>21</v>
      </c>
      <c r="K851">
        <v>79422</v>
      </c>
      <c r="L851" t="s">
        <v>29</v>
      </c>
      <c r="M851">
        <v>0.23</v>
      </c>
      <c r="N851">
        <v>0.93</v>
      </c>
      <c r="O851">
        <v>7593.57</v>
      </c>
      <c r="P851">
        <v>6148.31</v>
      </c>
      <c r="Q851">
        <f ca="1">DATEDIF(banking_loan_data[[#This Row],[Issue Date]],TODAY(),"M")</f>
        <v>29</v>
      </c>
      <c r="R851">
        <f t="shared" si="78"/>
        <v>13503.684000000001</v>
      </c>
      <c r="S851">
        <f>+banking_loan_data[[#This Row],[Loan Amount]]+banking_loan_data[[#This Row],[Interest earned]]</f>
        <v>32576.684000000001</v>
      </c>
      <c r="T851" s="2">
        <f t="shared" si="79"/>
        <v>-5331.119999999999</v>
      </c>
      <c r="U851" s="2">
        <f t="shared" si="80"/>
        <v>1</v>
      </c>
      <c r="V851" s="2" t="str">
        <f>IF(banking_loan_data[[#This Row],[Loan Status]]="FULLY PAID","GOOD",IF(banking_loan_data[[#This Row],[Loan Status]]="CURRENT","ACTIVE","BAD"))</f>
        <v>BAD</v>
      </c>
      <c r="W85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51" s="3">
        <f t="shared" si="81"/>
        <v>37510.233333333337</v>
      </c>
      <c r="Y851" s="4">
        <f t="shared" si="82"/>
        <v>-0.27951135112462638</v>
      </c>
      <c r="Z851" s="2" t="str">
        <f t="shared" si="83"/>
        <v>High Risk</v>
      </c>
    </row>
    <row r="852" spans="1:26" x14ac:dyDescent="0.3">
      <c r="A852" t="s">
        <v>1746</v>
      </c>
      <c r="B852" s="1">
        <v>44800</v>
      </c>
      <c r="C852" t="s">
        <v>1747</v>
      </c>
      <c r="D852" t="s">
        <v>65</v>
      </c>
      <c r="E852">
        <v>37035</v>
      </c>
      <c r="F852">
        <v>21.9</v>
      </c>
      <c r="G852">
        <v>60</v>
      </c>
      <c r="H852" t="s">
        <v>26</v>
      </c>
      <c r="I852" t="s">
        <v>36</v>
      </c>
      <c r="J852" t="s">
        <v>37</v>
      </c>
      <c r="K852">
        <v>113106</v>
      </c>
      <c r="L852" t="s">
        <v>33</v>
      </c>
      <c r="M852">
        <v>0.13</v>
      </c>
      <c r="N852">
        <v>0.59</v>
      </c>
      <c r="O852">
        <v>13999.45</v>
      </c>
      <c r="P852">
        <v>0</v>
      </c>
      <c r="Q852">
        <f ca="1">DATEDIF(banking_loan_data[[#This Row],[Issue Date]],TODAY(),"M")</f>
        <v>42</v>
      </c>
      <c r="R852">
        <f t="shared" si="78"/>
        <v>40553.325000000004</v>
      </c>
      <c r="S852">
        <f>+banking_loan_data[[#This Row],[Loan Amount]]+banking_loan_data[[#This Row],[Interest earned]]</f>
        <v>77588.325000000012</v>
      </c>
      <c r="T852" s="2">
        <f t="shared" si="79"/>
        <v>-23035.55</v>
      </c>
      <c r="U852" s="2">
        <f t="shared" si="80"/>
        <v>0</v>
      </c>
      <c r="V852" s="2" t="str">
        <f>IF(banking_loan_data[[#This Row],[Loan Status]]="FULLY PAID","GOOD",IF(banking_loan_data[[#This Row],[Loan Status]]="CURRENT","ACTIVE","BAD"))</f>
        <v>ACTIVE</v>
      </c>
      <c r="W85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52" s="3">
        <f t="shared" si="81"/>
        <v>67588.875</v>
      </c>
      <c r="Y852" s="4">
        <f t="shared" si="82"/>
        <v>-0.62199405967328203</v>
      </c>
      <c r="Z852" s="2" t="str">
        <f t="shared" si="83"/>
        <v>Normal</v>
      </c>
    </row>
    <row r="853" spans="1:26" x14ac:dyDescent="0.3">
      <c r="A853" t="s">
        <v>1748</v>
      </c>
      <c r="B853" s="1">
        <v>45210</v>
      </c>
      <c r="C853" t="s">
        <v>1749</v>
      </c>
      <c r="D853" t="s">
        <v>18</v>
      </c>
      <c r="E853">
        <v>38174</v>
      </c>
      <c r="F853">
        <v>18.5</v>
      </c>
      <c r="G853">
        <v>36</v>
      </c>
      <c r="H853" t="s">
        <v>81</v>
      </c>
      <c r="I853" t="s">
        <v>20</v>
      </c>
      <c r="J853" t="s">
        <v>32</v>
      </c>
      <c r="K853">
        <v>91899</v>
      </c>
      <c r="L853" t="s">
        <v>22</v>
      </c>
      <c r="M853">
        <v>0.24</v>
      </c>
      <c r="N853">
        <v>0.86</v>
      </c>
      <c r="O853">
        <v>14725.52</v>
      </c>
      <c r="P853">
        <v>11118.32</v>
      </c>
      <c r="Q853">
        <f ca="1">DATEDIF(banking_loan_data[[#This Row],[Issue Date]],TODAY(),"M")</f>
        <v>29</v>
      </c>
      <c r="R853">
        <f t="shared" si="78"/>
        <v>21186.57</v>
      </c>
      <c r="S853">
        <f>+banking_loan_data[[#This Row],[Loan Amount]]+banking_loan_data[[#This Row],[Interest earned]]</f>
        <v>59360.57</v>
      </c>
      <c r="T853" s="2">
        <f t="shared" si="79"/>
        <v>-12330.16</v>
      </c>
      <c r="U853" s="2">
        <f t="shared" si="80"/>
        <v>1</v>
      </c>
      <c r="V853" s="2" t="str">
        <f>IF(banking_loan_data[[#This Row],[Loan Status]]="FULLY PAID","GOOD",IF(banking_loan_data[[#This Row],[Loan Status]]="CURRENT","ACTIVE","BAD"))</f>
        <v>BAD</v>
      </c>
      <c r="W85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53" s="3">
        <f t="shared" si="81"/>
        <v>58851.583333333481</v>
      </c>
      <c r="Y853" s="4">
        <f t="shared" si="82"/>
        <v>-0.3229988997747158</v>
      </c>
      <c r="Z853" s="2" t="str">
        <f t="shared" si="83"/>
        <v>High Risk</v>
      </c>
    </row>
    <row r="854" spans="1:26" x14ac:dyDescent="0.3">
      <c r="A854" t="s">
        <v>1750</v>
      </c>
      <c r="B854" s="1">
        <v>44247</v>
      </c>
      <c r="C854" t="s">
        <v>1751</v>
      </c>
      <c r="D854" t="s">
        <v>65</v>
      </c>
      <c r="E854">
        <v>25837</v>
      </c>
      <c r="F854">
        <v>7.8</v>
      </c>
      <c r="G854">
        <v>60</v>
      </c>
      <c r="H854" t="s">
        <v>26</v>
      </c>
      <c r="I854" t="s">
        <v>57</v>
      </c>
      <c r="J854" t="s">
        <v>47</v>
      </c>
      <c r="K854">
        <v>42392</v>
      </c>
      <c r="L854" t="s">
        <v>33</v>
      </c>
      <c r="M854">
        <v>0.44</v>
      </c>
      <c r="N854">
        <v>0.85</v>
      </c>
      <c r="O854">
        <v>10999.75</v>
      </c>
      <c r="P854">
        <v>0</v>
      </c>
      <c r="Q854">
        <f ca="1">DATEDIF(banking_loan_data[[#This Row],[Issue Date]],TODAY(),"M")</f>
        <v>60</v>
      </c>
      <c r="R854">
        <f t="shared" si="78"/>
        <v>10076.43</v>
      </c>
      <c r="S854">
        <f>+banking_loan_data[[#This Row],[Loan Amount]]+banking_loan_data[[#This Row],[Interest earned]]</f>
        <v>35913.43</v>
      </c>
      <c r="T854" s="2">
        <f t="shared" si="79"/>
        <v>-14837.25</v>
      </c>
      <c r="U854" s="2">
        <f t="shared" si="80"/>
        <v>0</v>
      </c>
      <c r="V854" s="2" t="str">
        <f>IF(banking_loan_data[[#This Row],[Loan Status]]="FULLY PAID","GOOD",IF(banking_loan_data[[#This Row],[Loan Status]]="CURRENT","ACTIVE","BAD"))</f>
        <v>ACTIVE</v>
      </c>
      <c r="W85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54" s="3">
        <f t="shared" si="81"/>
        <v>16794.050000001502</v>
      </c>
      <c r="Y854" s="4">
        <f t="shared" si="82"/>
        <v>-0.57426365290087855</v>
      </c>
      <c r="Z854" s="2" t="str">
        <f t="shared" si="83"/>
        <v>High Risk</v>
      </c>
    </row>
    <row r="855" spans="1:26" x14ac:dyDescent="0.3">
      <c r="A855" t="s">
        <v>1752</v>
      </c>
      <c r="B855" s="1">
        <v>45249</v>
      </c>
      <c r="C855" t="s">
        <v>1753</v>
      </c>
      <c r="D855" t="s">
        <v>18</v>
      </c>
      <c r="E855">
        <v>18826</v>
      </c>
      <c r="F855">
        <v>10.1</v>
      </c>
      <c r="G855">
        <v>36</v>
      </c>
      <c r="H855" t="s">
        <v>26</v>
      </c>
      <c r="I855" t="s">
        <v>73</v>
      </c>
      <c r="J855" t="s">
        <v>47</v>
      </c>
      <c r="K855">
        <v>74724</v>
      </c>
      <c r="L855" t="s">
        <v>22</v>
      </c>
      <c r="M855">
        <v>0.19</v>
      </c>
      <c r="N855">
        <v>0.6</v>
      </c>
      <c r="O855">
        <v>8590.41</v>
      </c>
      <c r="P855">
        <v>0</v>
      </c>
      <c r="Q855">
        <f ca="1">DATEDIF(banking_loan_data[[#This Row],[Issue Date]],TODAY(),"M")</f>
        <v>28</v>
      </c>
      <c r="R855">
        <f t="shared" si="78"/>
        <v>5704.2780000000012</v>
      </c>
      <c r="S855">
        <f>+banking_loan_data[[#This Row],[Loan Amount]]+banking_loan_data[[#This Row],[Interest earned]]</f>
        <v>24530.278000000002</v>
      </c>
      <c r="T855" s="2">
        <f t="shared" si="79"/>
        <v>-10235.59</v>
      </c>
      <c r="U855" s="2">
        <f t="shared" si="80"/>
        <v>0</v>
      </c>
      <c r="V855" s="2" t="str">
        <f>IF(banking_loan_data[[#This Row],[Loan Status]]="FULLY PAID","GOOD",IF(banking_loan_data[[#This Row],[Loan Status]]="CURRENT","ACTIVE","BAD"))</f>
        <v>ACTIVE</v>
      </c>
      <c r="W85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855" s="3">
        <f t="shared" si="81"/>
        <v>15845.216671157235</v>
      </c>
      <c r="Y855" s="4">
        <f t="shared" si="82"/>
        <v>-0.54369435886539896</v>
      </c>
      <c r="Z855" s="2" t="str">
        <f t="shared" si="83"/>
        <v>Normal</v>
      </c>
    </row>
    <row r="856" spans="1:26" x14ac:dyDescent="0.3">
      <c r="A856" t="s">
        <v>1754</v>
      </c>
      <c r="B856" s="1">
        <v>44975</v>
      </c>
      <c r="C856" t="s">
        <v>1755</v>
      </c>
      <c r="D856" t="s">
        <v>46</v>
      </c>
      <c r="E856">
        <v>25981</v>
      </c>
      <c r="F856">
        <v>22.5</v>
      </c>
      <c r="G856">
        <v>60</v>
      </c>
      <c r="H856" t="s">
        <v>26</v>
      </c>
      <c r="I856" t="s">
        <v>41</v>
      </c>
      <c r="J856" t="s">
        <v>28</v>
      </c>
      <c r="K856">
        <v>62299</v>
      </c>
      <c r="L856" t="s">
        <v>29</v>
      </c>
      <c r="M856">
        <v>0.38</v>
      </c>
      <c r="N856">
        <v>0.78</v>
      </c>
      <c r="O856">
        <v>10820.79</v>
      </c>
      <c r="P856">
        <v>0</v>
      </c>
      <c r="Q856">
        <f ca="1">DATEDIF(banking_loan_data[[#This Row],[Issue Date]],TODAY(),"M")</f>
        <v>37</v>
      </c>
      <c r="R856">
        <f t="shared" si="78"/>
        <v>29228.625</v>
      </c>
      <c r="S856">
        <f>+banking_loan_data[[#This Row],[Loan Amount]]+banking_loan_data[[#This Row],[Interest earned]]</f>
        <v>55209.625</v>
      </c>
      <c r="T856" s="2">
        <f t="shared" si="79"/>
        <v>-15160.21</v>
      </c>
      <c r="U856" s="2">
        <f t="shared" si="80"/>
        <v>0</v>
      </c>
      <c r="V856" s="2" t="str">
        <f>IF(banking_loan_data[[#This Row],[Loan Status]]="FULLY PAID","GOOD",IF(banking_loan_data[[#This Row],[Loan Status]]="CURRENT","ACTIVE","BAD"))</f>
        <v>ACTIVE</v>
      </c>
      <c r="W85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56" s="3">
        <f t="shared" si="81"/>
        <v>48714.375</v>
      </c>
      <c r="Y856" s="4">
        <f t="shared" si="82"/>
        <v>-0.58351141218582803</v>
      </c>
      <c r="Z856" s="2" t="str">
        <f t="shared" si="83"/>
        <v>Normal</v>
      </c>
    </row>
    <row r="857" spans="1:26" x14ac:dyDescent="0.3">
      <c r="A857" t="s">
        <v>1756</v>
      </c>
      <c r="B857" s="1">
        <v>45010</v>
      </c>
      <c r="C857" t="s">
        <v>1757</v>
      </c>
      <c r="D857" t="s">
        <v>53</v>
      </c>
      <c r="E857">
        <v>11382</v>
      </c>
      <c r="F857">
        <v>8.6999999999999993</v>
      </c>
      <c r="G857">
        <v>36</v>
      </c>
      <c r="H857" t="s">
        <v>19</v>
      </c>
      <c r="I857" t="s">
        <v>20</v>
      </c>
      <c r="J857" t="s">
        <v>21</v>
      </c>
      <c r="K857">
        <v>45641</v>
      </c>
      <c r="L857" t="s">
        <v>22</v>
      </c>
      <c r="M857">
        <v>0.35</v>
      </c>
      <c r="N857">
        <v>0.52</v>
      </c>
      <c r="O857">
        <v>12372.23</v>
      </c>
      <c r="P857">
        <v>0</v>
      </c>
      <c r="Q857">
        <f ca="1">DATEDIF(banking_loan_data[[#This Row],[Issue Date]],TODAY(),"M")</f>
        <v>35</v>
      </c>
      <c r="R857">
        <f t="shared" si="78"/>
        <v>2970.7019999999998</v>
      </c>
      <c r="S857">
        <f>+banking_loan_data[[#This Row],[Loan Amount]]+banking_loan_data[[#This Row],[Interest earned]]</f>
        <v>14352.701999999999</v>
      </c>
      <c r="T857" s="2">
        <f t="shared" si="79"/>
        <v>990.22999999999956</v>
      </c>
      <c r="U857" s="2">
        <f t="shared" si="80"/>
        <v>0</v>
      </c>
      <c r="V857" s="2" t="str">
        <f>IF(banking_loan_data[[#This Row],[Loan Status]]="FULLY PAID","GOOD",IF(banking_loan_data[[#This Row],[Loan Status]]="CURRENT","ACTIVE","BAD"))</f>
        <v>GOOD</v>
      </c>
      <c r="W85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57" s="3">
        <f t="shared" si="81"/>
        <v>8251.9500246688567</v>
      </c>
      <c r="Y857" s="4">
        <f t="shared" si="82"/>
        <v>8.6999648567914215E-2</v>
      </c>
      <c r="Z857" s="2" t="str">
        <f t="shared" si="83"/>
        <v>Normal</v>
      </c>
    </row>
    <row r="858" spans="1:26" x14ac:dyDescent="0.3">
      <c r="A858" t="s">
        <v>1758</v>
      </c>
      <c r="B858" s="1">
        <v>44616</v>
      </c>
      <c r="C858" t="s">
        <v>1759</v>
      </c>
      <c r="D858" t="s">
        <v>50</v>
      </c>
      <c r="E858">
        <v>5437</v>
      </c>
      <c r="F858">
        <v>10.6</v>
      </c>
      <c r="G858">
        <v>36</v>
      </c>
      <c r="H858" t="s">
        <v>19</v>
      </c>
      <c r="I858" t="s">
        <v>20</v>
      </c>
      <c r="J858" t="s">
        <v>37</v>
      </c>
      <c r="K858">
        <v>109534</v>
      </c>
      <c r="L858" t="s">
        <v>29</v>
      </c>
      <c r="M858">
        <v>0.45</v>
      </c>
      <c r="N858">
        <v>0.72</v>
      </c>
      <c r="O858">
        <v>6013.32</v>
      </c>
      <c r="P858">
        <v>0</v>
      </c>
      <c r="Q858">
        <f ca="1">DATEDIF(banking_loan_data[[#This Row],[Issue Date]],TODAY(),"M")</f>
        <v>48</v>
      </c>
      <c r="R858">
        <f t="shared" si="78"/>
        <v>1728.9660000000001</v>
      </c>
      <c r="S858">
        <f>+banking_loan_data[[#This Row],[Loan Amount]]+banking_loan_data[[#This Row],[Interest earned]]</f>
        <v>7165.9660000000003</v>
      </c>
      <c r="T858" s="2">
        <f t="shared" si="79"/>
        <v>576.31999999999971</v>
      </c>
      <c r="U858" s="2">
        <f t="shared" si="80"/>
        <v>0</v>
      </c>
      <c r="V858" s="2" t="str">
        <f>IF(banking_loan_data[[#This Row],[Loan Status]]="FULLY PAID","GOOD",IF(banking_loan_data[[#This Row],[Loan Status]]="CURRENT","ACTIVE","BAD"))</f>
        <v>GOOD</v>
      </c>
      <c r="W85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58" s="3">
        <f t="shared" si="81"/>
        <v>4802.6833339416153</v>
      </c>
      <c r="Y858" s="4">
        <f t="shared" si="82"/>
        <v>0.10599963215008271</v>
      </c>
      <c r="Z858" s="2" t="str">
        <f t="shared" si="83"/>
        <v>High Risk</v>
      </c>
    </row>
    <row r="859" spans="1:26" x14ac:dyDescent="0.3">
      <c r="A859" t="s">
        <v>1760</v>
      </c>
      <c r="B859" s="1">
        <v>45179</v>
      </c>
      <c r="C859" t="s">
        <v>1761</v>
      </c>
      <c r="D859" t="s">
        <v>40</v>
      </c>
      <c r="E859">
        <v>6435</v>
      </c>
      <c r="F859">
        <v>7.6</v>
      </c>
      <c r="G859">
        <v>60</v>
      </c>
      <c r="H859" t="s">
        <v>19</v>
      </c>
      <c r="I859" t="s">
        <v>20</v>
      </c>
      <c r="J859" t="s">
        <v>32</v>
      </c>
      <c r="K859">
        <v>36305</v>
      </c>
      <c r="L859" t="s">
        <v>33</v>
      </c>
      <c r="M859">
        <v>0.15</v>
      </c>
      <c r="N859">
        <v>0.51</v>
      </c>
      <c r="O859">
        <v>6924.06</v>
      </c>
      <c r="P859">
        <v>0</v>
      </c>
      <c r="Q859">
        <f ca="1">DATEDIF(banking_loan_data[[#This Row],[Issue Date]],TODAY(),"M")</f>
        <v>30</v>
      </c>
      <c r="R859">
        <f t="shared" si="78"/>
        <v>2445.2999999999997</v>
      </c>
      <c r="S859">
        <f>+banking_loan_data[[#This Row],[Loan Amount]]+banking_loan_data[[#This Row],[Interest earned]]</f>
        <v>8880.2999999999993</v>
      </c>
      <c r="T859" s="2">
        <f t="shared" si="79"/>
        <v>489.0600000000004</v>
      </c>
      <c r="U859" s="2">
        <f t="shared" si="80"/>
        <v>0</v>
      </c>
      <c r="V859" s="2" t="str">
        <f>IF(banking_loan_data[[#This Row],[Loan Status]]="FULLY PAID","GOOD",IF(banking_loan_data[[#This Row],[Loan Status]]="CURRENT","ACTIVE","BAD"))</f>
        <v>GOOD</v>
      </c>
      <c r="W85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59" s="3">
        <f t="shared" si="81"/>
        <v>4075.5000000006689</v>
      </c>
      <c r="Y859" s="4">
        <f t="shared" si="82"/>
        <v>7.6000000000000068E-2</v>
      </c>
      <c r="Z859" s="2" t="str">
        <f t="shared" si="83"/>
        <v>Normal</v>
      </c>
    </row>
    <row r="860" spans="1:26" x14ac:dyDescent="0.3">
      <c r="A860" t="s">
        <v>1762</v>
      </c>
      <c r="B860" s="1">
        <v>45021</v>
      </c>
      <c r="C860" t="s">
        <v>1763</v>
      </c>
      <c r="D860" t="s">
        <v>72</v>
      </c>
      <c r="E860">
        <v>25819</v>
      </c>
      <c r="F860">
        <v>18.5</v>
      </c>
      <c r="G860">
        <v>36</v>
      </c>
      <c r="H860" t="s">
        <v>19</v>
      </c>
      <c r="I860" t="s">
        <v>20</v>
      </c>
      <c r="J860" t="s">
        <v>47</v>
      </c>
      <c r="K860">
        <v>128262</v>
      </c>
      <c r="L860" t="s">
        <v>22</v>
      </c>
      <c r="M860">
        <v>0.49</v>
      </c>
      <c r="N860">
        <v>0.91</v>
      </c>
      <c r="O860">
        <v>30595.52</v>
      </c>
      <c r="P860">
        <v>0</v>
      </c>
      <c r="Q860">
        <f ca="1">DATEDIF(banking_loan_data[[#This Row],[Issue Date]],TODAY(),"M")</f>
        <v>35</v>
      </c>
      <c r="R860">
        <f t="shared" si="78"/>
        <v>14329.545</v>
      </c>
      <c r="S860">
        <f>+banking_loan_data[[#This Row],[Loan Amount]]+banking_loan_data[[#This Row],[Interest earned]]</f>
        <v>40148.544999999998</v>
      </c>
      <c r="T860" s="2">
        <f t="shared" si="79"/>
        <v>4776.5200000000004</v>
      </c>
      <c r="U860" s="2">
        <f t="shared" si="80"/>
        <v>0</v>
      </c>
      <c r="V860" s="2" t="str">
        <f>IF(banking_loan_data[[#This Row],[Loan Status]]="FULLY PAID","GOOD",IF(banking_loan_data[[#This Row],[Loan Status]]="CURRENT","ACTIVE","BAD"))</f>
        <v>GOOD</v>
      </c>
      <c r="W86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60" s="3">
        <f t="shared" si="81"/>
        <v>39804.291666666766</v>
      </c>
      <c r="Y860" s="4">
        <f t="shared" si="82"/>
        <v>0.18500019365583487</v>
      </c>
      <c r="Z860" s="2" t="str">
        <f t="shared" si="83"/>
        <v>High Risk</v>
      </c>
    </row>
    <row r="861" spans="1:26" x14ac:dyDescent="0.3">
      <c r="A861" t="s">
        <v>1764</v>
      </c>
      <c r="B861" s="1">
        <v>45221</v>
      </c>
      <c r="C861" t="s">
        <v>1765</v>
      </c>
      <c r="D861" t="s">
        <v>72</v>
      </c>
      <c r="E861">
        <v>37875</v>
      </c>
      <c r="F861">
        <v>23.9</v>
      </c>
      <c r="G861">
        <v>36</v>
      </c>
      <c r="H861" t="s">
        <v>26</v>
      </c>
      <c r="I861" t="s">
        <v>36</v>
      </c>
      <c r="J861" t="s">
        <v>32</v>
      </c>
      <c r="K861">
        <v>48782</v>
      </c>
      <c r="L861" t="s">
        <v>33</v>
      </c>
      <c r="M861">
        <v>0.33</v>
      </c>
      <c r="N861">
        <v>0.94</v>
      </c>
      <c r="O861">
        <v>9719.5400000000009</v>
      </c>
      <c r="P861">
        <v>0</v>
      </c>
      <c r="Q861">
        <f ca="1">DATEDIF(banking_loan_data[[#This Row],[Issue Date]],TODAY(),"M")</f>
        <v>28</v>
      </c>
      <c r="R861">
        <f t="shared" si="78"/>
        <v>27156.375</v>
      </c>
      <c r="S861">
        <f>+banking_loan_data[[#This Row],[Loan Amount]]+banking_loan_data[[#This Row],[Interest earned]]</f>
        <v>65031.375</v>
      </c>
      <c r="T861" s="2">
        <f t="shared" si="79"/>
        <v>-28155.46</v>
      </c>
      <c r="U861" s="2">
        <f t="shared" si="80"/>
        <v>0</v>
      </c>
      <c r="V861" s="2" t="str">
        <f>IF(banking_loan_data[[#This Row],[Loan Status]]="FULLY PAID","GOOD",IF(banking_loan_data[[#This Row],[Loan Status]]="CURRENT","ACTIVE","BAD"))</f>
        <v>ACTIVE</v>
      </c>
      <c r="W86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61" s="3">
        <f t="shared" si="81"/>
        <v>75434.374999999985</v>
      </c>
      <c r="Y861" s="4">
        <f t="shared" si="82"/>
        <v>-0.74337848184818478</v>
      </c>
      <c r="Z861" s="2" t="str">
        <f t="shared" si="83"/>
        <v>High Risk</v>
      </c>
    </row>
    <row r="862" spans="1:26" x14ac:dyDescent="0.3">
      <c r="A862" t="s">
        <v>1766</v>
      </c>
      <c r="B862" s="1">
        <v>44763</v>
      </c>
      <c r="C862" t="s">
        <v>1767</v>
      </c>
      <c r="D862" t="s">
        <v>50</v>
      </c>
      <c r="E862">
        <v>32982</v>
      </c>
      <c r="F862">
        <v>10.4</v>
      </c>
      <c r="G862">
        <v>36</v>
      </c>
      <c r="H862" t="s">
        <v>26</v>
      </c>
      <c r="I862" t="s">
        <v>27</v>
      </c>
      <c r="J862" t="s">
        <v>37</v>
      </c>
      <c r="K862">
        <v>108257</v>
      </c>
      <c r="L862" t="s">
        <v>29</v>
      </c>
      <c r="M862">
        <v>0.5</v>
      </c>
      <c r="N862">
        <v>0.6</v>
      </c>
      <c r="O862">
        <v>5386.12</v>
      </c>
      <c r="P862">
        <v>0</v>
      </c>
      <c r="Q862">
        <f ca="1">DATEDIF(banking_loan_data[[#This Row],[Issue Date]],TODAY(),"M")</f>
        <v>43</v>
      </c>
      <c r="R862">
        <f t="shared" si="78"/>
        <v>10290.384</v>
      </c>
      <c r="S862">
        <f>+banking_loan_data[[#This Row],[Loan Amount]]+banking_loan_data[[#This Row],[Interest earned]]</f>
        <v>43272.383999999998</v>
      </c>
      <c r="T862" s="2">
        <f t="shared" si="79"/>
        <v>-27595.88</v>
      </c>
      <c r="U862" s="2">
        <f t="shared" si="80"/>
        <v>0</v>
      </c>
      <c r="V862" s="2" t="str">
        <f>IF(banking_loan_data[[#This Row],[Loan Status]]="FULLY PAID","GOOD",IF(banking_loan_data[[#This Row],[Loan Status]]="CURRENT","ACTIVE","BAD"))</f>
        <v>ACTIVE</v>
      </c>
      <c r="W86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62" s="3">
        <f t="shared" si="81"/>
        <v>28584.400004985691</v>
      </c>
      <c r="Y862" s="4">
        <f t="shared" si="82"/>
        <v>-0.83669516706082103</v>
      </c>
      <c r="Z862" s="2" t="str">
        <f t="shared" si="83"/>
        <v>High Risk</v>
      </c>
    </row>
    <row r="863" spans="1:26" x14ac:dyDescent="0.3">
      <c r="A863" t="s">
        <v>1768</v>
      </c>
      <c r="B863" s="1">
        <v>44567</v>
      </c>
      <c r="C863" t="s">
        <v>1769</v>
      </c>
      <c r="D863" t="s">
        <v>18</v>
      </c>
      <c r="E863">
        <v>34328</v>
      </c>
      <c r="F863">
        <v>14.5</v>
      </c>
      <c r="G863">
        <v>36</v>
      </c>
      <c r="H863" t="s">
        <v>81</v>
      </c>
      <c r="I863" t="s">
        <v>27</v>
      </c>
      <c r="J863" t="s">
        <v>32</v>
      </c>
      <c r="K863">
        <v>135299</v>
      </c>
      <c r="L863" t="s">
        <v>33</v>
      </c>
      <c r="M863">
        <v>0.46</v>
      </c>
      <c r="N863">
        <v>0.59</v>
      </c>
      <c r="O863">
        <v>7246.51</v>
      </c>
      <c r="P863">
        <v>14471.77</v>
      </c>
      <c r="Q863">
        <f ca="1">DATEDIF(banking_loan_data[[#This Row],[Issue Date]],TODAY(),"M")</f>
        <v>50</v>
      </c>
      <c r="R863">
        <f t="shared" si="78"/>
        <v>14932.68</v>
      </c>
      <c r="S863">
        <f>+banking_loan_data[[#This Row],[Loan Amount]]+banking_loan_data[[#This Row],[Interest earned]]</f>
        <v>49260.68</v>
      </c>
      <c r="T863" s="2">
        <f t="shared" si="79"/>
        <v>-12609.720000000001</v>
      </c>
      <c r="U863" s="2">
        <f t="shared" si="80"/>
        <v>1</v>
      </c>
      <c r="V863" s="2" t="str">
        <f>IF(banking_loan_data[[#This Row],[Loan Status]]="FULLY PAID","GOOD",IF(banking_loan_data[[#This Row],[Loan Status]]="CURRENT","ACTIVE","BAD"))</f>
        <v>BAD</v>
      </c>
      <c r="W86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63" s="3">
        <f t="shared" si="81"/>
        <v>41479.666666683712</v>
      </c>
      <c r="Y863" s="4">
        <f t="shared" si="82"/>
        <v>-0.36733045910044282</v>
      </c>
      <c r="Z863" s="2" t="str">
        <f t="shared" si="83"/>
        <v>High Risk</v>
      </c>
    </row>
    <row r="864" spans="1:26" x14ac:dyDescent="0.3">
      <c r="A864" t="s">
        <v>1770</v>
      </c>
      <c r="B864" s="1">
        <v>45132</v>
      </c>
      <c r="C864" t="s">
        <v>1771</v>
      </c>
      <c r="D864" t="s">
        <v>40</v>
      </c>
      <c r="E864">
        <v>13329</v>
      </c>
      <c r="F864">
        <v>17.7</v>
      </c>
      <c r="G864">
        <v>36</v>
      </c>
      <c r="H864" t="s">
        <v>19</v>
      </c>
      <c r="I864" t="s">
        <v>73</v>
      </c>
      <c r="J864" t="s">
        <v>21</v>
      </c>
      <c r="K864">
        <v>107963</v>
      </c>
      <c r="L864" t="s">
        <v>29</v>
      </c>
      <c r="M864">
        <v>0.19</v>
      </c>
      <c r="N864">
        <v>0.84</v>
      </c>
      <c r="O864">
        <v>15688.23</v>
      </c>
      <c r="P864">
        <v>0</v>
      </c>
      <c r="Q864">
        <f ca="1">DATEDIF(banking_loan_data[[#This Row],[Issue Date]],TODAY(),"M")</f>
        <v>31</v>
      </c>
      <c r="R864">
        <f t="shared" si="78"/>
        <v>7077.6989999999996</v>
      </c>
      <c r="S864">
        <f>+banking_loan_data[[#This Row],[Loan Amount]]+banking_loan_data[[#This Row],[Interest earned]]</f>
        <v>20406.699000000001</v>
      </c>
      <c r="T864" s="2">
        <f t="shared" si="79"/>
        <v>2359.2299999999996</v>
      </c>
      <c r="U864" s="2">
        <f t="shared" si="80"/>
        <v>0</v>
      </c>
      <c r="V864" s="2" t="str">
        <f>IF(banking_loan_data[[#This Row],[Loan Status]]="FULLY PAID","GOOD",IF(banking_loan_data[[#This Row],[Loan Status]]="CURRENT","ACTIVE","BAD"))</f>
        <v>GOOD</v>
      </c>
      <c r="W86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864" s="3">
        <f t="shared" si="81"/>
        <v>19660.275000000132</v>
      </c>
      <c r="Y864" s="4">
        <f t="shared" si="82"/>
        <v>0.17699977492685121</v>
      </c>
      <c r="Z864" s="2" t="str">
        <f t="shared" si="83"/>
        <v>High Risk</v>
      </c>
    </row>
    <row r="865" spans="1:26" x14ac:dyDescent="0.3">
      <c r="A865" t="s">
        <v>1772</v>
      </c>
      <c r="B865" s="1">
        <v>44857</v>
      </c>
      <c r="C865" t="s">
        <v>1773</v>
      </c>
      <c r="D865" t="s">
        <v>46</v>
      </c>
      <c r="E865">
        <v>26169</v>
      </c>
      <c r="F865">
        <v>25</v>
      </c>
      <c r="G865">
        <v>36</v>
      </c>
      <c r="H865" t="s">
        <v>19</v>
      </c>
      <c r="I865" t="s">
        <v>84</v>
      </c>
      <c r="J865" t="s">
        <v>28</v>
      </c>
      <c r="K865">
        <v>142086</v>
      </c>
      <c r="L865" t="s">
        <v>29</v>
      </c>
      <c r="M865">
        <v>0.12</v>
      </c>
      <c r="N865">
        <v>0.61</v>
      </c>
      <c r="O865">
        <v>32711.25</v>
      </c>
      <c r="P865">
        <v>0</v>
      </c>
      <c r="Q865">
        <f ca="1">DATEDIF(banking_loan_data[[#This Row],[Issue Date]],TODAY(),"M")</f>
        <v>40</v>
      </c>
      <c r="R865">
        <f t="shared" si="78"/>
        <v>19626.75</v>
      </c>
      <c r="S865">
        <f>+banking_loan_data[[#This Row],[Loan Amount]]+banking_loan_data[[#This Row],[Interest earned]]</f>
        <v>45795.75</v>
      </c>
      <c r="T865" s="2">
        <f t="shared" si="79"/>
        <v>6542.25</v>
      </c>
      <c r="U865" s="2">
        <f t="shared" si="80"/>
        <v>0</v>
      </c>
      <c r="V865" s="2" t="str">
        <f>IF(banking_loan_data[[#This Row],[Loan Status]]="FULLY PAID","GOOD",IF(banking_loan_data[[#This Row],[Loan Status]]="CURRENT","ACTIVE","BAD"))</f>
        <v>GOOD</v>
      </c>
      <c r="W86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65" s="3">
        <f t="shared" si="81"/>
        <v>54518.750000000007</v>
      </c>
      <c r="Y865" s="4">
        <f t="shared" si="82"/>
        <v>0.25</v>
      </c>
      <c r="Z865" s="2" t="str">
        <f t="shared" si="83"/>
        <v>Normal</v>
      </c>
    </row>
    <row r="866" spans="1:26" x14ac:dyDescent="0.3">
      <c r="A866" t="s">
        <v>1774</v>
      </c>
      <c r="B866" s="1">
        <v>45165</v>
      </c>
      <c r="C866" t="s">
        <v>1775</v>
      </c>
      <c r="D866" t="s">
        <v>56</v>
      </c>
      <c r="E866">
        <v>22932</v>
      </c>
      <c r="F866">
        <v>7.1</v>
      </c>
      <c r="G866">
        <v>60</v>
      </c>
      <c r="H866" t="s">
        <v>19</v>
      </c>
      <c r="I866" t="s">
        <v>20</v>
      </c>
      <c r="J866" t="s">
        <v>32</v>
      </c>
      <c r="K866">
        <v>50566</v>
      </c>
      <c r="L866" t="s">
        <v>29</v>
      </c>
      <c r="M866">
        <v>0.2</v>
      </c>
      <c r="N866">
        <v>0.9</v>
      </c>
      <c r="O866">
        <v>24560.17</v>
      </c>
      <c r="P866">
        <v>0</v>
      </c>
      <c r="Q866">
        <f ca="1">DATEDIF(banking_loan_data[[#This Row],[Issue Date]],TODAY(),"M")</f>
        <v>30</v>
      </c>
      <c r="R866">
        <f t="shared" si="78"/>
        <v>8140.86</v>
      </c>
      <c r="S866">
        <f>+banking_loan_data[[#This Row],[Loan Amount]]+banking_loan_data[[#This Row],[Interest earned]]</f>
        <v>31072.86</v>
      </c>
      <c r="T866" s="2">
        <f t="shared" si="79"/>
        <v>1628.1699999999983</v>
      </c>
      <c r="U866" s="2">
        <f t="shared" si="80"/>
        <v>0</v>
      </c>
      <c r="V866" s="2" t="str">
        <f>IF(banking_loan_data[[#This Row],[Loan Status]]="FULLY PAID","GOOD",IF(banking_loan_data[[#This Row],[Loan Status]]="CURRENT","ACTIVE","BAD"))</f>
        <v>GOOD</v>
      </c>
      <c r="W86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66" s="3">
        <f t="shared" si="81"/>
        <v>13568.100000010507</v>
      </c>
      <c r="Y866" s="4">
        <f t="shared" si="82"/>
        <v>7.0999912785626992E-2</v>
      </c>
      <c r="Z866" s="2" t="str">
        <f t="shared" si="83"/>
        <v>High Risk</v>
      </c>
    </row>
    <row r="867" spans="1:26" x14ac:dyDescent="0.3">
      <c r="A867" t="s">
        <v>1776</v>
      </c>
      <c r="B867" s="1">
        <v>44398</v>
      </c>
      <c r="C867" t="s">
        <v>1777</v>
      </c>
      <c r="D867" t="s">
        <v>18</v>
      </c>
      <c r="E867">
        <v>35594</v>
      </c>
      <c r="F867">
        <v>15</v>
      </c>
      <c r="G867">
        <v>60</v>
      </c>
      <c r="H867" t="s">
        <v>19</v>
      </c>
      <c r="I867" t="s">
        <v>57</v>
      </c>
      <c r="J867" t="s">
        <v>28</v>
      </c>
      <c r="K867">
        <v>97766</v>
      </c>
      <c r="L867" t="s">
        <v>33</v>
      </c>
      <c r="M867">
        <v>0.31</v>
      </c>
      <c r="N867">
        <v>0.76</v>
      </c>
      <c r="O867">
        <v>40933.1</v>
      </c>
      <c r="P867">
        <v>0</v>
      </c>
      <c r="Q867">
        <f ca="1">DATEDIF(banking_loan_data[[#This Row],[Issue Date]],TODAY(),"M")</f>
        <v>55</v>
      </c>
      <c r="R867">
        <f t="shared" si="78"/>
        <v>26695.5</v>
      </c>
      <c r="S867">
        <f>+banking_loan_data[[#This Row],[Loan Amount]]+banking_loan_data[[#This Row],[Interest earned]]</f>
        <v>62289.5</v>
      </c>
      <c r="T867" s="2">
        <f t="shared" si="79"/>
        <v>5339.0999999999985</v>
      </c>
      <c r="U867" s="2">
        <f t="shared" si="80"/>
        <v>0</v>
      </c>
      <c r="V867" s="2" t="str">
        <f>IF(banking_loan_data[[#This Row],[Loan Status]]="FULLY PAID","GOOD",IF(banking_loan_data[[#This Row],[Loan Status]]="CURRENT","ACTIVE","BAD"))</f>
        <v>GOOD</v>
      </c>
      <c r="W86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67" s="3">
        <f t="shared" si="81"/>
        <v>44492.5</v>
      </c>
      <c r="Y867" s="4">
        <f t="shared" si="82"/>
        <v>0.14999999999999997</v>
      </c>
      <c r="Z867" s="2" t="str">
        <f t="shared" si="83"/>
        <v>Normal</v>
      </c>
    </row>
    <row r="868" spans="1:26" x14ac:dyDescent="0.3">
      <c r="A868" t="s">
        <v>1778</v>
      </c>
      <c r="B868" s="1">
        <v>44509</v>
      </c>
      <c r="C868" t="s">
        <v>1779</v>
      </c>
      <c r="D868" t="s">
        <v>53</v>
      </c>
      <c r="E868">
        <v>12421</v>
      </c>
      <c r="F868">
        <v>12.7</v>
      </c>
      <c r="G868">
        <v>60</v>
      </c>
      <c r="H868" t="s">
        <v>19</v>
      </c>
      <c r="I868" t="s">
        <v>73</v>
      </c>
      <c r="J868" t="s">
        <v>37</v>
      </c>
      <c r="K868">
        <v>36511</v>
      </c>
      <c r="L868" t="s">
        <v>33</v>
      </c>
      <c r="M868">
        <v>0.17</v>
      </c>
      <c r="N868">
        <v>0.66</v>
      </c>
      <c r="O868">
        <v>13998.47</v>
      </c>
      <c r="P868">
        <v>0</v>
      </c>
      <c r="Q868">
        <f ca="1">DATEDIF(banking_loan_data[[#This Row],[Issue Date]],TODAY(),"M")</f>
        <v>52</v>
      </c>
      <c r="R868">
        <f t="shared" si="78"/>
        <v>7887.3349999999991</v>
      </c>
      <c r="S868">
        <f>+banking_loan_data[[#This Row],[Loan Amount]]+banking_loan_data[[#This Row],[Interest earned]]</f>
        <v>20308.334999999999</v>
      </c>
      <c r="T868" s="2">
        <f t="shared" si="79"/>
        <v>1577.4699999999993</v>
      </c>
      <c r="U868" s="2">
        <f t="shared" si="80"/>
        <v>0</v>
      </c>
      <c r="V868" s="2" t="str">
        <f>IF(banking_loan_data[[#This Row],[Loan Status]]="FULLY PAID","GOOD",IF(banking_loan_data[[#This Row],[Loan Status]]="CURRENT","ACTIVE","BAD"))</f>
        <v>GOOD</v>
      </c>
      <c r="W86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868" s="3">
        <f t="shared" si="81"/>
        <v>13145.558333333334</v>
      </c>
      <c r="Y868" s="4">
        <f t="shared" si="82"/>
        <v>0.12700024152644709</v>
      </c>
      <c r="Z868" s="2" t="str">
        <f t="shared" si="83"/>
        <v>Normal</v>
      </c>
    </row>
    <row r="869" spans="1:26" x14ac:dyDescent="0.3">
      <c r="A869" t="s">
        <v>1780</v>
      </c>
      <c r="B869" s="1">
        <v>44313</v>
      </c>
      <c r="C869" t="s">
        <v>1781</v>
      </c>
      <c r="D869" t="s">
        <v>65</v>
      </c>
      <c r="E869">
        <v>8629</v>
      </c>
      <c r="F869">
        <v>22.3</v>
      </c>
      <c r="G869">
        <v>36</v>
      </c>
      <c r="H869" t="s">
        <v>26</v>
      </c>
      <c r="I869" t="s">
        <v>20</v>
      </c>
      <c r="J869" t="s">
        <v>28</v>
      </c>
      <c r="K869">
        <v>144816</v>
      </c>
      <c r="L869" t="s">
        <v>22</v>
      </c>
      <c r="M869">
        <v>0.17</v>
      </c>
      <c r="N869">
        <v>0.87</v>
      </c>
      <c r="O869">
        <v>510.03</v>
      </c>
      <c r="P869">
        <v>0</v>
      </c>
      <c r="Q869">
        <f ca="1">DATEDIF(banking_loan_data[[#This Row],[Issue Date]],TODAY(),"M")</f>
        <v>58</v>
      </c>
      <c r="R869">
        <f t="shared" si="78"/>
        <v>5772.8010000000004</v>
      </c>
      <c r="S869">
        <f>+banking_loan_data[[#This Row],[Loan Amount]]+banking_loan_data[[#This Row],[Interest earned]]</f>
        <v>14401.800999999999</v>
      </c>
      <c r="T869" s="2">
        <f t="shared" si="79"/>
        <v>-8118.97</v>
      </c>
      <c r="U869" s="2">
        <f t="shared" si="80"/>
        <v>0</v>
      </c>
      <c r="V869" s="2" t="str">
        <f>IF(banking_loan_data[[#This Row],[Loan Status]]="FULLY PAID","GOOD",IF(banking_loan_data[[#This Row],[Loan Status]]="CURRENT","ACTIVE","BAD"))</f>
        <v>ACTIVE</v>
      </c>
      <c r="W86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69" s="3">
        <f t="shared" si="81"/>
        <v>16035.558333333334</v>
      </c>
      <c r="Y869" s="4">
        <f t="shared" si="82"/>
        <v>-0.94089349866728478</v>
      </c>
      <c r="Z869" s="2" t="str">
        <f t="shared" si="83"/>
        <v>High Risk</v>
      </c>
    </row>
    <row r="870" spans="1:26" x14ac:dyDescent="0.3">
      <c r="A870" t="s">
        <v>1782</v>
      </c>
      <c r="B870" s="1">
        <v>45133</v>
      </c>
      <c r="C870" t="s">
        <v>1783</v>
      </c>
      <c r="D870" t="s">
        <v>76</v>
      </c>
      <c r="E870">
        <v>9325</v>
      </c>
      <c r="F870">
        <v>14.5</v>
      </c>
      <c r="G870">
        <v>60</v>
      </c>
      <c r="H870" t="s">
        <v>19</v>
      </c>
      <c r="I870" t="s">
        <v>57</v>
      </c>
      <c r="J870" t="s">
        <v>32</v>
      </c>
      <c r="K870">
        <v>137765</v>
      </c>
      <c r="L870" t="s">
        <v>22</v>
      </c>
      <c r="M870">
        <v>0.28999999999999998</v>
      </c>
      <c r="N870">
        <v>0.72</v>
      </c>
      <c r="O870">
        <v>10677.12</v>
      </c>
      <c r="P870">
        <v>0</v>
      </c>
      <c r="Q870">
        <f ca="1">DATEDIF(banking_loan_data[[#This Row],[Issue Date]],TODAY(),"M")</f>
        <v>31</v>
      </c>
      <c r="R870">
        <f t="shared" si="78"/>
        <v>6760.625</v>
      </c>
      <c r="S870">
        <f>+banking_loan_data[[#This Row],[Loan Amount]]+banking_loan_data[[#This Row],[Interest earned]]</f>
        <v>16085.625</v>
      </c>
      <c r="T870" s="2">
        <f t="shared" si="79"/>
        <v>1352.1200000000008</v>
      </c>
      <c r="U870" s="2">
        <f t="shared" si="80"/>
        <v>0</v>
      </c>
      <c r="V870" s="2" t="str">
        <f>IF(banking_loan_data[[#This Row],[Loan Status]]="FULLY PAID","GOOD",IF(banking_loan_data[[#This Row],[Loan Status]]="CURRENT","ACTIVE","BAD"))</f>
        <v>GOOD</v>
      </c>
      <c r="W87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70" s="3">
        <f t="shared" si="81"/>
        <v>11267.708333333332</v>
      </c>
      <c r="Y870" s="4">
        <f t="shared" si="82"/>
        <v>0.1449994638069706</v>
      </c>
      <c r="Z870" s="2" t="str">
        <f t="shared" si="83"/>
        <v>Normal</v>
      </c>
    </row>
    <row r="871" spans="1:26" x14ac:dyDescent="0.3">
      <c r="A871" t="s">
        <v>1784</v>
      </c>
      <c r="B871" s="1">
        <v>44771</v>
      </c>
      <c r="C871" t="s">
        <v>1785</v>
      </c>
      <c r="D871" t="s">
        <v>18</v>
      </c>
      <c r="E871">
        <v>29495</v>
      </c>
      <c r="F871">
        <v>7.2</v>
      </c>
      <c r="G871">
        <v>36</v>
      </c>
      <c r="H871" t="s">
        <v>26</v>
      </c>
      <c r="I871" t="s">
        <v>57</v>
      </c>
      <c r="J871" t="s">
        <v>32</v>
      </c>
      <c r="K871">
        <v>148360</v>
      </c>
      <c r="L871" t="s">
        <v>33</v>
      </c>
      <c r="M871">
        <v>0.11</v>
      </c>
      <c r="N871">
        <v>0.91</v>
      </c>
      <c r="O871">
        <v>8429.58</v>
      </c>
      <c r="P871">
        <v>0</v>
      </c>
      <c r="Q871">
        <f ca="1">DATEDIF(banking_loan_data[[#This Row],[Issue Date]],TODAY(),"M")</f>
        <v>43</v>
      </c>
      <c r="R871">
        <f t="shared" si="78"/>
        <v>6370.9199999999992</v>
      </c>
      <c r="S871">
        <f>+banking_loan_data[[#This Row],[Loan Amount]]+banking_loan_data[[#This Row],[Interest earned]]</f>
        <v>35865.919999999998</v>
      </c>
      <c r="T871" s="2">
        <f t="shared" si="79"/>
        <v>-21065.42</v>
      </c>
      <c r="U871" s="2">
        <f t="shared" si="80"/>
        <v>0</v>
      </c>
      <c r="V871" s="2" t="str">
        <f>IF(banking_loan_data[[#This Row],[Loan Status]]="FULLY PAID","GOOD",IF(banking_loan_data[[#This Row],[Loan Status]]="CURRENT","ACTIVE","BAD"))</f>
        <v>ACTIVE</v>
      </c>
      <c r="W87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71" s="3">
        <f t="shared" si="81"/>
        <v>17697.000793560961</v>
      </c>
      <c r="Y871" s="4">
        <f t="shared" si="82"/>
        <v>-0.71420308526868959</v>
      </c>
      <c r="Z871" s="2" t="str">
        <f t="shared" si="83"/>
        <v>High Risk</v>
      </c>
    </row>
    <row r="872" spans="1:26" x14ac:dyDescent="0.3">
      <c r="A872" t="s">
        <v>1786</v>
      </c>
      <c r="B872" s="1">
        <v>44440</v>
      </c>
      <c r="C872" t="s">
        <v>1787</v>
      </c>
      <c r="D872" t="s">
        <v>76</v>
      </c>
      <c r="E872">
        <v>32750</v>
      </c>
      <c r="F872">
        <v>17.7</v>
      </c>
      <c r="G872">
        <v>36</v>
      </c>
      <c r="H872" t="s">
        <v>19</v>
      </c>
      <c r="I872" t="s">
        <v>20</v>
      </c>
      <c r="J872" t="s">
        <v>47</v>
      </c>
      <c r="K872">
        <v>56177</v>
      </c>
      <c r="L872" t="s">
        <v>33</v>
      </c>
      <c r="M872">
        <v>0.15</v>
      </c>
      <c r="N872">
        <v>0.92</v>
      </c>
      <c r="O872">
        <v>38546.75</v>
      </c>
      <c r="P872">
        <v>0</v>
      </c>
      <c r="Q872">
        <f ca="1">DATEDIF(banking_loan_data[[#This Row],[Issue Date]],TODAY(),"M")</f>
        <v>54</v>
      </c>
      <c r="R872">
        <f t="shared" si="78"/>
        <v>17390.25</v>
      </c>
      <c r="S872">
        <f>+banking_loan_data[[#This Row],[Loan Amount]]+banking_loan_data[[#This Row],[Interest earned]]</f>
        <v>50140.25</v>
      </c>
      <c r="T872" s="2">
        <f t="shared" si="79"/>
        <v>5796.75</v>
      </c>
      <c r="U872" s="2">
        <f t="shared" si="80"/>
        <v>0</v>
      </c>
      <c r="V872" s="2" t="str">
        <f>IF(banking_loan_data[[#This Row],[Loan Status]]="FULLY PAID","GOOD",IF(banking_loan_data[[#This Row],[Loan Status]]="CURRENT","ACTIVE","BAD"))</f>
        <v>GOOD</v>
      </c>
      <c r="W87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72" s="3">
        <f t="shared" si="81"/>
        <v>48306.25000000032</v>
      </c>
      <c r="Y872" s="4">
        <f t="shared" si="82"/>
        <v>0.17699999999999999</v>
      </c>
      <c r="Z872" s="2" t="str">
        <f t="shared" si="83"/>
        <v>High Risk</v>
      </c>
    </row>
    <row r="873" spans="1:26" x14ac:dyDescent="0.3">
      <c r="A873" t="s">
        <v>1788</v>
      </c>
      <c r="B873" s="1">
        <v>44733</v>
      </c>
      <c r="C873" t="s">
        <v>1789</v>
      </c>
      <c r="D873" t="s">
        <v>18</v>
      </c>
      <c r="E873">
        <v>30619</v>
      </c>
      <c r="F873">
        <v>20.399999999999999</v>
      </c>
      <c r="G873">
        <v>36</v>
      </c>
      <c r="H873" t="s">
        <v>81</v>
      </c>
      <c r="I873" t="s">
        <v>20</v>
      </c>
      <c r="J873" t="s">
        <v>32</v>
      </c>
      <c r="K873">
        <v>34765</v>
      </c>
      <c r="L873" t="s">
        <v>33</v>
      </c>
      <c r="M873">
        <v>0.27</v>
      </c>
      <c r="N873">
        <v>0.56999999999999995</v>
      </c>
      <c r="O873">
        <v>7701.21</v>
      </c>
      <c r="P873">
        <v>8440.1</v>
      </c>
      <c r="Q873">
        <f ca="1">DATEDIF(banking_loan_data[[#This Row],[Issue Date]],TODAY(),"M")</f>
        <v>44</v>
      </c>
      <c r="R873">
        <f t="shared" si="78"/>
        <v>18738.827999999998</v>
      </c>
      <c r="S873">
        <f>+banking_loan_data[[#This Row],[Loan Amount]]+banking_loan_data[[#This Row],[Interest earned]]</f>
        <v>49357.827999999994</v>
      </c>
      <c r="T873" s="2">
        <f t="shared" si="79"/>
        <v>-14477.689999999999</v>
      </c>
      <c r="U873" s="2">
        <f t="shared" si="80"/>
        <v>1</v>
      </c>
      <c r="V873" s="2" t="str">
        <f>IF(banking_loan_data[[#This Row],[Loan Status]]="FULLY PAID","GOOD",IF(banking_loan_data[[#This Row],[Loan Status]]="CURRENT","ACTIVE","BAD"))</f>
        <v>BAD</v>
      </c>
      <c r="W87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73" s="3">
        <f t="shared" si="81"/>
        <v>52052.300000000017</v>
      </c>
      <c r="Y873" s="4">
        <f t="shared" si="82"/>
        <v>-0.47283353473333545</v>
      </c>
      <c r="Z873" s="2" t="str">
        <f t="shared" si="83"/>
        <v>Normal</v>
      </c>
    </row>
    <row r="874" spans="1:26" x14ac:dyDescent="0.3">
      <c r="A874" t="s">
        <v>1790</v>
      </c>
      <c r="B874" s="1">
        <v>44271</v>
      </c>
      <c r="C874" t="s">
        <v>1791</v>
      </c>
      <c r="D874" t="s">
        <v>50</v>
      </c>
      <c r="E874">
        <v>9264</v>
      </c>
      <c r="F874">
        <v>5.0999999999999996</v>
      </c>
      <c r="G874">
        <v>36</v>
      </c>
      <c r="H874" t="s">
        <v>26</v>
      </c>
      <c r="I874" t="s">
        <v>27</v>
      </c>
      <c r="J874" t="s">
        <v>28</v>
      </c>
      <c r="K874">
        <v>50354</v>
      </c>
      <c r="L874" t="s">
        <v>33</v>
      </c>
      <c r="M874">
        <v>0.13</v>
      </c>
      <c r="N874">
        <v>0.5</v>
      </c>
      <c r="O874">
        <v>2652.86</v>
      </c>
      <c r="P874">
        <v>0</v>
      </c>
      <c r="Q874">
        <f ca="1">DATEDIF(banking_loan_data[[#This Row],[Issue Date]],TODAY(),"M")</f>
        <v>60</v>
      </c>
      <c r="R874">
        <f t="shared" si="78"/>
        <v>1417.3919999999998</v>
      </c>
      <c r="S874">
        <f>+banking_loan_data[[#This Row],[Loan Amount]]+banking_loan_data[[#This Row],[Interest earned]]</f>
        <v>10681.392</v>
      </c>
      <c r="T874" s="2">
        <f t="shared" si="79"/>
        <v>-6611.1399999999994</v>
      </c>
      <c r="U874" s="2">
        <f t="shared" si="80"/>
        <v>0</v>
      </c>
      <c r="V874" s="2" t="str">
        <f>IF(banking_loan_data[[#This Row],[Loan Status]]="FULLY PAID","GOOD",IF(banking_loan_data[[#This Row],[Loan Status]]="CURRENT","ACTIVE","BAD"))</f>
        <v>ACTIVE</v>
      </c>
      <c r="W87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74" s="3">
        <f t="shared" si="81"/>
        <v>3937.2114249319043</v>
      </c>
      <c r="Y874" s="4">
        <f t="shared" si="82"/>
        <v>-0.71363773747841097</v>
      </c>
      <c r="Z874" s="2" t="str">
        <f t="shared" si="83"/>
        <v>Normal</v>
      </c>
    </row>
    <row r="875" spans="1:26" x14ac:dyDescent="0.3">
      <c r="A875" t="s">
        <v>1792</v>
      </c>
      <c r="B875" s="1">
        <v>44582</v>
      </c>
      <c r="C875" t="s">
        <v>1793</v>
      </c>
      <c r="D875" t="s">
        <v>76</v>
      </c>
      <c r="E875">
        <v>13686</v>
      </c>
      <c r="F875">
        <v>22.2</v>
      </c>
      <c r="G875">
        <v>60</v>
      </c>
      <c r="H875" t="s">
        <v>60</v>
      </c>
      <c r="I875" t="s">
        <v>20</v>
      </c>
      <c r="J875" t="s">
        <v>47</v>
      </c>
      <c r="K875">
        <v>53929</v>
      </c>
      <c r="L875" t="s">
        <v>29</v>
      </c>
      <c r="M875">
        <v>0.26</v>
      </c>
      <c r="N875">
        <v>0.94</v>
      </c>
      <c r="O875">
        <v>0</v>
      </c>
      <c r="P875">
        <v>0</v>
      </c>
      <c r="Q875">
        <f ca="1">DATEDIF(banking_loan_data[[#This Row],[Issue Date]],TODAY(),"M")</f>
        <v>49</v>
      </c>
      <c r="R875">
        <f t="shared" si="78"/>
        <v>15191.46</v>
      </c>
      <c r="S875">
        <f>+banking_loan_data[[#This Row],[Loan Amount]]+banking_loan_data[[#This Row],[Interest earned]]</f>
        <v>28877.46</v>
      </c>
      <c r="T875" s="2">
        <f t="shared" si="79"/>
        <v>-13686</v>
      </c>
      <c r="U875" s="2">
        <f t="shared" si="80"/>
        <v>0</v>
      </c>
      <c r="V875" s="2" t="str">
        <f>IF(banking_loan_data[[#This Row],[Loan Status]]="FULLY PAID","GOOD",IF(banking_loan_data[[#This Row],[Loan Status]]="CURRENT","ACTIVE","BAD"))</f>
        <v>BAD</v>
      </c>
      <c r="W87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75" s="3">
        <f t="shared" si="81"/>
        <v>25319.1</v>
      </c>
      <c r="Y875" s="4">
        <f t="shared" si="82"/>
        <v>-1</v>
      </c>
      <c r="Z875" s="2" t="str">
        <f t="shared" si="83"/>
        <v>High Risk</v>
      </c>
    </row>
    <row r="876" spans="1:26" x14ac:dyDescent="0.3">
      <c r="A876" t="s">
        <v>1794</v>
      </c>
      <c r="B876" s="1">
        <v>44671</v>
      </c>
      <c r="C876" t="s">
        <v>1795</v>
      </c>
      <c r="D876" t="s">
        <v>18</v>
      </c>
      <c r="E876">
        <v>25226</v>
      </c>
      <c r="F876">
        <v>8.6999999999999993</v>
      </c>
      <c r="G876">
        <v>36</v>
      </c>
      <c r="H876" t="s">
        <v>81</v>
      </c>
      <c r="I876" t="s">
        <v>36</v>
      </c>
      <c r="J876" t="s">
        <v>32</v>
      </c>
      <c r="K876">
        <v>58820</v>
      </c>
      <c r="L876" t="s">
        <v>29</v>
      </c>
      <c r="M876">
        <v>0.28999999999999998</v>
      </c>
      <c r="N876">
        <v>0.91</v>
      </c>
      <c r="O876">
        <v>9893.8700000000008</v>
      </c>
      <c r="P876">
        <v>7297.15</v>
      </c>
      <c r="Q876">
        <f ca="1">DATEDIF(banking_loan_data[[#This Row],[Issue Date]],TODAY(),"M")</f>
        <v>46</v>
      </c>
      <c r="R876">
        <f t="shared" si="78"/>
        <v>6583.9859999999999</v>
      </c>
      <c r="S876">
        <f>+banking_loan_data[[#This Row],[Loan Amount]]+banking_loan_data[[#This Row],[Interest earned]]</f>
        <v>31809.986000000001</v>
      </c>
      <c r="T876" s="2">
        <f t="shared" si="79"/>
        <v>-8034.98</v>
      </c>
      <c r="U876" s="2">
        <f t="shared" si="80"/>
        <v>1</v>
      </c>
      <c r="V876" s="2" t="str">
        <f>IF(banking_loan_data[[#This Row],[Loan Status]]="FULLY PAID","GOOD",IF(banking_loan_data[[#This Row],[Loan Status]]="CURRENT","ACTIVE","BAD"))</f>
        <v>BAD</v>
      </c>
      <c r="W87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76" s="3">
        <f t="shared" si="81"/>
        <v>18288.850054673745</v>
      </c>
      <c r="Y876" s="4">
        <f t="shared" si="82"/>
        <v>-0.3185197811781495</v>
      </c>
      <c r="Z876" s="2" t="str">
        <f t="shared" si="83"/>
        <v>High Risk</v>
      </c>
    </row>
    <row r="877" spans="1:26" x14ac:dyDescent="0.3">
      <c r="A877" t="s">
        <v>1796</v>
      </c>
      <c r="B877" s="1">
        <v>44614</v>
      </c>
      <c r="C877" t="s">
        <v>1797</v>
      </c>
      <c r="D877" t="s">
        <v>72</v>
      </c>
      <c r="E877">
        <v>7721</v>
      </c>
      <c r="F877">
        <v>16</v>
      </c>
      <c r="G877">
        <v>60</v>
      </c>
      <c r="H877" t="s">
        <v>81</v>
      </c>
      <c r="I877" t="s">
        <v>20</v>
      </c>
      <c r="J877" t="s">
        <v>32</v>
      </c>
      <c r="K877">
        <v>141576</v>
      </c>
      <c r="L877" t="s">
        <v>29</v>
      </c>
      <c r="M877">
        <v>0.28000000000000003</v>
      </c>
      <c r="N877">
        <v>0.52</v>
      </c>
      <c r="O877">
        <v>2883.3</v>
      </c>
      <c r="P877">
        <v>822.57</v>
      </c>
      <c r="Q877">
        <f ca="1">DATEDIF(banking_loan_data[[#This Row],[Issue Date]],TODAY(),"M")</f>
        <v>48</v>
      </c>
      <c r="R877">
        <f t="shared" si="78"/>
        <v>6176.7999999999993</v>
      </c>
      <c r="S877">
        <f>+banking_loan_data[[#This Row],[Loan Amount]]+banking_loan_data[[#This Row],[Interest earned]]</f>
        <v>13897.8</v>
      </c>
      <c r="T877" s="2">
        <f t="shared" si="79"/>
        <v>-4015.1299999999997</v>
      </c>
      <c r="U877" s="2">
        <f t="shared" si="80"/>
        <v>1</v>
      </c>
      <c r="V877" s="2" t="str">
        <f>IF(banking_loan_data[[#This Row],[Loan Status]]="FULLY PAID","GOOD",IF(banking_loan_data[[#This Row],[Loan Status]]="CURRENT","ACTIVE","BAD"))</f>
        <v>BAD</v>
      </c>
      <c r="W87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77" s="3">
        <f t="shared" si="81"/>
        <v>10294.666666666666</v>
      </c>
      <c r="Y877" s="4">
        <f t="shared" si="82"/>
        <v>-0.52002719854941071</v>
      </c>
      <c r="Z877" s="2" t="str">
        <f t="shared" si="83"/>
        <v>Normal</v>
      </c>
    </row>
    <row r="878" spans="1:26" x14ac:dyDescent="0.3">
      <c r="A878" t="s">
        <v>1798</v>
      </c>
      <c r="B878" s="1">
        <v>44543</v>
      </c>
      <c r="C878" t="s">
        <v>1799</v>
      </c>
      <c r="D878" t="s">
        <v>76</v>
      </c>
      <c r="E878">
        <v>21609</v>
      </c>
      <c r="F878">
        <v>13.3</v>
      </c>
      <c r="G878">
        <v>36</v>
      </c>
      <c r="H878" t="s">
        <v>81</v>
      </c>
      <c r="I878" t="s">
        <v>84</v>
      </c>
      <c r="J878" t="s">
        <v>37</v>
      </c>
      <c r="K878">
        <v>59523</v>
      </c>
      <c r="L878" t="s">
        <v>33</v>
      </c>
      <c r="M878">
        <v>0.45</v>
      </c>
      <c r="N878">
        <v>0.87</v>
      </c>
      <c r="O878">
        <v>3209.24</v>
      </c>
      <c r="P878">
        <v>5044.0600000000004</v>
      </c>
      <c r="Q878">
        <f ca="1">DATEDIF(banking_loan_data[[#This Row],[Issue Date]],TODAY(),"M")</f>
        <v>51</v>
      </c>
      <c r="R878">
        <f t="shared" si="78"/>
        <v>8621.991</v>
      </c>
      <c r="S878">
        <f>+banking_loan_data[[#This Row],[Loan Amount]]+banking_loan_data[[#This Row],[Interest earned]]</f>
        <v>30230.991000000002</v>
      </c>
      <c r="T878" s="2">
        <f t="shared" si="79"/>
        <v>-13355.7</v>
      </c>
      <c r="U878" s="2">
        <f t="shared" si="80"/>
        <v>1</v>
      </c>
      <c r="V878" s="2" t="str">
        <f>IF(banking_loan_data[[#This Row],[Loan Status]]="FULLY PAID","GOOD",IF(banking_loan_data[[#This Row],[Loan Status]]="CURRENT","ACTIVE","BAD"))</f>
        <v>BAD</v>
      </c>
      <c r="W87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78" s="3">
        <f t="shared" si="81"/>
        <v>23949.975000052178</v>
      </c>
      <c r="Y878" s="4">
        <f t="shared" si="82"/>
        <v>-0.61806191864500903</v>
      </c>
      <c r="Z878" s="2" t="str">
        <f t="shared" si="83"/>
        <v>High Risk</v>
      </c>
    </row>
    <row r="879" spans="1:26" x14ac:dyDescent="0.3">
      <c r="A879" t="s">
        <v>1800</v>
      </c>
      <c r="B879" s="1">
        <v>44836</v>
      </c>
      <c r="C879" t="s">
        <v>1801</v>
      </c>
      <c r="D879" t="s">
        <v>18</v>
      </c>
      <c r="E879">
        <v>8373</v>
      </c>
      <c r="F879">
        <v>19.399999999999999</v>
      </c>
      <c r="G879">
        <v>60</v>
      </c>
      <c r="H879" t="s">
        <v>26</v>
      </c>
      <c r="I879" t="s">
        <v>36</v>
      </c>
      <c r="J879" t="s">
        <v>47</v>
      </c>
      <c r="K879">
        <v>101088</v>
      </c>
      <c r="L879" t="s">
        <v>29</v>
      </c>
      <c r="M879">
        <v>0.31</v>
      </c>
      <c r="N879">
        <v>0.71</v>
      </c>
      <c r="O879">
        <v>1808.54</v>
      </c>
      <c r="P879">
        <v>0</v>
      </c>
      <c r="Q879">
        <f ca="1">DATEDIF(banking_loan_data[[#This Row],[Issue Date]],TODAY(),"M")</f>
        <v>41</v>
      </c>
      <c r="R879">
        <f t="shared" si="78"/>
        <v>8121.8099999999986</v>
      </c>
      <c r="S879">
        <f>+banking_loan_data[[#This Row],[Loan Amount]]+banking_loan_data[[#This Row],[Interest earned]]</f>
        <v>16494.809999999998</v>
      </c>
      <c r="T879" s="2">
        <f t="shared" si="79"/>
        <v>-6564.46</v>
      </c>
      <c r="U879" s="2">
        <f t="shared" si="80"/>
        <v>0</v>
      </c>
      <c r="V879" s="2" t="str">
        <f>IF(banking_loan_data[[#This Row],[Loan Status]]="FULLY PAID","GOOD",IF(banking_loan_data[[#This Row],[Loan Status]]="CURRENT","ACTIVE","BAD"))</f>
        <v>ACTIVE</v>
      </c>
      <c r="W87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79" s="3">
        <f t="shared" si="81"/>
        <v>13536.349999999999</v>
      </c>
      <c r="Y879" s="4">
        <f t="shared" si="82"/>
        <v>-0.78400334408216887</v>
      </c>
      <c r="Z879" s="2" t="str">
        <f t="shared" si="83"/>
        <v>Normal</v>
      </c>
    </row>
    <row r="880" spans="1:26" x14ac:dyDescent="0.3">
      <c r="A880" t="s">
        <v>1802</v>
      </c>
      <c r="B880" s="1">
        <v>45135</v>
      </c>
      <c r="C880" t="s">
        <v>1803</v>
      </c>
      <c r="D880" t="s">
        <v>56</v>
      </c>
      <c r="E880">
        <v>39675</v>
      </c>
      <c r="F880">
        <v>12.4</v>
      </c>
      <c r="G880">
        <v>60</v>
      </c>
      <c r="H880" t="s">
        <v>19</v>
      </c>
      <c r="I880" t="s">
        <v>36</v>
      </c>
      <c r="J880" t="s">
        <v>37</v>
      </c>
      <c r="K880">
        <v>96163</v>
      </c>
      <c r="L880" t="s">
        <v>29</v>
      </c>
      <c r="M880">
        <v>0.28999999999999998</v>
      </c>
      <c r="N880">
        <v>0.62</v>
      </c>
      <c r="O880">
        <v>44594.7</v>
      </c>
      <c r="P880">
        <v>0</v>
      </c>
      <c r="Q880">
        <f ca="1">DATEDIF(banking_loan_data[[#This Row],[Issue Date]],TODAY(),"M")</f>
        <v>31</v>
      </c>
      <c r="R880">
        <f t="shared" si="78"/>
        <v>24598.5</v>
      </c>
      <c r="S880">
        <f>+banking_loan_data[[#This Row],[Loan Amount]]+banking_loan_data[[#This Row],[Interest earned]]</f>
        <v>64273.5</v>
      </c>
      <c r="T880" s="2">
        <f t="shared" si="79"/>
        <v>4919.6999999999971</v>
      </c>
      <c r="U880" s="2">
        <f t="shared" si="80"/>
        <v>0</v>
      </c>
      <c r="V880" s="2" t="str">
        <f>IF(banking_loan_data[[#This Row],[Loan Status]]="FULLY PAID","GOOD",IF(banking_loan_data[[#This Row],[Loan Status]]="CURRENT","ACTIVE","BAD"))</f>
        <v>GOOD</v>
      </c>
      <c r="W88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80" s="3">
        <f t="shared" si="81"/>
        <v>40997.500000000007</v>
      </c>
      <c r="Y880" s="4">
        <f t="shared" si="82"/>
        <v>0.12399999999999993</v>
      </c>
      <c r="Z880" s="2" t="str">
        <f t="shared" si="83"/>
        <v>Normal</v>
      </c>
    </row>
    <row r="881" spans="1:26" x14ac:dyDescent="0.3">
      <c r="A881" t="s">
        <v>1804</v>
      </c>
      <c r="B881" s="1">
        <v>45151</v>
      </c>
      <c r="C881" t="s">
        <v>1805</v>
      </c>
      <c r="D881" t="s">
        <v>65</v>
      </c>
      <c r="E881">
        <v>29937</v>
      </c>
      <c r="F881">
        <v>22.4</v>
      </c>
      <c r="G881">
        <v>60</v>
      </c>
      <c r="H881" t="s">
        <v>19</v>
      </c>
      <c r="I881" t="s">
        <v>84</v>
      </c>
      <c r="J881" t="s">
        <v>37</v>
      </c>
      <c r="K881">
        <v>107525</v>
      </c>
      <c r="L881" t="s">
        <v>22</v>
      </c>
      <c r="M881">
        <v>0.26</v>
      </c>
      <c r="N881">
        <v>0.9</v>
      </c>
      <c r="O881">
        <v>36642.89</v>
      </c>
      <c r="P881">
        <v>0</v>
      </c>
      <c r="Q881">
        <f ca="1">DATEDIF(banking_loan_data[[#This Row],[Issue Date]],TODAY(),"M")</f>
        <v>31</v>
      </c>
      <c r="R881">
        <f t="shared" si="78"/>
        <v>33529.439999999995</v>
      </c>
      <c r="S881">
        <f>+banking_loan_data[[#This Row],[Loan Amount]]+banking_loan_data[[#This Row],[Interest earned]]</f>
        <v>63466.439999999995</v>
      </c>
      <c r="T881" s="2">
        <f t="shared" si="79"/>
        <v>6705.8899999999994</v>
      </c>
      <c r="U881" s="2">
        <f t="shared" si="80"/>
        <v>0</v>
      </c>
      <c r="V881" s="2" t="str">
        <f>IF(banking_loan_data[[#This Row],[Loan Status]]="FULLY PAID","GOOD",IF(banking_loan_data[[#This Row],[Loan Status]]="CURRENT","ACTIVE","BAD"))</f>
        <v>GOOD</v>
      </c>
      <c r="W88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81" s="3">
        <f t="shared" si="81"/>
        <v>55882.399999999994</v>
      </c>
      <c r="Y881" s="4">
        <f t="shared" si="82"/>
        <v>0.22400006680696127</v>
      </c>
      <c r="Z881" s="2" t="str">
        <f t="shared" si="83"/>
        <v>High Risk</v>
      </c>
    </row>
    <row r="882" spans="1:26" x14ac:dyDescent="0.3">
      <c r="A882" t="s">
        <v>1806</v>
      </c>
      <c r="B882" s="1">
        <v>45072</v>
      </c>
      <c r="C882" t="s">
        <v>1807</v>
      </c>
      <c r="D882" t="s">
        <v>56</v>
      </c>
      <c r="E882">
        <v>6656</v>
      </c>
      <c r="F882">
        <v>19.600000000000001</v>
      </c>
      <c r="G882">
        <v>60</v>
      </c>
      <c r="H882" t="s">
        <v>19</v>
      </c>
      <c r="I882" t="s">
        <v>57</v>
      </c>
      <c r="J882" t="s">
        <v>37</v>
      </c>
      <c r="K882">
        <v>43780</v>
      </c>
      <c r="L882" t="s">
        <v>22</v>
      </c>
      <c r="M882">
        <v>0.43</v>
      </c>
      <c r="N882">
        <v>0.59</v>
      </c>
      <c r="O882">
        <v>7960.58</v>
      </c>
      <c r="P882">
        <v>0</v>
      </c>
      <c r="Q882">
        <f ca="1">DATEDIF(banking_loan_data[[#This Row],[Issue Date]],TODAY(),"M")</f>
        <v>33</v>
      </c>
      <c r="R882">
        <f t="shared" si="78"/>
        <v>6522.88</v>
      </c>
      <c r="S882">
        <f>+banking_loan_data[[#This Row],[Loan Amount]]+banking_loan_data[[#This Row],[Interest earned]]</f>
        <v>13178.880000000001</v>
      </c>
      <c r="T882" s="2">
        <f t="shared" si="79"/>
        <v>1304.58</v>
      </c>
      <c r="U882" s="2">
        <f t="shared" si="80"/>
        <v>0</v>
      </c>
      <c r="V882" s="2" t="str">
        <f>IF(banking_loan_data[[#This Row],[Loan Status]]="FULLY PAID","GOOD",IF(banking_loan_data[[#This Row],[Loan Status]]="CURRENT","ACTIVE","BAD"))</f>
        <v>GOOD</v>
      </c>
      <c r="W88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82" s="3">
        <f t="shared" si="81"/>
        <v>10871.466666666667</v>
      </c>
      <c r="Y882" s="4">
        <f t="shared" si="82"/>
        <v>0.19600060096153846</v>
      </c>
      <c r="Z882" s="2" t="str">
        <f t="shared" si="83"/>
        <v>High Risk</v>
      </c>
    </row>
    <row r="883" spans="1:26" x14ac:dyDescent="0.3">
      <c r="A883" t="s">
        <v>1808</v>
      </c>
      <c r="B883" s="1">
        <v>44959</v>
      </c>
      <c r="C883" t="s">
        <v>1809</v>
      </c>
      <c r="D883" t="s">
        <v>40</v>
      </c>
      <c r="E883">
        <v>9984</v>
      </c>
      <c r="F883">
        <v>18</v>
      </c>
      <c r="G883">
        <v>60</v>
      </c>
      <c r="H883" t="s">
        <v>26</v>
      </c>
      <c r="I883" t="s">
        <v>57</v>
      </c>
      <c r="J883" t="s">
        <v>21</v>
      </c>
      <c r="K883">
        <v>36589</v>
      </c>
      <c r="L883" t="s">
        <v>29</v>
      </c>
      <c r="M883">
        <v>0.46</v>
      </c>
      <c r="N883">
        <v>0.93</v>
      </c>
      <c r="O883">
        <v>2403.9499999999998</v>
      </c>
      <c r="P883">
        <v>0</v>
      </c>
      <c r="Q883">
        <f ca="1">DATEDIF(banking_loan_data[[#This Row],[Issue Date]],TODAY(),"M")</f>
        <v>37</v>
      </c>
      <c r="R883">
        <f t="shared" si="78"/>
        <v>8985.6</v>
      </c>
      <c r="S883">
        <f>+banking_loan_data[[#This Row],[Loan Amount]]+banking_loan_data[[#This Row],[Interest earned]]</f>
        <v>18969.599999999999</v>
      </c>
      <c r="T883" s="2">
        <f t="shared" si="79"/>
        <v>-7580.05</v>
      </c>
      <c r="U883" s="2">
        <f t="shared" si="80"/>
        <v>0</v>
      </c>
      <c r="V883" s="2" t="str">
        <f>IF(banking_loan_data[[#This Row],[Loan Status]]="FULLY PAID","GOOD",IF(banking_loan_data[[#This Row],[Loan Status]]="CURRENT","ACTIVE","BAD"))</f>
        <v>ACTIVE</v>
      </c>
      <c r="W88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83" s="3">
        <f t="shared" si="81"/>
        <v>14976</v>
      </c>
      <c r="Y883" s="4">
        <f t="shared" si="82"/>
        <v>-0.75921975160256416</v>
      </c>
      <c r="Z883" s="2" t="str">
        <f t="shared" si="83"/>
        <v>High Risk</v>
      </c>
    </row>
    <row r="884" spans="1:26" x14ac:dyDescent="0.3">
      <c r="A884" t="s">
        <v>1810</v>
      </c>
      <c r="B884" s="1">
        <v>44860</v>
      </c>
      <c r="C884" t="s">
        <v>1811</v>
      </c>
      <c r="D884" t="s">
        <v>18</v>
      </c>
      <c r="E884">
        <v>30984</v>
      </c>
      <c r="F884">
        <v>20.9</v>
      </c>
      <c r="G884">
        <v>60</v>
      </c>
      <c r="H884" t="s">
        <v>19</v>
      </c>
      <c r="I884" t="s">
        <v>57</v>
      </c>
      <c r="J884" t="s">
        <v>37</v>
      </c>
      <c r="K884">
        <v>64812</v>
      </c>
      <c r="L884" t="s">
        <v>29</v>
      </c>
      <c r="M884">
        <v>0.44</v>
      </c>
      <c r="N884">
        <v>0.59</v>
      </c>
      <c r="O884">
        <v>37459.660000000003</v>
      </c>
      <c r="P884">
        <v>0</v>
      </c>
      <c r="Q884">
        <f ca="1">DATEDIF(banking_loan_data[[#This Row],[Issue Date]],TODAY(),"M")</f>
        <v>40</v>
      </c>
      <c r="R884">
        <f t="shared" si="78"/>
        <v>32378.28</v>
      </c>
      <c r="S884">
        <f>+banking_loan_data[[#This Row],[Loan Amount]]+banking_loan_data[[#This Row],[Interest earned]]</f>
        <v>63362.28</v>
      </c>
      <c r="T884" s="2">
        <f t="shared" si="79"/>
        <v>6475.6600000000035</v>
      </c>
      <c r="U884" s="2">
        <f t="shared" si="80"/>
        <v>0</v>
      </c>
      <c r="V884" s="2" t="str">
        <f>IF(banking_loan_data[[#This Row],[Loan Status]]="FULLY PAID","GOOD",IF(banking_loan_data[[#This Row],[Loan Status]]="CURRENT","ACTIVE","BAD"))</f>
        <v>GOOD</v>
      </c>
      <c r="W88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84" s="3">
        <f t="shared" si="81"/>
        <v>53963.799999999996</v>
      </c>
      <c r="Y884" s="4">
        <f t="shared" si="82"/>
        <v>0.20900012909888988</v>
      </c>
      <c r="Z884" s="2" t="str">
        <f t="shared" si="83"/>
        <v>High Risk</v>
      </c>
    </row>
    <row r="885" spans="1:26" x14ac:dyDescent="0.3">
      <c r="A885" t="s">
        <v>1812</v>
      </c>
      <c r="B885" s="1">
        <v>44221</v>
      </c>
      <c r="C885" t="s">
        <v>1813</v>
      </c>
      <c r="D885" t="s">
        <v>25</v>
      </c>
      <c r="E885">
        <v>9286</v>
      </c>
      <c r="F885">
        <v>20.100000000000001</v>
      </c>
      <c r="G885">
        <v>36</v>
      </c>
      <c r="H885" t="s">
        <v>81</v>
      </c>
      <c r="I885" t="s">
        <v>20</v>
      </c>
      <c r="J885" t="s">
        <v>28</v>
      </c>
      <c r="K885">
        <v>123664</v>
      </c>
      <c r="L885" t="s">
        <v>29</v>
      </c>
      <c r="M885">
        <v>0.37</v>
      </c>
      <c r="N885">
        <v>0.78</v>
      </c>
      <c r="O885">
        <v>1932.97</v>
      </c>
      <c r="P885">
        <v>2167.4899999999998</v>
      </c>
      <c r="Q885">
        <f ca="1">DATEDIF(banking_loan_data[[#This Row],[Issue Date]],TODAY(),"M")</f>
        <v>61</v>
      </c>
      <c r="R885">
        <f t="shared" si="78"/>
        <v>5599.4579999999996</v>
      </c>
      <c r="S885">
        <f>+banking_loan_data[[#This Row],[Loan Amount]]+banking_loan_data[[#This Row],[Interest earned]]</f>
        <v>14885.457999999999</v>
      </c>
      <c r="T885" s="2">
        <f t="shared" si="79"/>
        <v>-5185.54</v>
      </c>
      <c r="U885" s="2">
        <f t="shared" si="80"/>
        <v>1</v>
      </c>
      <c r="V885" s="2" t="str">
        <f>IF(banking_loan_data[[#This Row],[Loan Status]]="FULLY PAID","GOOD",IF(banking_loan_data[[#This Row],[Loan Status]]="CURRENT","ACTIVE","BAD"))</f>
        <v>BAD</v>
      </c>
      <c r="W88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85" s="3">
        <f t="shared" si="81"/>
        <v>15554.050000000007</v>
      </c>
      <c r="Y885" s="4">
        <f t="shared" si="82"/>
        <v>-0.55842558690501831</v>
      </c>
      <c r="Z885" s="2" t="str">
        <f t="shared" si="83"/>
        <v>Normal</v>
      </c>
    </row>
    <row r="886" spans="1:26" x14ac:dyDescent="0.3">
      <c r="A886" t="s">
        <v>1814</v>
      </c>
      <c r="B886" s="1">
        <v>44906</v>
      </c>
      <c r="C886" t="s">
        <v>1815</v>
      </c>
      <c r="D886" t="s">
        <v>53</v>
      </c>
      <c r="E886">
        <v>6901</v>
      </c>
      <c r="F886">
        <v>5.7</v>
      </c>
      <c r="G886">
        <v>60</v>
      </c>
      <c r="H886" t="s">
        <v>60</v>
      </c>
      <c r="I886" t="s">
        <v>20</v>
      </c>
      <c r="J886" t="s">
        <v>32</v>
      </c>
      <c r="K886">
        <v>75939</v>
      </c>
      <c r="L886" t="s">
        <v>33</v>
      </c>
      <c r="M886">
        <v>0.15</v>
      </c>
      <c r="N886">
        <v>0.6</v>
      </c>
      <c r="O886">
        <v>0</v>
      </c>
      <c r="P886">
        <v>0</v>
      </c>
      <c r="Q886">
        <f ca="1">DATEDIF(banking_loan_data[[#This Row],[Issue Date]],TODAY(),"M")</f>
        <v>39</v>
      </c>
      <c r="R886">
        <f t="shared" si="78"/>
        <v>1966.7850000000001</v>
      </c>
      <c r="S886">
        <f>+banking_loan_data[[#This Row],[Loan Amount]]+banking_loan_data[[#This Row],[Interest earned]]</f>
        <v>8867.7849999999999</v>
      </c>
      <c r="T886" s="2">
        <f t="shared" si="79"/>
        <v>-6901</v>
      </c>
      <c r="U886" s="2">
        <f t="shared" si="80"/>
        <v>0</v>
      </c>
      <c r="V886" s="2" t="str">
        <f>IF(banking_loan_data[[#This Row],[Loan Status]]="FULLY PAID","GOOD",IF(banking_loan_data[[#This Row],[Loan Status]]="CURRENT","ACTIVE","BAD"))</f>
        <v>BAD</v>
      </c>
      <c r="W88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86" s="3">
        <f t="shared" si="81"/>
        <v>3277.9750002443907</v>
      </c>
      <c r="Y886" s="4">
        <f t="shared" si="82"/>
        <v>-1</v>
      </c>
      <c r="Z886" s="2" t="str">
        <f t="shared" si="83"/>
        <v>Normal</v>
      </c>
    </row>
    <row r="887" spans="1:26" x14ac:dyDescent="0.3">
      <c r="A887" t="s">
        <v>1816</v>
      </c>
      <c r="B887" s="1">
        <v>44373</v>
      </c>
      <c r="C887" t="s">
        <v>1817</v>
      </c>
      <c r="D887" t="s">
        <v>56</v>
      </c>
      <c r="E887">
        <v>32552</v>
      </c>
      <c r="F887">
        <v>12.9</v>
      </c>
      <c r="G887">
        <v>36</v>
      </c>
      <c r="H887" t="s">
        <v>19</v>
      </c>
      <c r="I887" t="s">
        <v>84</v>
      </c>
      <c r="J887" t="s">
        <v>21</v>
      </c>
      <c r="K887">
        <v>81493</v>
      </c>
      <c r="L887" t="s">
        <v>22</v>
      </c>
      <c r="M887">
        <v>0.21</v>
      </c>
      <c r="N887">
        <v>0.75</v>
      </c>
      <c r="O887">
        <v>36751.21</v>
      </c>
      <c r="P887">
        <v>0</v>
      </c>
      <c r="Q887">
        <f ca="1">DATEDIF(banking_loan_data[[#This Row],[Issue Date]],TODAY(),"M")</f>
        <v>56</v>
      </c>
      <c r="R887">
        <f t="shared" si="78"/>
        <v>12597.623999999998</v>
      </c>
      <c r="S887">
        <f>+banking_loan_data[[#This Row],[Loan Amount]]+banking_loan_data[[#This Row],[Interest earned]]</f>
        <v>45149.623999999996</v>
      </c>
      <c r="T887" s="2">
        <f t="shared" si="79"/>
        <v>4199.2099999999991</v>
      </c>
      <c r="U887" s="2">
        <f t="shared" si="80"/>
        <v>0</v>
      </c>
      <c r="V887" s="2" t="str">
        <f>IF(banking_loan_data[[#This Row],[Loan Status]]="FULLY PAID","GOOD",IF(banking_loan_data[[#This Row],[Loan Status]]="CURRENT","ACTIVE","BAD"))</f>
        <v>GOOD</v>
      </c>
      <c r="W88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87" s="3">
        <f t="shared" si="81"/>
        <v>34993.400000135312</v>
      </c>
      <c r="Y887" s="4">
        <f t="shared" si="82"/>
        <v>0.12900006144015727</v>
      </c>
      <c r="Z887" s="2" t="str">
        <f t="shared" si="83"/>
        <v>Normal</v>
      </c>
    </row>
    <row r="888" spans="1:26" x14ac:dyDescent="0.3">
      <c r="A888" t="s">
        <v>1818</v>
      </c>
      <c r="B888" s="1">
        <v>44481</v>
      </c>
      <c r="C888" t="s">
        <v>1819</v>
      </c>
      <c r="D888" t="s">
        <v>76</v>
      </c>
      <c r="E888">
        <v>26709</v>
      </c>
      <c r="F888">
        <v>23.6</v>
      </c>
      <c r="G888">
        <v>60</v>
      </c>
      <c r="H888" t="s">
        <v>19</v>
      </c>
      <c r="I888" t="s">
        <v>73</v>
      </c>
      <c r="J888" t="s">
        <v>37</v>
      </c>
      <c r="K888">
        <v>134188</v>
      </c>
      <c r="L888" t="s">
        <v>22</v>
      </c>
      <c r="M888">
        <v>0.12</v>
      </c>
      <c r="N888">
        <v>0.81</v>
      </c>
      <c r="O888">
        <v>33012.32</v>
      </c>
      <c r="P888">
        <v>0</v>
      </c>
      <c r="Q888">
        <f ca="1">DATEDIF(banking_loan_data[[#This Row],[Issue Date]],TODAY(),"M")</f>
        <v>53</v>
      </c>
      <c r="R888">
        <f t="shared" si="78"/>
        <v>31516.620000000006</v>
      </c>
      <c r="S888">
        <f>+banking_loan_data[[#This Row],[Loan Amount]]+banking_loan_data[[#This Row],[Interest earned]]</f>
        <v>58225.62000000001</v>
      </c>
      <c r="T888" s="2">
        <f t="shared" si="79"/>
        <v>6303.32</v>
      </c>
      <c r="U888" s="2">
        <f t="shared" si="80"/>
        <v>0</v>
      </c>
      <c r="V888" s="2" t="str">
        <f>IF(banking_loan_data[[#This Row],[Loan Status]]="FULLY PAID","GOOD",IF(banking_loan_data[[#This Row],[Loan Status]]="CURRENT","ACTIVE","BAD"))</f>
        <v>GOOD</v>
      </c>
      <c r="W88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888" s="3">
        <f t="shared" si="81"/>
        <v>52527.700000000004</v>
      </c>
      <c r="Y888" s="4">
        <f t="shared" si="82"/>
        <v>0.23599985023774755</v>
      </c>
      <c r="Z888" s="2" t="str">
        <f t="shared" si="83"/>
        <v>High Risk</v>
      </c>
    </row>
    <row r="889" spans="1:26" x14ac:dyDescent="0.3">
      <c r="A889" t="s">
        <v>1820</v>
      </c>
      <c r="B889" s="1">
        <v>44259</v>
      </c>
      <c r="C889" t="s">
        <v>1821</v>
      </c>
      <c r="D889" t="s">
        <v>50</v>
      </c>
      <c r="E889">
        <v>32055</v>
      </c>
      <c r="F889">
        <v>7.5</v>
      </c>
      <c r="G889">
        <v>36</v>
      </c>
      <c r="H889" t="s">
        <v>60</v>
      </c>
      <c r="I889" t="s">
        <v>73</v>
      </c>
      <c r="J889" t="s">
        <v>32</v>
      </c>
      <c r="K889">
        <v>123326</v>
      </c>
      <c r="L889" t="s">
        <v>22</v>
      </c>
      <c r="M889">
        <v>0.47</v>
      </c>
      <c r="N889">
        <v>0.59</v>
      </c>
      <c r="O889">
        <v>0</v>
      </c>
      <c r="P889">
        <v>0</v>
      </c>
      <c r="Q889">
        <f ca="1">DATEDIF(banking_loan_data[[#This Row],[Issue Date]],TODAY(),"M")</f>
        <v>60</v>
      </c>
      <c r="R889">
        <f t="shared" si="78"/>
        <v>7212.375</v>
      </c>
      <c r="S889">
        <f>+banking_loan_data[[#This Row],[Loan Amount]]+banking_loan_data[[#This Row],[Interest earned]]</f>
        <v>39267.375</v>
      </c>
      <c r="T889" s="2">
        <f t="shared" si="79"/>
        <v>-32055</v>
      </c>
      <c r="U889" s="2">
        <f t="shared" si="80"/>
        <v>0</v>
      </c>
      <c r="V889" s="2" t="str">
        <f>IF(banking_loan_data[[#This Row],[Loan Status]]="FULLY PAID","GOOD",IF(banking_loan_data[[#This Row],[Loan Status]]="CURRENT","ACTIVE","BAD"))</f>
        <v>BAD</v>
      </c>
      <c r="W88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889" s="3">
        <f t="shared" si="81"/>
        <v>20034.375514108353</v>
      </c>
      <c r="Y889" s="4">
        <f t="shared" si="82"/>
        <v>-1</v>
      </c>
      <c r="Z889" s="2" t="str">
        <f t="shared" si="83"/>
        <v>High Risk</v>
      </c>
    </row>
    <row r="890" spans="1:26" x14ac:dyDescent="0.3">
      <c r="A890" t="s">
        <v>1822</v>
      </c>
      <c r="B890" s="1">
        <v>45199</v>
      </c>
      <c r="C890" t="s">
        <v>1823</v>
      </c>
      <c r="D890" t="s">
        <v>53</v>
      </c>
      <c r="E890">
        <v>38685</v>
      </c>
      <c r="F890">
        <v>19.7</v>
      </c>
      <c r="G890">
        <v>60</v>
      </c>
      <c r="H890" t="s">
        <v>19</v>
      </c>
      <c r="I890" t="s">
        <v>36</v>
      </c>
      <c r="J890" t="s">
        <v>47</v>
      </c>
      <c r="K890">
        <v>70953</v>
      </c>
      <c r="L890" t="s">
        <v>29</v>
      </c>
      <c r="M890">
        <v>0.36</v>
      </c>
      <c r="N890">
        <v>0.73</v>
      </c>
      <c r="O890">
        <v>46305.94</v>
      </c>
      <c r="P890">
        <v>0</v>
      </c>
      <c r="Q890">
        <f ca="1">DATEDIF(banking_loan_data[[#This Row],[Issue Date]],TODAY(),"M")</f>
        <v>29</v>
      </c>
      <c r="R890">
        <f t="shared" si="78"/>
        <v>38104.724999999999</v>
      </c>
      <c r="S890">
        <f>+banking_loan_data[[#This Row],[Loan Amount]]+banking_loan_data[[#This Row],[Interest earned]]</f>
        <v>76789.725000000006</v>
      </c>
      <c r="T890" s="2">
        <f t="shared" si="79"/>
        <v>7620.9400000000023</v>
      </c>
      <c r="U890" s="2">
        <f t="shared" si="80"/>
        <v>0</v>
      </c>
      <c r="V890" s="2" t="str">
        <f>IF(banking_loan_data[[#This Row],[Loan Status]]="FULLY PAID","GOOD",IF(banking_loan_data[[#This Row],[Loan Status]]="CURRENT","ACTIVE","BAD"))</f>
        <v>GOOD</v>
      </c>
      <c r="W89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90" s="3">
        <f t="shared" si="81"/>
        <v>63507.875</v>
      </c>
      <c r="Y890" s="4">
        <f t="shared" si="82"/>
        <v>0.19699987075093711</v>
      </c>
      <c r="Z890" s="2" t="str">
        <f t="shared" si="83"/>
        <v>Normal</v>
      </c>
    </row>
    <row r="891" spans="1:26" x14ac:dyDescent="0.3">
      <c r="A891" t="s">
        <v>1824</v>
      </c>
      <c r="B891" s="1">
        <v>44858</v>
      </c>
      <c r="C891" t="s">
        <v>1825</v>
      </c>
      <c r="D891" t="s">
        <v>25</v>
      </c>
      <c r="E891">
        <v>9429</v>
      </c>
      <c r="F891">
        <v>24.5</v>
      </c>
      <c r="G891">
        <v>60</v>
      </c>
      <c r="H891" t="s">
        <v>26</v>
      </c>
      <c r="I891" t="s">
        <v>27</v>
      </c>
      <c r="J891" t="s">
        <v>47</v>
      </c>
      <c r="K891">
        <v>95785</v>
      </c>
      <c r="L891" t="s">
        <v>33</v>
      </c>
      <c r="M891">
        <v>0.4</v>
      </c>
      <c r="N891">
        <v>0.71</v>
      </c>
      <c r="O891">
        <v>3859.51</v>
      </c>
      <c r="P891">
        <v>0</v>
      </c>
      <c r="Q891">
        <f ca="1">DATEDIF(banking_loan_data[[#This Row],[Issue Date]],TODAY(),"M")</f>
        <v>40</v>
      </c>
      <c r="R891">
        <f t="shared" si="78"/>
        <v>11550.525</v>
      </c>
      <c r="S891">
        <f>+banking_loan_data[[#This Row],[Loan Amount]]+banking_loan_data[[#This Row],[Interest earned]]</f>
        <v>20979.525000000001</v>
      </c>
      <c r="T891" s="2">
        <f t="shared" si="79"/>
        <v>-5569.49</v>
      </c>
      <c r="U891" s="2">
        <f t="shared" si="80"/>
        <v>0</v>
      </c>
      <c r="V891" s="2" t="str">
        <f>IF(banking_loan_data[[#This Row],[Loan Status]]="FULLY PAID","GOOD",IF(banking_loan_data[[#This Row],[Loan Status]]="CURRENT","ACTIVE","BAD"))</f>
        <v>ACTIVE</v>
      </c>
      <c r="W89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91" s="3">
        <f t="shared" si="81"/>
        <v>19250.875</v>
      </c>
      <c r="Y891" s="4">
        <f t="shared" si="82"/>
        <v>-0.59067663591048891</v>
      </c>
      <c r="Z891" s="2" t="str">
        <f t="shared" si="83"/>
        <v>Normal</v>
      </c>
    </row>
    <row r="892" spans="1:26" x14ac:dyDescent="0.3">
      <c r="A892" t="s">
        <v>1826</v>
      </c>
      <c r="B892" s="1">
        <v>44862</v>
      </c>
      <c r="C892" t="s">
        <v>1827</v>
      </c>
      <c r="D892" t="s">
        <v>46</v>
      </c>
      <c r="E892">
        <v>15716</v>
      </c>
      <c r="F892">
        <v>6</v>
      </c>
      <c r="G892">
        <v>36</v>
      </c>
      <c r="H892" t="s">
        <v>19</v>
      </c>
      <c r="I892" t="s">
        <v>27</v>
      </c>
      <c r="J892" t="s">
        <v>32</v>
      </c>
      <c r="K892">
        <v>49309</v>
      </c>
      <c r="L892" t="s">
        <v>22</v>
      </c>
      <c r="M892">
        <v>0.22</v>
      </c>
      <c r="N892">
        <v>0.53</v>
      </c>
      <c r="O892">
        <v>16658.96</v>
      </c>
      <c r="P892">
        <v>0</v>
      </c>
      <c r="Q892">
        <f ca="1">DATEDIF(banking_loan_data[[#This Row],[Issue Date]],TODAY(),"M")</f>
        <v>40</v>
      </c>
      <c r="R892">
        <f t="shared" si="78"/>
        <v>2828.8799999999997</v>
      </c>
      <c r="S892">
        <f>+banking_loan_data[[#This Row],[Loan Amount]]+banking_loan_data[[#This Row],[Interest earned]]</f>
        <v>18544.88</v>
      </c>
      <c r="T892" s="2">
        <f t="shared" si="79"/>
        <v>942.95999999999913</v>
      </c>
      <c r="U892" s="2">
        <f t="shared" si="80"/>
        <v>0</v>
      </c>
      <c r="V892" s="2" t="str">
        <f>IF(banking_loan_data[[#This Row],[Loan Status]]="FULLY PAID","GOOD",IF(banking_loan_data[[#This Row],[Loan Status]]="CURRENT","ACTIVE","BAD"))</f>
        <v>GOOD</v>
      </c>
      <c r="W89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892" s="3">
        <f t="shared" si="81"/>
        <v>7858.0035977161633</v>
      </c>
      <c r="Y892" s="4">
        <f t="shared" si="82"/>
        <v>5.9999999999999942E-2</v>
      </c>
      <c r="Z892" s="2" t="str">
        <f t="shared" si="83"/>
        <v>Normal</v>
      </c>
    </row>
    <row r="893" spans="1:26" x14ac:dyDescent="0.3">
      <c r="A893" t="s">
        <v>1828</v>
      </c>
      <c r="B893" s="1">
        <v>44352</v>
      </c>
      <c r="C893" t="s">
        <v>1829</v>
      </c>
      <c r="D893" t="s">
        <v>18</v>
      </c>
      <c r="E893">
        <v>12138</v>
      </c>
      <c r="F893">
        <v>18.600000000000001</v>
      </c>
      <c r="G893">
        <v>60</v>
      </c>
      <c r="H893" t="s">
        <v>26</v>
      </c>
      <c r="I893" t="s">
        <v>84</v>
      </c>
      <c r="J893" t="s">
        <v>28</v>
      </c>
      <c r="K893">
        <v>84195</v>
      </c>
      <c r="L893" t="s">
        <v>22</v>
      </c>
      <c r="M893">
        <v>0.44</v>
      </c>
      <c r="N893">
        <v>0.87</v>
      </c>
      <c r="O893">
        <v>3469.25</v>
      </c>
      <c r="P893">
        <v>0</v>
      </c>
      <c r="Q893">
        <f ca="1">DATEDIF(banking_loan_data[[#This Row],[Issue Date]],TODAY(),"M")</f>
        <v>57</v>
      </c>
      <c r="R893">
        <f t="shared" si="78"/>
        <v>11288.340000000002</v>
      </c>
      <c r="S893">
        <f>+banking_loan_data[[#This Row],[Loan Amount]]+banking_loan_data[[#This Row],[Interest earned]]</f>
        <v>23426.340000000004</v>
      </c>
      <c r="T893" s="2">
        <f t="shared" si="79"/>
        <v>-8668.75</v>
      </c>
      <c r="U893" s="2">
        <f t="shared" si="80"/>
        <v>0</v>
      </c>
      <c r="V893" s="2" t="str">
        <f>IF(banking_loan_data[[#This Row],[Loan Status]]="FULLY PAID","GOOD",IF(banking_loan_data[[#This Row],[Loan Status]]="CURRENT","ACTIVE","BAD"))</f>
        <v>ACTIVE</v>
      </c>
      <c r="W89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93" s="3">
        <f t="shared" si="81"/>
        <v>18813.900000000001</v>
      </c>
      <c r="Y893" s="4">
        <f t="shared" si="82"/>
        <v>-0.71418273191629589</v>
      </c>
      <c r="Z893" s="2" t="str">
        <f t="shared" si="83"/>
        <v>High Risk</v>
      </c>
    </row>
    <row r="894" spans="1:26" x14ac:dyDescent="0.3">
      <c r="A894" t="s">
        <v>1830</v>
      </c>
      <c r="B894" s="1">
        <v>45269</v>
      </c>
      <c r="C894" t="s">
        <v>1831</v>
      </c>
      <c r="D894" t="s">
        <v>50</v>
      </c>
      <c r="E894">
        <v>36298</v>
      </c>
      <c r="F894">
        <v>14.4</v>
      </c>
      <c r="G894">
        <v>60</v>
      </c>
      <c r="H894" t="s">
        <v>19</v>
      </c>
      <c r="I894" t="s">
        <v>20</v>
      </c>
      <c r="J894" t="s">
        <v>32</v>
      </c>
      <c r="K894">
        <v>145662</v>
      </c>
      <c r="L894" t="s">
        <v>33</v>
      </c>
      <c r="M894">
        <v>0.2</v>
      </c>
      <c r="N894">
        <v>0.65</v>
      </c>
      <c r="O894">
        <v>41524.910000000003</v>
      </c>
      <c r="P894">
        <v>0</v>
      </c>
      <c r="Q894">
        <f ca="1">DATEDIF(banking_loan_data[[#This Row],[Issue Date]],TODAY(),"M")</f>
        <v>27</v>
      </c>
      <c r="R894">
        <f t="shared" si="78"/>
        <v>26134.560000000001</v>
      </c>
      <c r="S894">
        <f>+banking_loan_data[[#This Row],[Loan Amount]]+banking_loan_data[[#This Row],[Interest earned]]</f>
        <v>62432.56</v>
      </c>
      <c r="T894" s="2">
        <f t="shared" si="79"/>
        <v>5226.9100000000035</v>
      </c>
      <c r="U894" s="2">
        <f t="shared" si="80"/>
        <v>0</v>
      </c>
      <c r="V894" s="2" t="str">
        <f>IF(banking_loan_data[[#This Row],[Loan Status]]="FULLY PAID","GOOD",IF(banking_loan_data[[#This Row],[Loan Status]]="CURRENT","ACTIVE","BAD"))</f>
        <v>GOOD</v>
      </c>
      <c r="W89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94" s="3">
        <f t="shared" si="81"/>
        <v>43557.599999999999</v>
      </c>
      <c r="Y894" s="4">
        <f t="shared" si="82"/>
        <v>0.14399994490054557</v>
      </c>
      <c r="Z894" s="2" t="str">
        <f t="shared" si="83"/>
        <v>Normal</v>
      </c>
    </row>
    <row r="895" spans="1:26" x14ac:dyDescent="0.3">
      <c r="A895" t="s">
        <v>1832</v>
      </c>
      <c r="B895" s="1">
        <v>45163</v>
      </c>
      <c r="C895" t="s">
        <v>1833</v>
      </c>
      <c r="D895" t="s">
        <v>18</v>
      </c>
      <c r="E895">
        <v>24429</v>
      </c>
      <c r="F895">
        <v>16.600000000000001</v>
      </c>
      <c r="G895">
        <v>60</v>
      </c>
      <c r="H895" t="s">
        <v>81</v>
      </c>
      <c r="I895" t="s">
        <v>57</v>
      </c>
      <c r="J895" t="s">
        <v>32</v>
      </c>
      <c r="K895">
        <v>55901</v>
      </c>
      <c r="L895" t="s">
        <v>29</v>
      </c>
      <c r="M895">
        <v>0.1</v>
      </c>
      <c r="N895">
        <v>0.76</v>
      </c>
      <c r="O895">
        <v>6635.65</v>
      </c>
      <c r="P895">
        <v>6328.17</v>
      </c>
      <c r="Q895">
        <f ca="1">DATEDIF(banking_loan_data[[#This Row],[Issue Date]],TODAY(),"M")</f>
        <v>30</v>
      </c>
      <c r="R895">
        <f t="shared" si="78"/>
        <v>20276.070000000003</v>
      </c>
      <c r="S895">
        <f>+banking_loan_data[[#This Row],[Loan Amount]]+banking_loan_data[[#This Row],[Interest earned]]</f>
        <v>44705.070000000007</v>
      </c>
      <c r="T895" s="2">
        <f t="shared" si="79"/>
        <v>-11465.18</v>
      </c>
      <c r="U895" s="2">
        <f t="shared" si="80"/>
        <v>1</v>
      </c>
      <c r="V895" s="2" t="str">
        <f>IF(banking_loan_data[[#This Row],[Loan Status]]="FULLY PAID","GOOD",IF(banking_loan_data[[#This Row],[Loan Status]]="CURRENT","ACTIVE","BAD"))</f>
        <v>BAD</v>
      </c>
      <c r="W89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895" s="3">
        <f t="shared" si="81"/>
        <v>33793.450000000004</v>
      </c>
      <c r="Y895" s="4">
        <f t="shared" si="82"/>
        <v>-0.46932662000081871</v>
      </c>
      <c r="Z895" s="2" t="str">
        <f t="shared" si="83"/>
        <v>Normal</v>
      </c>
    </row>
    <row r="896" spans="1:26" x14ac:dyDescent="0.3">
      <c r="A896" t="s">
        <v>1834</v>
      </c>
      <c r="B896" s="1">
        <v>45045</v>
      </c>
      <c r="C896" t="s">
        <v>1835</v>
      </c>
      <c r="D896" t="s">
        <v>40</v>
      </c>
      <c r="E896">
        <v>6772</v>
      </c>
      <c r="F896">
        <v>6.7</v>
      </c>
      <c r="G896">
        <v>36</v>
      </c>
      <c r="H896" t="s">
        <v>26</v>
      </c>
      <c r="I896" t="s">
        <v>41</v>
      </c>
      <c r="J896" t="s">
        <v>21</v>
      </c>
      <c r="K896">
        <v>53576</v>
      </c>
      <c r="L896" t="s">
        <v>29</v>
      </c>
      <c r="M896">
        <v>0.25</v>
      </c>
      <c r="N896">
        <v>0.73</v>
      </c>
      <c r="O896">
        <v>2938.07</v>
      </c>
      <c r="P896">
        <v>0</v>
      </c>
      <c r="Q896">
        <f ca="1">DATEDIF(banking_loan_data[[#This Row],[Issue Date]],TODAY(),"M")</f>
        <v>34</v>
      </c>
      <c r="R896">
        <f t="shared" si="78"/>
        <v>1361.172</v>
      </c>
      <c r="S896">
        <f>+banking_loan_data[[#This Row],[Loan Amount]]+banking_loan_data[[#This Row],[Interest earned]]</f>
        <v>8133.1720000000005</v>
      </c>
      <c r="T896" s="2">
        <f t="shared" si="79"/>
        <v>-3833.93</v>
      </c>
      <c r="U896" s="2">
        <f t="shared" si="80"/>
        <v>0</v>
      </c>
      <c r="V896" s="2" t="str">
        <f>IF(banking_loan_data[[#This Row],[Loan Status]]="FULLY PAID","GOOD",IF(banking_loan_data[[#This Row],[Loan Status]]="CURRENT","ACTIVE","BAD"))</f>
        <v>ACTIVE</v>
      </c>
      <c r="W89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96" s="3">
        <f t="shared" si="81"/>
        <v>3781.0337717000561</v>
      </c>
      <c r="Y896" s="4">
        <f t="shared" si="82"/>
        <v>-0.56614441819255756</v>
      </c>
      <c r="Z896" s="2" t="str">
        <f t="shared" si="83"/>
        <v>Normal</v>
      </c>
    </row>
    <row r="897" spans="1:26" x14ac:dyDescent="0.3">
      <c r="A897" t="s">
        <v>1836</v>
      </c>
      <c r="B897" s="1">
        <v>44885</v>
      </c>
      <c r="C897" t="s">
        <v>1837</v>
      </c>
      <c r="D897" t="s">
        <v>25</v>
      </c>
      <c r="E897">
        <v>36732</v>
      </c>
      <c r="F897">
        <v>5.9</v>
      </c>
      <c r="G897">
        <v>60</v>
      </c>
      <c r="H897" t="s">
        <v>19</v>
      </c>
      <c r="I897" t="s">
        <v>36</v>
      </c>
      <c r="J897" t="s">
        <v>47</v>
      </c>
      <c r="K897">
        <v>61508</v>
      </c>
      <c r="L897" t="s">
        <v>22</v>
      </c>
      <c r="M897">
        <v>0.33</v>
      </c>
      <c r="N897">
        <v>0.73</v>
      </c>
      <c r="O897">
        <v>38899.19</v>
      </c>
      <c r="P897">
        <v>0</v>
      </c>
      <c r="Q897">
        <f ca="1">DATEDIF(banking_loan_data[[#This Row],[Issue Date]],TODAY(),"M")</f>
        <v>39</v>
      </c>
      <c r="R897">
        <f t="shared" si="78"/>
        <v>10835.94</v>
      </c>
      <c r="S897">
        <f>+banking_loan_data[[#This Row],[Loan Amount]]+banking_loan_data[[#This Row],[Interest earned]]</f>
        <v>47567.94</v>
      </c>
      <c r="T897" s="2">
        <f t="shared" si="79"/>
        <v>2167.1900000000023</v>
      </c>
      <c r="U897" s="2">
        <f t="shared" si="80"/>
        <v>0</v>
      </c>
      <c r="V897" s="2" t="str">
        <f>IF(banking_loan_data[[#This Row],[Loan Status]]="FULLY PAID","GOOD",IF(banking_loan_data[[#This Row],[Loan Status]]="CURRENT","ACTIVE","BAD"))</f>
        <v>GOOD</v>
      </c>
      <c r="W89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97" s="3">
        <f t="shared" si="81"/>
        <v>18059.900000686132</v>
      </c>
      <c r="Y897" s="4">
        <f t="shared" si="82"/>
        <v>5.9000054448437395E-2</v>
      </c>
      <c r="Z897" s="2" t="str">
        <f t="shared" si="83"/>
        <v>Normal</v>
      </c>
    </row>
    <row r="898" spans="1:26" x14ac:dyDescent="0.3">
      <c r="A898" t="s">
        <v>1838</v>
      </c>
      <c r="B898" s="1">
        <v>44344</v>
      </c>
      <c r="C898" t="s">
        <v>1839</v>
      </c>
      <c r="D898" t="s">
        <v>18</v>
      </c>
      <c r="E898">
        <v>18347</v>
      </c>
      <c r="F898">
        <v>18.3</v>
      </c>
      <c r="G898">
        <v>36</v>
      </c>
      <c r="H898" t="s">
        <v>19</v>
      </c>
      <c r="I898" t="s">
        <v>36</v>
      </c>
      <c r="J898" t="s">
        <v>47</v>
      </c>
      <c r="K898">
        <v>104711</v>
      </c>
      <c r="L898" t="s">
        <v>22</v>
      </c>
      <c r="M898">
        <v>0.28999999999999998</v>
      </c>
      <c r="N898">
        <v>0.55000000000000004</v>
      </c>
      <c r="O898">
        <v>21704.5</v>
      </c>
      <c r="P898">
        <v>0</v>
      </c>
      <c r="Q898">
        <f ca="1">DATEDIF(banking_loan_data[[#This Row],[Issue Date]],TODAY(),"M")</f>
        <v>57</v>
      </c>
      <c r="R898">
        <f t="shared" ref="R898:R961" si="84">(((E898*F898)/100)*G898)/12</f>
        <v>10072.503000000001</v>
      </c>
      <c r="S898">
        <f>+banking_loan_data[[#This Row],[Loan Amount]]+banking_loan_data[[#This Row],[Interest earned]]</f>
        <v>28419.503000000001</v>
      </c>
      <c r="T898" s="2">
        <f t="shared" ref="T898:T961" si="85">O898 + P898 - E898</f>
        <v>3357.5</v>
      </c>
      <c r="U898" s="2">
        <f t="shared" ref="U898:U961" si="86">IF(H898="CHARGED OFF",1,0)</f>
        <v>0</v>
      </c>
      <c r="V898" s="2" t="str">
        <f>IF(banking_loan_data[[#This Row],[Loan Status]]="FULLY PAID","GOOD",IF(banking_loan_data[[#This Row],[Loan Status]]="CURRENT","ACTIVE","BAD"))</f>
        <v>GOOD</v>
      </c>
      <c r="W89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898" s="3">
        <f t="shared" ref="X898:X961" si="87">PMT(F898/12,G898,-E898)</f>
        <v>27979.175000000097</v>
      </c>
      <c r="Y898" s="4">
        <f t="shared" ref="Y898:Y961" si="88">IF(E898=0,0,T898/E898)</f>
        <v>0.18299994549517631</v>
      </c>
      <c r="Z898" s="2" t="str">
        <f t="shared" ref="Z898:Z961" si="89">IF(OR(M898&gt;0.4,N898&gt;0.8),"High Risk","Normal")</f>
        <v>Normal</v>
      </c>
    </row>
    <row r="899" spans="1:26" x14ac:dyDescent="0.3">
      <c r="A899" t="s">
        <v>1840</v>
      </c>
      <c r="B899" s="1">
        <v>44538</v>
      </c>
      <c r="C899" t="s">
        <v>1841</v>
      </c>
      <c r="D899" t="s">
        <v>76</v>
      </c>
      <c r="E899">
        <v>17920</v>
      </c>
      <c r="F899">
        <v>21.5</v>
      </c>
      <c r="G899">
        <v>60</v>
      </c>
      <c r="H899" t="s">
        <v>19</v>
      </c>
      <c r="I899" t="s">
        <v>73</v>
      </c>
      <c r="J899" t="s">
        <v>37</v>
      </c>
      <c r="K899">
        <v>55464</v>
      </c>
      <c r="L899" t="s">
        <v>33</v>
      </c>
      <c r="M899">
        <v>0.44</v>
      </c>
      <c r="N899">
        <v>0.69</v>
      </c>
      <c r="O899">
        <v>21772.799999999999</v>
      </c>
      <c r="P899">
        <v>0</v>
      </c>
      <c r="Q899">
        <f ca="1">DATEDIF(banking_loan_data[[#This Row],[Issue Date]],TODAY(),"M")</f>
        <v>51</v>
      </c>
      <c r="R899">
        <f t="shared" si="84"/>
        <v>19264</v>
      </c>
      <c r="S899">
        <f>+banking_loan_data[[#This Row],[Loan Amount]]+banking_loan_data[[#This Row],[Interest earned]]</f>
        <v>37184</v>
      </c>
      <c r="T899" s="2">
        <f t="shared" si="85"/>
        <v>3852.7999999999993</v>
      </c>
      <c r="U899" s="2">
        <f t="shared" si="86"/>
        <v>0</v>
      </c>
      <c r="V899" s="2" t="str">
        <f>IF(banking_loan_data[[#This Row],[Loan Status]]="FULLY PAID","GOOD",IF(banking_loan_data[[#This Row],[Loan Status]]="CURRENT","ACTIVE","BAD"))</f>
        <v>GOOD</v>
      </c>
      <c r="W89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899" s="3">
        <f t="shared" si="87"/>
        <v>32106.666666666668</v>
      </c>
      <c r="Y899" s="4">
        <f t="shared" si="88"/>
        <v>0.21499999999999997</v>
      </c>
      <c r="Z899" s="2" t="str">
        <f t="shared" si="89"/>
        <v>High Risk</v>
      </c>
    </row>
    <row r="900" spans="1:26" x14ac:dyDescent="0.3">
      <c r="A900" t="s">
        <v>1842</v>
      </c>
      <c r="B900" s="1">
        <v>44672</v>
      </c>
      <c r="C900" t="s">
        <v>1843</v>
      </c>
      <c r="D900" t="s">
        <v>40</v>
      </c>
      <c r="E900">
        <v>32822</v>
      </c>
      <c r="F900">
        <v>20.6</v>
      </c>
      <c r="G900">
        <v>60</v>
      </c>
      <c r="H900" t="s">
        <v>60</v>
      </c>
      <c r="I900" t="s">
        <v>84</v>
      </c>
      <c r="J900" t="s">
        <v>32</v>
      </c>
      <c r="K900">
        <v>90281</v>
      </c>
      <c r="L900" t="s">
        <v>22</v>
      </c>
      <c r="M900">
        <v>0.14000000000000001</v>
      </c>
      <c r="N900">
        <v>0.7</v>
      </c>
      <c r="O900">
        <v>0</v>
      </c>
      <c r="P900">
        <v>0</v>
      </c>
      <c r="Q900">
        <f ca="1">DATEDIF(banking_loan_data[[#This Row],[Issue Date]],TODAY(),"M")</f>
        <v>46</v>
      </c>
      <c r="R900">
        <f t="shared" si="84"/>
        <v>33806.660000000003</v>
      </c>
      <c r="S900">
        <f>+banking_loan_data[[#This Row],[Loan Amount]]+banking_loan_data[[#This Row],[Interest earned]]</f>
        <v>66628.66</v>
      </c>
      <c r="T900" s="2">
        <f t="shared" si="85"/>
        <v>-32822</v>
      </c>
      <c r="U900" s="2">
        <f t="shared" si="86"/>
        <v>0</v>
      </c>
      <c r="V900" s="2" t="str">
        <f>IF(banking_loan_data[[#This Row],[Loan Status]]="FULLY PAID","GOOD",IF(banking_loan_data[[#This Row],[Loan Status]]="CURRENT","ACTIVE","BAD"))</f>
        <v>BAD</v>
      </c>
      <c r="W90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00" s="3">
        <f t="shared" si="87"/>
        <v>56344.433333333334</v>
      </c>
      <c r="Y900" s="4">
        <f t="shared" si="88"/>
        <v>-1</v>
      </c>
      <c r="Z900" s="2" t="str">
        <f t="shared" si="89"/>
        <v>Normal</v>
      </c>
    </row>
    <row r="901" spans="1:26" x14ac:dyDescent="0.3">
      <c r="A901" t="s">
        <v>1844</v>
      </c>
      <c r="B901" s="1">
        <v>45283</v>
      </c>
      <c r="C901" t="s">
        <v>1845</v>
      </c>
      <c r="D901" t="s">
        <v>72</v>
      </c>
      <c r="E901">
        <v>24563</v>
      </c>
      <c r="F901">
        <v>15.9</v>
      </c>
      <c r="G901">
        <v>36</v>
      </c>
      <c r="H901" t="s">
        <v>26</v>
      </c>
      <c r="I901" t="s">
        <v>20</v>
      </c>
      <c r="J901" t="s">
        <v>32</v>
      </c>
      <c r="K901">
        <v>46260</v>
      </c>
      <c r="L901" t="s">
        <v>33</v>
      </c>
      <c r="M901">
        <v>0.32</v>
      </c>
      <c r="N901">
        <v>0.83</v>
      </c>
      <c r="O901">
        <v>10136.36</v>
      </c>
      <c r="P901">
        <v>0</v>
      </c>
      <c r="Q901">
        <f ca="1">DATEDIF(banking_loan_data[[#This Row],[Issue Date]],TODAY(),"M")</f>
        <v>26</v>
      </c>
      <c r="R901">
        <f t="shared" si="84"/>
        <v>11716.551000000001</v>
      </c>
      <c r="S901">
        <f>+banking_loan_data[[#This Row],[Loan Amount]]+banking_loan_data[[#This Row],[Interest earned]]</f>
        <v>36279.550999999999</v>
      </c>
      <c r="T901" s="2">
        <f t="shared" si="85"/>
        <v>-14426.64</v>
      </c>
      <c r="U901" s="2">
        <f t="shared" si="86"/>
        <v>0</v>
      </c>
      <c r="V901" s="2" t="str">
        <f>IF(banking_loan_data[[#This Row],[Loan Status]]="FULLY PAID","GOOD",IF(banking_loan_data[[#This Row],[Loan Status]]="CURRENT","ACTIVE","BAD"))</f>
        <v>ACTIVE</v>
      </c>
      <c r="W90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01" s="3">
        <f t="shared" si="87"/>
        <v>32545.975000002094</v>
      </c>
      <c r="Y901" s="4">
        <f t="shared" si="88"/>
        <v>-0.58733216626633555</v>
      </c>
      <c r="Z901" s="2" t="str">
        <f t="shared" si="89"/>
        <v>High Risk</v>
      </c>
    </row>
    <row r="902" spans="1:26" x14ac:dyDescent="0.3">
      <c r="A902" t="s">
        <v>1846</v>
      </c>
      <c r="B902" s="1">
        <v>44757</v>
      </c>
      <c r="C902" t="s">
        <v>1847</v>
      </c>
      <c r="D902" t="s">
        <v>46</v>
      </c>
      <c r="E902">
        <v>8967</v>
      </c>
      <c r="F902">
        <v>7</v>
      </c>
      <c r="G902">
        <v>60</v>
      </c>
      <c r="H902" t="s">
        <v>19</v>
      </c>
      <c r="I902" t="s">
        <v>20</v>
      </c>
      <c r="J902" t="s">
        <v>28</v>
      </c>
      <c r="K902">
        <v>65440</v>
      </c>
      <c r="L902" t="s">
        <v>22</v>
      </c>
      <c r="M902">
        <v>0.31</v>
      </c>
      <c r="N902">
        <v>0.88</v>
      </c>
      <c r="O902">
        <v>9594.69</v>
      </c>
      <c r="P902">
        <v>0</v>
      </c>
      <c r="Q902">
        <f ca="1">DATEDIF(banking_loan_data[[#This Row],[Issue Date]],TODAY(),"M")</f>
        <v>44</v>
      </c>
      <c r="R902">
        <f t="shared" si="84"/>
        <v>3138.4500000000003</v>
      </c>
      <c r="S902">
        <f>+banking_loan_data[[#This Row],[Loan Amount]]+banking_loan_data[[#This Row],[Interest earned]]</f>
        <v>12105.45</v>
      </c>
      <c r="T902" s="2">
        <f t="shared" si="85"/>
        <v>627.69000000000051</v>
      </c>
      <c r="U902" s="2">
        <f t="shared" si="86"/>
        <v>0</v>
      </c>
      <c r="V902" s="2" t="str">
        <f>IF(banking_loan_data[[#This Row],[Loan Status]]="FULLY PAID","GOOD",IF(banking_loan_data[[#This Row],[Loan Status]]="CURRENT","ACTIVE","BAD"))</f>
        <v>GOOD</v>
      </c>
      <c r="W90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02" s="3">
        <f t="shared" si="87"/>
        <v>5230.7500000055488</v>
      </c>
      <c r="Y902" s="4">
        <f t="shared" si="88"/>
        <v>7.0000000000000062E-2</v>
      </c>
      <c r="Z902" s="2" t="str">
        <f t="shared" si="89"/>
        <v>High Risk</v>
      </c>
    </row>
    <row r="903" spans="1:26" x14ac:dyDescent="0.3">
      <c r="A903" t="s">
        <v>1848</v>
      </c>
      <c r="B903" s="1">
        <v>44523</v>
      </c>
      <c r="C903" t="s">
        <v>1849</v>
      </c>
      <c r="D903" t="s">
        <v>25</v>
      </c>
      <c r="E903">
        <v>12871</v>
      </c>
      <c r="F903">
        <v>18.8</v>
      </c>
      <c r="G903">
        <v>60</v>
      </c>
      <c r="H903" t="s">
        <v>19</v>
      </c>
      <c r="I903" t="s">
        <v>57</v>
      </c>
      <c r="J903" t="s">
        <v>47</v>
      </c>
      <c r="K903">
        <v>125082</v>
      </c>
      <c r="L903" t="s">
        <v>22</v>
      </c>
      <c r="M903">
        <v>0.21</v>
      </c>
      <c r="N903">
        <v>0.75</v>
      </c>
      <c r="O903">
        <v>15290.75</v>
      </c>
      <c r="P903">
        <v>0</v>
      </c>
      <c r="Q903">
        <f ca="1">DATEDIF(banking_loan_data[[#This Row],[Issue Date]],TODAY(),"M")</f>
        <v>51</v>
      </c>
      <c r="R903">
        <f t="shared" si="84"/>
        <v>12098.74</v>
      </c>
      <c r="S903">
        <f>+banking_loan_data[[#This Row],[Loan Amount]]+banking_loan_data[[#This Row],[Interest earned]]</f>
        <v>24969.739999999998</v>
      </c>
      <c r="T903" s="2">
        <f t="shared" si="85"/>
        <v>2419.75</v>
      </c>
      <c r="U903" s="2">
        <f t="shared" si="86"/>
        <v>0</v>
      </c>
      <c r="V903" s="2" t="str">
        <f>IF(banking_loan_data[[#This Row],[Loan Status]]="FULLY PAID","GOOD",IF(banking_loan_data[[#This Row],[Loan Status]]="CURRENT","ACTIVE","BAD"))</f>
        <v>GOOD</v>
      </c>
      <c r="W90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03" s="3">
        <f t="shared" si="87"/>
        <v>20164.566666666666</v>
      </c>
      <c r="Y903" s="4">
        <f t="shared" si="88"/>
        <v>0.18800015538808174</v>
      </c>
      <c r="Z903" s="2" t="str">
        <f t="shared" si="89"/>
        <v>Normal</v>
      </c>
    </row>
    <row r="904" spans="1:26" x14ac:dyDescent="0.3">
      <c r="A904" t="s">
        <v>1850</v>
      </c>
      <c r="B904" s="1">
        <v>45186</v>
      </c>
      <c r="C904" t="s">
        <v>1851</v>
      </c>
      <c r="D904" t="s">
        <v>65</v>
      </c>
      <c r="E904">
        <v>29763</v>
      </c>
      <c r="F904">
        <v>9.8000000000000007</v>
      </c>
      <c r="G904">
        <v>36</v>
      </c>
      <c r="H904" t="s">
        <v>19</v>
      </c>
      <c r="I904" t="s">
        <v>73</v>
      </c>
      <c r="J904" t="s">
        <v>28</v>
      </c>
      <c r="K904">
        <v>135583</v>
      </c>
      <c r="L904" t="s">
        <v>22</v>
      </c>
      <c r="M904">
        <v>0.43</v>
      </c>
      <c r="N904">
        <v>0.54</v>
      </c>
      <c r="O904">
        <v>32679.77</v>
      </c>
      <c r="P904">
        <v>0</v>
      </c>
      <c r="Q904">
        <f ca="1">DATEDIF(banking_loan_data[[#This Row],[Issue Date]],TODAY(),"M")</f>
        <v>30</v>
      </c>
      <c r="R904">
        <f t="shared" si="84"/>
        <v>8750.3220000000019</v>
      </c>
      <c r="S904">
        <f>+banking_loan_data[[#This Row],[Loan Amount]]+banking_loan_data[[#This Row],[Interest earned]]</f>
        <v>38513.322</v>
      </c>
      <c r="T904" s="2">
        <f t="shared" si="85"/>
        <v>2916.7700000000004</v>
      </c>
      <c r="U904" s="2">
        <f t="shared" si="86"/>
        <v>0</v>
      </c>
      <c r="V904" s="2" t="str">
        <f>IF(banking_loan_data[[#This Row],[Loan Status]]="FULLY PAID","GOOD",IF(banking_loan_data[[#This Row],[Loan Status]]="CURRENT","ACTIVE","BAD"))</f>
        <v>GOOD</v>
      </c>
      <c r="W90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04" s="3">
        <f t="shared" si="87"/>
        <v>24306.450011267116</v>
      </c>
      <c r="Y904" s="4">
        <f t="shared" si="88"/>
        <v>9.7999865604945752E-2</v>
      </c>
      <c r="Z904" s="2" t="str">
        <f t="shared" si="89"/>
        <v>High Risk</v>
      </c>
    </row>
    <row r="905" spans="1:26" x14ac:dyDescent="0.3">
      <c r="A905" t="s">
        <v>1852</v>
      </c>
      <c r="B905" s="1">
        <v>44411</v>
      </c>
      <c r="C905" t="s">
        <v>1853</v>
      </c>
      <c r="D905" t="s">
        <v>50</v>
      </c>
      <c r="E905">
        <v>12916</v>
      </c>
      <c r="F905">
        <v>23.2</v>
      </c>
      <c r="G905">
        <v>60</v>
      </c>
      <c r="H905" t="s">
        <v>26</v>
      </c>
      <c r="I905" t="s">
        <v>57</v>
      </c>
      <c r="J905" t="s">
        <v>21</v>
      </c>
      <c r="K905">
        <v>86683</v>
      </c>
      <c r="L905" t="s">
        <v>29</v>
      </c>
      <c r="M905">
        <v>0.4</v>
      </c>
      <c r="N905">
        <v>0.61</v>
      </c>
      <c r="O905">
        <v>1414.24</v>
      </c>
      <c r="P905">
        <v>0</v>
      </c>
      <c r="Q905">
        <f ca="1">DATEDIF(banking_loan_data[[#This Row],[Issue Date]],TODAY(),"M")</f>
        <v>55</v>
      </c>
      <c r="R905">
        <f t="shared" si="84"/>
        <v>14982.56</v>
      </c>
      <c r="S905">
        <f>+banking_loan_data[[#This Row],[Loan Amount]]+banking_loan_data[[#This Row],[Interest earned]]</f>
        <v>27898.559999999998</v>
      </c>
      <c r="T905" s="2">
        <f t="shared" si="85"/>
        <v>-11501.76</v>
      </c>
      <c r="U905" s="2">
        <f t="shared" si="86"/>
        <v>0</v>
      </c>
      <c r="V905" s="2" t="str">
        <f>IF(banking_loan_data[[#This Row],[Loan Status]]="FULLY PAID","GOOD",IF(banking_loan_data[[#This Row],[Loan Status]]="CURRENT","ACTIVE","BAD"))</f>
        <v>ACTIVE</v>
      </c>
      <c r="W90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05" s="3">
        <f t="shared" si="87"/>
        <v>24970.933333333334</v>
      </c>
      <c r="Y905" s="4">
        <f t="shared" si="88"/>
        <v>-0.89050480024775469</v>
      </c>
      <c r="Z905" s="2" t="str">
        <f t="shared" si="89"/>
        <v>Normal</v>
      </c>
    </row>
    <row r="906" spans="1:26" x14ac:dyDescent="0.3">
      <c r="A906" t="s">
        <v>1854</v>
      </c>
      <c r="B906" s="1">
        <v>44631</v>
      </c>
      <c r="C906" t="s">
        <v>1855</v>
      </c>
      <c r="D906" t="s">
        <v>56</v>
      </c>
      <c r="E906">
        <v>9734</v>
      </c>
      <c r="F906">
        <v>21.8</v>
      </c>
      <c r="G906">
        <v>36</v>
      </c>
      <c r="H906" t="s">
        <v>26</v>
      </c>
      <c r="I906" t="s">
        <v>57</v>
      </c>
      <c r="J906" t="s">
        <v>37</v>
      </c>
      <c r="K906">
        <v>71430</v>
      </c>
      <c r="L906" t="s">
        <v>33</v>
      </c>
      <c r="M906">
        <v>0.39</v>
      </c>
      <c r="N906">
        <v>0.56999999999999995</v>
      </c>
      <c r="O906">
        <v>3613.86</v>
      </c>
      <c r="P906">
        <v>0</v>
      </c>
      <c r="Q906">
        <f ca="1">DATEDIF(banking_loan_data[[#This Row],[Issue Date]],TODAY(),"M")</f>
        <v>48</v>
      </c>
      <c r="R906">
        <f t="shared" si="84"/>
        <v>6366.0360000000001</v>
      </c>
      <c r="S906">
        <f>+banking_loan_data[[#This Row],[Loan Amount]]+banking_loan_data[[#This Row],[Interest earned]]</f>
        <v>16100.036</v>
      </c>
      <c r="T906" s="2">
        <f t="shared" si="85"/>
        <v>-6120.1399999999994</v>
      </c>
      <c r="U906" s="2">
        <f t="shared" si="86"/>
        <v>0</v>
      </c>
      <c r="V906" s="2" t="str">
        <f>IF(banking_loan_data[[#This Row],[Loan Status]]="FULLY PAID","GOOD",IF(banking_loan_data[[#This Row],[Loan Status]]="CURRENT","ACTIVE","BAD"))</f>
        <v>ACTIVE</v>
      </c>
      <c r="W90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06" s="3">
        <f t="shared" si="87"/>
        <v>17683.433333333338</v>
      </c>
      <c r="Y906" s="4">
        <f t="shared" si="88"/>
        <v>-0.6287384425724265</v>
      </c>
      <c r="Z906" s="2" t="str">
        <f t="shared" si="89"/>
        <v>Normal</v>
      </c>
    </row>
    <row r="907" spans="1:26" x14ac:dyDescent="0.3">
      <c r="A907" t="s">
        <v>1856</v>
      </c>
      <c r="B907" s="1">
        <v>45148</v>
      </c>
      <c r="C907" t="s">
        <v>1857</v>
      </c>
      <c r="D907" t="s">
        <v>18</v>
      </c>
      <c r="E907">
        <v>34613</v>
      </c>
      <c r="F907">
        <v>19.2</v>
      </c>
      <c r="G907">
        <v>36</v>
      </c>
      <c r="H907" t="s">
        <v>19</v>
      </c>
      <c r="I907" t="s">
        <v>20</v>
      </c>
      <c r="J907" t="s">
        <v>28</v>
      </c>
      <c r="K907">
        <v>31987</v>
      </c>
      <c r="L907" t="s">
        <v>33</v>
      </c>
      <c r="M907">
        <v>0.45</v>
      </c>
      <c r="N907">
        <v>0.56000000000000005</v>
      </c>
      <c r="O907">
        <v>41258.699999999997</v>
      </c>
      <c r="P907">
        <v>0</v>
      </c>
      <c r="Q907">
        <f ca="1">DATEDIF(banking_loan_data[[#This Row],[Issue Date]],TODAY(),"M")</f>
        <v>31</v>
      </c>
      <c r="R907">
        <f t="shared" si="84"/>
        <v>19937.088</v>
      </c>
      <c r="S907">
        <f>+banking_loan_data[[#This Row],[Loan Amount]]+banking_loan_data[[#This Row],[Interest earned]]</f>
        <v>54550.088000000003</v>
      </c>
      <c r="T907" s="2">
        <f t="shared" si="85"/>
        <v>6645.6999999999971</v>
      </c>
      <c r="U907" s="2">
        <f t="shared" si="86"/>
        <v>0</v>
      </c>
      <c r="V907" s="2" t="str">
        <f>IF(banking_loan_data[[#This Row],[Loan Status]]="FULLY PAID","GOOD",IF(banking_loan_data[[#This Row],[Loan Status]]="CURRENT","ACTIVE","BAD"))</f>
        <v>GOOD</v>
      </c>
      <c r="W90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07" s="3">
        <f t="shared" si="87"/>
        <v>55380.800000000054</v>
      </c>
      <c r="Y907" s="4">
        <f t="shared" si="88"/>
        <v>0.19200011556351651</v>
      </c>
      <c r="Z907" s="2" t="str">
        <f t="shared" si="89"/>
        <v>High Risk</v>
      </c>
    </row>
    <row r="908" spans="1:26" x14ac:dyDescent="0.3">
      <c r="A908" t="s">
        <v>1858</v>
      </c>
      <c r="B908" s="1">
        <v>44919</v>
      </c>
      <c r="C908" t="s">
        <v>1859</v>
      </c>
      <c r="D908" t="s">
        <v>50</v>
      </c>
      <c r="E908">
        <v>29179</v>
      </c>
      <c r="F908">
        <v>24</v>
      </c>
      <c r="G908">
        <v>36</v>
      </c>
      <c r="H908" t="s">
        <v>26</v>
      </c>
      <c r="I908" t="s">
        <v>73</v>
      </c>
      <c r="J908" t="s">
        <v>47</v>
      </c>
      <c r="K908">
        <v>144778</v>
      </c>
      <c r="L908" t="s">
        <v>29</v>
      </c>
      <c r="M908">
        <v>0.39</v>
      </c>
      <c r="N908">
        <v>0.66</v>
      </c>
      <c r="O908">
        <v>7176.47</v>
      </c>
      <c r="P908">
        <v>0</v>
      </c>
      <c r="Q908">
        <f ca="1">DATEDIF(banking_loan_data[[#This Row],[Issue Date]],TODAY(),"M")</f>
        <v>38</v>
      </c>
      <c r="R908">
        <f t="shared" si="84"/>
        <v>21008.880000000001</v>
      </c>
      <c r="S908">
        <f>+banking_loan_data[[#This Row],[Loan Amount]]+banking_loan_data[[#This Row],[Interest earned]]</f>
        <v>50187.880000000005</v>
      </c>
      <c r="T908" s="2">
        <f t="shared" si="85"/>
        <v>-22002.53</v>
      </c>
      <c r="U908" s="2">
        <f t="shared" si="86"/>
        <v>0</v>
      </c>
      <c r="V908" s="2" t="str">
        <f>IF(banking_loan_data[[#This Row],[Loan Status]]="FULLY PAID","GOOD",IF(banking_loan_data[[#This Row],[Loan Status]]="CURRENT","ACTIVE","BAD"))</f>
        <v>ACTIVE</v>
      </c>
      <c r="W90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08" s="3">
        <f t="shared" si="87"/>
        <v>58358</v>
      </c>
      <c r="Y908" s="4">
        <f t="shared" si="88"/>
        <v>-0.7540536001919188</v>
      </c>
      <c r="Z908" s="2" t="str">
        <f t="shared" si="89"/>
        <v>Normal</v>
      </c>
    </row>
    <row r="909" spans="1:26" x14ac:dyDescent="0.3">
      <c r="A909" t="s">
        <v>1860</v>
      </c>
      <c r="B909" s="1">
        <v>44228</v>
      </c>
      <c r="C909" t="s">
        <v>1861</v>
      </c>
      <c r="D909" t="s">
        <v>50</v>
      </c>
      <c r="E909">
        <v>36262</v>
      </c>
      <c r="F909">
        <v>5.6</v>
      </c>
      <c r="G909">
        <v>60</v>
      </c>
      <c r="H909" t="s">
        <v>26</v>
      </c>
      <c r="I909" t="s">
        <v>84</v>
      </c>
      <c r="J909" t="s">
        <v>21</v>
      </c>
      <c r="K909">
        <v>55105</v>
      </c>
      <c r="L909" t="s">
        <v>29</v>
      </c>
      <c r="M909">
        <v>0.19</v>
      </c>
      <c r="N909">
        <v>0.6</v>
      </c>
      <c r="O909">
        <v>6621.15</v>
      </c>
      <c r="P909">
        <v>0</v>
      </c>
      <c r="Q909">
        <f ca="1">DATEDIF(banking_loan_data[[#This Row],[Issue Date]],TODAY(),"M")</f>
        <v>61</v>
      </c>
      <c r="R909">
        <f t="shared" si="84"/>
        <v>10153.359999999999</v>
      </c>
      <c r="S909">
        <f>+banking_loan_data[[#This Row],[Loan Amount]]+banking_loan_data[[#This Row],[Interest earned]]</f>
        <v>46415.360000000001</v>
      </c>
      <c r="T909" s="2">
        <f t="shared" si="85"/>
        <v>-29640.85</v>
      </c>
      <c r="U909" s="2">
        <f t="shared" si="86"/>
        <v>0</v>
      </c>
      <c r="V909" s="2" t="str">
        <f>IF(banking_loan_data[[#This Row],[Loan Status]]="FULLY PAID","GOOD",IF(banking_loan_data[[#This Row],[Loan Status]]="CURRENT","ACTIVE","BAD"))</f>
        <v>ACTIVE</v>
      </c>
      <c r="W90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09" s="3">
        <f t="shared" si="87"/>
        <v>16922.266668439112</v>
      </c>
      <c r="Y909" s="4">
        <f t="shared" si="88"/>
        <v>-0.81740803044509402</v>
      </c>
      <c r="Z909" s="2" t="str">
        <f t="shared" si="89"/>
        <v>Normal</v>
      </c>
    </row>
    <row r="910" spans="1:26" x14ac:dyDescent="0.3">
      <c r="A910" t="s">
        <v>1862</v>
      </c>
      <c r="B910" s="1">
        <v>44866</v>
      </c>
      <c r="C910" t="s">
        <v>1863</v>
      </c>
      <c r="D910" t="s">
        <v>65</v>
      </c>
      <c r="E910">
        <v>13677</v>
      </c>
      <c r="F910">
        <v>19.7</v>
      </c>
      <c r="G910">
        <v>36</v>
      </c>
      <c r="H910" t="s">
        <v>60</v>
      </c>
      <c r="I910" t="s">
        <v>27</v>
      </c>
      <c r="J910" t="s">
        <v>32</v>
      </c>
      <c r="K910">
        <v>108484</v>
      </c>
      <c r="L910" t="s">
        <v>29</v>
      </c>
      <c r="M910">
        <v>0.38</v>
      </c>
      <c r="N910">
        <v>0.6</v>
      </c>
      <c r="O910">
        <v>0</v>
      </c>
      <c r="P910">
        <v>0</v>
      </c>
      <c r="Q910">
        <f ca="1">DATEDIF(banking_loan_data[[#This Row],[Issue Date]],TODAY(),"M")</f>
        <v>40</v>
      </c>
      <c r="R910">
        <f t="shared" si="84"/>
        <v>8083.1069999999991</v>
      </c>
      <c r="S910">
        <f>+banking_loan_data[[#This Row],[Loan Amount]]+banking_loan_data[[#This Row],[Interest earned]]</f>
        <v>21760.107</v>
      </c>
      <c r="T910" s="2">
        <f t="shared" si="85"/>
        <v>-13677</v>
      </c>
      <c r="U910" s="2">
        <f t="shared" si="86"/>
        <v>0</v>
      </c>
      <c r="V910" s="2" t="str">
        <f>IF(banking_loan_data[[#This Row],[Loan Status]]="FULLY PAID","GOOD",IF(banking_loan_data[[#This Row],[Loan Status]]="CURRENT","ACTIVE","BAD"))</f>
        <v>BAD</v>
      </c>
      <c r="W91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910" s="3">
        <f t="shared" si="87"/>
        <v>22453.075000000015</v>
      </c>
      <c r="Y910" s="4">
        <f t="shared" si="88"/>
        <v>-1</v>
      </c>
      <c r="Z910" s="2" t="str">
        <f t="shared" si="89"/>
        <v>Normal</v>
      </c>
    </row>
    <row r="911" spans="1:26" x14ac:dyDescent="0.3">
      <c r="A911" t="s">
        <v>1864</v>
      </c>
      <c r="B911" s="1">
        <v>44481</v>
      </c>
      <c r="C911" t="s">
        <v>1865</v>
      </c>
      <c r="D911" t="s">
        <v>65</v>
      </c>
      <c r="E911">
        <v>19268</v>
      </c>
      <c r="F911">
        <v>11.6</v>
      </c>
      <c r="G911">
        <v>36</v>
      </c>
      <c r="H911" t="s">
        <v>81</v>
      </c>
      <c r="I911" t="s">
        <v>20</v>
      </c>
      <c r="J911" t="s">
        <v>21</v>
      </c>
      <c r="K911">
        <v>148747</v>
      </c>
      <c r="L911" t="s">
        <v>33</v>
      </c>
      <c r="M911">
        <v>0.22</v>
      </c>
      <c r="N911">
        <v>0.52</v>
      </c>
      <c r="O911">
        <v>2215.9299999999998</v>
      </c>
      <c r="P911">
        <v>9626.5400000000009</v>
      </c>
      <c r="Q911">
        <f ca="1">DATEDIF(banking_loan_data[[#This Row],[Issue Date]],TODAY(),"M")</f>
        <v>53</v>
      </c>
      <c r="R911">
        <f t="shared" si="84"/>
        <v>6705.2639999999992</v>
      </c>
      <c r="S911">
        <f>+banking_loan_data[[#This Row],[Loan Amount]]+banking_loan_data[[#This Row],[Interest earned]]</f>
        <v>25973.263999999999</v>
      </c>
      <c r="T911" s="2">
        <f t="shared" si="85"/>
        <v>-7425.5299999999988</v>
      </c>
      <c r="U911" s="2">
        <f t="shared" si="86"/>
        <v>1</v>
      </c>
      <c r="V911" s="2" t="str">
        <f>IF(banking_loan_data[[#This Row],[Loan Status]]="FULLY PAID","GOOD",IF(banking_loan_data[[#This Row],[Loan Status]]="CURRENT","ACTIVE","BAD"))</f>
        <v>BAD</v>
      </c>
      <c r="W91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11" s="3">
        <f t="shared" si="87"/>
        <v>18625.733333829703</v>
      </c>
      <c r="Y911" s="4">
        <f t="shared" si="88"/>
        <v>-0.38538146149055424</v>
      </c>
      <c r="Z911" s="2" t="str">
        <f t="shared" si="89"/>
        <v>Normal</v>
      </c>
    </row>
    <row r="912" spans="1:26" x14ac:dyDescent="0.3">
      <c r="A912" t="s">
        <v>1866</v>
      </c>
      <c r="B912" s="1">
        <v>44625</v>
      </c>
      <c r="C912" t="s">
        <v>1867</v>
      </c>
      <c r="D912" t="s">
        <v>40</v>
      </c>
      <c r="E912">
        <v>13330</v>
      </c>
      <c r="F912">
        <v>23.1</v>
      </c>
      <c r="G912">
        <v>60</v>
      </c>
      <c r="H912" t="s">
        <v>26</v>
      </c>
      <c r="I912" t="s">
        <v>73</v>
      </c>
      <c r="J912" t="s">
        <v>28</v>
      </c>
      <c r="K912">
        <v>43026</v>
      </c>
      <c r="L912" t="s">
        <v>22</v>
      </c>
      <c r="M912">
        <v>0.2</v>
      </c>
      <c r="N912">
        <v>0.51</v>
      </c>
      <c r="O912">
        <v>3589.27</v>
      </c>
      <c r="P912">
        <v>0</v>
      </c>
      <c r="Q912">
        <f ca="1">DATEDIF(banking_loan_data[[#This Row],[Issue Date]],TODAY(),"M")</f>
        <v>48</v>
      </c>
      <c r="R912">
        <f t="shared" si="84"/>
        <v>15396.15</v>
      </c>
      <c r="S912">
        <f>+banking_loan_data[[#This Row],[Loan Amount]]+banking_loan_data[[#This Row],[Interest earned]]</f>
        <v>28726.15</v>
      </c>
      <c r="T912" s="2">
        <f t="shared" si="85"/>
        <v>-9740.73</v>
      </c>
      <c r="U912" s="2">
        <f t="shared" si="86"/>
        <v>0</v>
      </c>
      <c r="V912" s="2" t="str">
        <f>IF(banking_loan_data[[#This Row],[Loan Status]]="FULLY PAID","GOOD",IF(banking_loan_data[[#This Row],[Loan Status]]="CURRENT","ACTIVE","BAD"))</f>
        <v>ACTIVE</v>
      </c>
      <c r="W91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12" s="3">
        <f t="shared" si="87"/>
        <v>25660.25</v>
      </c>
      <c r="Y912" s="4">
        <f t="shared" si="88"/>
        <v>-0.73073743435858962</v>
      </c>
      <c r="Z912" s="2" t="str">
        <f t="shared" si="89"/>
        <v>Normal</v>
      </c>
    </row>
    <row r="913" spans="1:26" x14ac:dyDescent="0.3">
      <c r="A913" t="s">
        <v>1868</v>
      </c>
      <c r="B913" s="1">
        <v>44482</v>
      </c>
      <c r="C913" t="s">
        <v>1869</v>
      </c>
      <c r="D913" t="s">
        <v>25</v>
      </c>
      <c r="E913">
        <v>21733</v>
      </c>
      <c r="F913">
        <v>10.3</v>
      </c>
      <c r="G913">
        <v>36</v>
      </c>
      <c r="H913" t="s">
        <v>26</v>
      </c>
      <c r="I913" t="s">
        <v>27</v>
      </c>
      <c r="J913" t="s">
        <v>47</v>
      </c>
      <c r="K913">
        <v>98309</v>
      </c>
      <c r="L913" t="s">
        <v>29</v>
      </c>
      <c r="M913">
        <v>0.13</v>
      </c>
      <c r="N913">
        <v>0.55000000000000004</v>
      </c>
      <c r="O913">
        <v>4562.7700000000004</v>
      </c>
      <c r="P913">
        <v>0</v>
      </c>
      <c r="Q913">
        <f ca="1">DATEDIF(banking_loan_data[[#This Row],[Issue Date]],TODAY(),"M")</f>
        <v>53</v>
      </c>
      <c r="R913">
        <f t="shared" si="84"/>
        <v>6715.4970000000003</v>
      </c>
      <c r="S913">
        <f>+banking_loan_data[[#This Row],[Loan Amount]]+banking_loan_data[[#This Row],[Interest earned]]</f>
        <v>28448.496999999999</v>
      </c>
      <c r="T913" s="2">
        <f t="shared" si="85"/>
        <v>-17170.23</v>
      </c>
      <c r="U913" s="2">
        <f t="shared" si="86"/>
        <v>0</v>
      </c>
      <c r="V913" s="2" t="str">
        <f>IF(banking_loan_data[[#This Row],[Loan Status]]="FULLY PAID","GOOD",IF(banking_loan_data[[#This Row],[Loan Status]]="CURRENT","ACTIVE","BAD"))</f>
        <v>ACTIVE</v>
      </c>
      <c r="W91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913" s="3">
        <f t="shared" si="87"/>
        <v>18654.158337155637</v>
      </c>
      <c r="Y913" s="4">
        <f t="shared" si="88"/>
        <v>-0.79005337505176454</v>
      </c>
      <c r="Z913" s="2" t="str">
        <f t="shared" si="89"/>
        <v>Normal</v>
      </c>
    </row>
    <row r="914" spans="1:26" x14ac:dyDescent="0.3">
      <c r="A914" t="s">
        <v>1870</v>
      </c>
      <c r="B914" s="1">
        <v>45239</v>
      </c>
      <c r="C914" t="s">
        <v>1871</v>
      </c>
      <c r="D914" t="s">
        <v>76</v>
      </c>
      <c r="E914">
        <v>38947</v>
      </c>
      <c r="F914">
        <v>19.5</v>
      </c>
      <c r="G914">
        <v>60</v>
      </c>
      <c r="H914" t="s">
        <v>19</v>
      </c>
      <c r="I914" t="s">
        <v>73</v>
      </c>
      <c r="J914" t="s">
        <v>28</v>
      </c>
      <c r="K914">
        <v>75927</v>
      </c>
      <c r="L914" t="s">
        <v>29</v>
      </c>
      <c r="M914">
        <v>0.4</v>
      </c>
      <c r="N914">
        <v>0.57999999999999996</v>
      </c>
      <c r="O914">
        <v>46541.66</v>
      </c>
      <c r="P914">
        <v>0</v>
      </c>
      <c r="Q914">
        <f ca="1">DATEDIF(banking_loan_data[[#This Row],[Issue Date]],TODAY(),"M")</f>
        <v>28</v>
      </c>
      <c r="R914">
        <f t="shared" si="84"/>
        <v>37973.325000000004</v>
      </c>
      <c r="S914">
        <f>+banking_loan_data[[#This Row],[Loan Amount]]+banking_loan_data[[#This Row],[Interest earned]]</f>
        <v>76920.325000000012</v>
      </c>
      <c r="T914" s="2">
        <f t="shared" si="85"/>
        <v>7594.6600000000035</v>
      </c>
      <c r="U914" s="2">
        <f t="shared" si="86"/>
        <v>0</v>
      </c>
      <c r="V914" s="2" t="str">
        <f>IF(banking_loan_data[[#This Row],[Loan Status]]="FULLY PAID","GOOD",IF(banking_loan_data[[#This Row],[Loan Status]]="CURRENT","ACTIVE","BAD"))</f>
        <v>GOOD</v>
      </c>
      <c r="W91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14" s="3">
        <f t="shared" si="87"/>
        <v>63288.875</v>
      </c>
      <c r="Y914" s="4">
        <f t="shared" si="88"/>
        <v>0.1949998716204073</v>
      </c>
      <c r="Z914" s="2" t="str">
        <f t="shared" si="89"/>
        <v>Normal</v>
      </c>
    </row>
    <row r="915" spans="1:26" x14ac:dyDescent="0.3">
      <c r="A915" t="s">
        <v>1872</v>
      </c>
      <c r="B915" s="1">
        <v>44214</v>
      </c>
      <c r="C915" t="s">
        <v>1873</v>
      </c>
      <c r="D915" t="s">
        <v>46</v>
      </c>
      <c r="E915">
        <v>28286</v>
      </c>
      <c r="F915">
        <v>22.6</v>
      </c>
      <c r="G915">
        <v>60</v>
      </c>
      <c r="H915" t="s">
        <v>26</v>
      </c>
      <c r="I915" t="s">
        <v>57</v>
      </c>
      <c r="J915" t="s">
        <v>32</v>
      </c>
      <c r="K915">
        <v>105414</v>
      </c>
      <c r="L915" t="s">
        <v>29</v>
      </c>
      <c r="M915">
        <v>0.38</v>
      </c>
      <c r="N915">
        <v>0.69</v>
      </c>
      <c r="O915">
        <v>4615.7299999999996</v>
      </c>
      <c r="P915">
        <v>0</v>
      </c>
      <c r="Q915">
        <f ca="1">DATEDIF(banking_loan_data[[#This Row],[Issue Date]],TODAY(),"M")</f>
        <v>62</v>
      </c>
      <c r="R915">
        <f t="shared" si="84"/>
        <v>31963.180000000008</v>
      </c>
      <c r="S915">
        <f>+banking_loan_data[[#This Row],[Loan Amount]]+banking_loan_data[[#This Row],[Interest earned]]</f>
        <v>60249.180000000008</v>
      </c>
      <c r="T915" s="2">
        <f t="shared" si="85"/>
        <v>-23670.27</v>
      </c>
      <c r="U915" s="2">
        <f t="shared" si="86"/>
        <v>0</v>
      </c>
      <c r="V915" s="2" t="str">
        <f>IF(banking_loan_data[[#This Row],[Loan Status]]="FULLY PAID","GOOD",IF(banking_loan_data[[#This Row],[Loan Status]]="CURRENT","ACTIVE","BAD"))</f>
        <v>ACTIVE</v>
      </c>
      <c r="W91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15" s="3">
        <f t="shared" si="87"/>
        <v>53271.966666666674</v>
      </c>
      <c r="Y915" s="4">
        <f t="shared" si="88"/>
        <v>-0.83681927455278227</v>
      </c>
      <c r="Z915" s="2" t="str">
        <f t="shared" si="89"/>
        <v>Normal</v>
      </c>
    </row>
    <row r="916" spans="1:26" x14ac:dyDescent="0.3">
      <c r="A916" t="s">
        <v>1874</v>
      </c>
      <c r="B916" s="1">
        <v>44965</v>
      </c>
      <c r="C916" t="s">
        <v>1875</v>
      </c>
      <c r="D916" t="s">
        <v>65</v>
      </c>
      <c r="E916">
        <v>7610</v>
      </c>
      <c r="F916">
        <v>5.8</v>
      </c>
      <c r="G916">
        <v>60</v>
      </c>
      <c r="H916" t="s">
        <v>19</v>
      </c>
      <c r="I916" t="s">
        <v>73</v>
      </c>
      <c r="J916" t="s">
        <v>32</v>
      </c>
      <c r="K916">
        <v>87535</v>
      </c>
      <c r="L916" t="s">
        <v>22</v>
      </c>
      <c r="M916">
        <v>0.19</v>
      </c>
      <c r="N916">
        <v>0.73</v>
      </c>
      <c r="O916">
        <v>8051.38</v>
      </c>
      <c r="P916">
        <v>0</v>
      </c>
      <c r="Q916">
        <f ca="1">DATEDIF(banking_loan_data[[#This Row],[Issue Date]],TODAY(),"M")</f>
        <v>37</v>
      </c>
      <c r="R916">
        <f t="shared" si="84"/>
        <v>2206.9</v>
      </c>
      <c r="S916">
        <f>+banking_loan_data[[#This Row],[Loan Amount]]+banking_loan_data[[#This Row],[Interest earned]]</f>
        <v>9816.9</v>
      </c>
      <c r="T916" s="2">
        <f t="shared" si="85"/>
        <v>441.38000000000011</v>
      </c>
      <c r="U916" s="2">
        <f t="shared" si="86"/>
        <v>0</v>
      </c>
      <c r="V916" s="2" t="str">
        <f>IF(banking_loan_data[[#This Row],[Loan Status]]="FULLY PAID","GOOD",IF(banking_loan_data[[#This Row],[Loan Status]]="CURRENT","ACTIVE","BAD"))</f>
        <v>GOOD</v>
      </c>
      <c r="W91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16" s="3">
        <f t="shared" si="87"/>
        <v>3678.1666668622383</v>
      </c>
      <c r="Y916" s="4">
        <f t="shared" si="88"/>
        <v>5.8000000000000017E-2</v>
      </c>
      <c r="Z916" s="2" t="str">
        <f t="shared" si="89"/>
        <v>Normal</v>
      </c>
    </row>
    <row r="917" spans="1:26" x14ac:dyDescent="0.3">
      <c r="A917" t="s">
        <v>1876</v>
      </c>
      <c r="B917" s="1">
        <v>44786</v>
      </c>
      <c r="C917" t="s">
        <v>1877</v>
      </c>
      <c r="D917" t="s">
        <v>65</v>
      </c>
      <c r="E917">
        <v>7430</v>
      </c>
      <c r="F917">
        <v>13</v>
      </c>
      <c r="G917">
        <v>60</v>
      </c>
      <c r="H917" t="s">
        <v>19</v>
      </c>
      <c r="I917" t="s">
        <v>41</v>
      </c>
      <c r="J917" t="s">
        <v>47</v>
      </c>
      <c r="K917">
        <v>72946</v>
      </c>
      <c r="L917" t="s">
        <v>22</v>
      </c>
      <c r="M917">
        <v>0.4</v>
      </c>
      <c r="N917">
        <v>0.56000000000000005</v>
      </c>
      <c r="O917">
        <v>8395.9</v>
      </c>
      <c r="P917">
        <v>0</v>
      </c>
      <c r="Q917">
        <f ca="1">DATEDIF(banking_loan_data[[#This Row],[Issue Date]],TODAY(),"M")</f>
        <v>43</v>
      </c>
      <c r="R917">
        <f t="shared" si="84"/>
        <v>4829.5</v>
      </c>
      <c r="S917">
        <f>+banking_loan_data[[#This Row],[Loan Amount]]+banking_loan_data[[#This Row],[Interest earned]]</f>
        <v>12259.5</v>
      </c>
      <c r="T917" s="2">
        <f t="shared" si="85"/>
        <v>965.89999999999964</v>
      </c>
      <c r="U917" s="2">
        <f t="shared" si="86"/>
        <v>0</v>
      </c>
      <c r="V917" s="2" t="str">
        <f>IF(banking_loan_data[[#This Row],[Loan Status]]="FULLY PAID","GOOD",IF(banking_loan_data[[#This Row],[Loan Status]]="CURRENT","ACTIVE","BAD"))</f>
        <v>GOOD</v>
      </c>
      <c r="W91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17" s="3">
        <f t="shared" si="87"/>
        <v>8049.1666666666661</v>
      </c>
      <c r="Y917" s="4">
        <f t="shared" si="88"/>
        <v>0.12999999999999995</v>
      </c>
      <c r="Z917" s="2" t="str">
        <f t="shared" si="89"/>
        <v>Normal</v>
      </c>
    </row>
    <row r="918" spans="1:26" x14ac:dyDescent="0.3">
      <c r="A918" t="s">
        <v>1878</v>
      </c>
      <c r="B918" s="1">
        <v>45206</v>
      </c>
      <c r="C918" t="s">
        <v>1879</v>
      </c>
      <c r="D918" t="s">
        <v>56</v>
      </c>
      <c r="E918">
        <v>14828</v>
      </c>
      <c r="F918">
        <v>20.2</v>
      </c>
      <c r="G918">
        <v>36</v>
      </c>
      <c r="H918" t="s">
        <v>19</v>
      </c>
      <c r="I918" t="s">
        <v>20</v>
      </c>
      <c r="J918" t="s">
        <v>37</v>
      </c>
      <c r="K918">
        <v>86561</v>
      </c>
      <c r="L918" t="s">
        <v>29</v>
      </c>
      <c r="M918">
        <v>0.47</v>
      </c>
      <c r="N918">
        <v>0.69</v>
      </c>
      <c r="O918">
        <v>17823.259999999998</v>
      </c>
      <c r="P918">
        <v>0</v>
      </c>
      <c r="Q918">
        <f ca="1">DATEDIF(banking_loan_data[[#This Row],[Issue Date]],TODAY(),"M")</f>
        <v>29</v>
      </c>
      <c r="R918">
        <f t="shared" si="84"/>
        <v>8985.768</v>
      </c>
      <c r="S918">
        <f>+banking_loan_data[[#This Row],[Loan Amount]]+banking_loan_data[[#This Row],[Interest earned]]</f>
        <v>23813.768</v>
      </c>
      <c r="T918" s="2">
        <f t="shared" si="85"/>
        <v>2995.2599999999984</v>
      </c>
      <c r="U918" s="2">
        <f t="shared" si="86"/>
        <v>0</v>
      </c>
      <c r="V918" s="2" t="str">
        <f>IF(banking_loan_data[[#This Row],[Loan Status]]="FULLY PAID","GOOD",IF(banking_loan_data[[#This Row],[Loan Status]]="CURRENT","ACTIVE","BAD"))</f>
        <v>GOOD</v>
      </c>
      <c r="W91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18" s="3">
        <f t="shared" si="87"/>
        <v>24960.466666666674</v>
      </c>
      <c r="Y918" s="4">
        <f t="shared" si="88"/>
        <v>0.20200026975991356</v>
      </c>
      <c r="Z918" s="2" t="str">
        <f t="shared" si="89"/>
        <v>High Risk</v>
      </c>
    </row>
    <row r="919" spans="1:26" x14ac:dyDescent="0.3">
      <c r="A919" t="s">
        <v>1880</v>
      </c>
      <c r="B919" s="1">
        <v>44390</v>
      </c>
      <c r="C919" t="s">
        <v>1881</v>
      </c>
      <c r="D919" t="s">
        <v>72</v>
      </c>
      <c r="E919">
        <v>32497</v>
      </c>
      <c r="F919">
        <v>14.1</v>
      </c>
      <c r="G919">
        <v>36</v>
      </c>
      <c r="H919" t="s">
        <v>26</v>
      </c>
      <c r="I919" t="s">
        <v>57</v>
      </c>
      <c r="J919" t="s">
        <v>21</v>
      </c>
      <c r="K919">
        <v>40377</v>
      </c>
      <c r="L919" t="s">
        <v>22</v>
      </c>
      <c r="M919">
        <v>0.14000000000000001</v>
      </c>
      <c r="N919">
        <v>0.65</v>
      </c>
      <c r="O919">
        <v>11783.49</v>
      </c>
      <c r="P919">
        <v>0</v>
      </c>
      <c r="Q919">
        <f ca="1">DATEDIF(banking_loan_data[[#This Row],[Issue Date]],TODAY(),"M")</f>
        <v>56</v>
      </c>
      <c r="R919">
        <f t="shared" si="84"/>
        <v>13746.231</v>
      </c>
      <c r="S919">
        <f>+banking_loan_data[[#This Row],[Loan Amount]]+banking_loan_data[[#This Row],[Interest earned]]</f>
        <v>46243.231</v>
      </c>
      <c r="T919" s="2">
        <f t="shared" si="85"/>
        <v>-20713.510000000002</v>
      </c>
      <c r="U919" s="2">
        <f t="shared" si="86"/>
        <v>0</v>
      </c>
      <c r="V919" s="2" t="str">
        <f>IF(banking_loan_data[[#This Row],[Loan Status]]="FULLY PAID","GOOD",IF(banking_loan_data[[#This Row],[Loan Status]]="CURRENT","ACTIVE","BAD"))</f>
        <v>ACTIVE</v>
      </c>
      <c r="W91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19" s="3">
        <f t="shared" si="87"/>
        <v>38183.975000027123</v>
      </c>
      <c r="Y919" s="4">
        <f t="shared" si="88"/>
        <v>-0.63739760593285544</v>
      </c>
      <c r="Z919" s="2" t="str">
        <f t="shared" si="89"/>
        <v>Normal</v>
      </c>
    </row>
    <row r="920" spans="1:26" x14ac:dyDescent="0.3">
      <c r="A920" t="s">
        <v>1882</v>
      </c>
      <c r="B920" s="1">
        <v>44698</v>
      </c>
      <c r="C920" t="s">
        <v>1883</v>
      </c>
      <c r="D920" t="s">
        <v>65</v>
      </c>
      <c r="E920">
        <v>37618</v>
      </c>
      <c r="F920">
        <v>10.3</v>
      </c>
      <c r="G920">
        <v>36</v>
      </c>
      <c r="H920" t="s">
        <v>19</v>
      </c>
      <c r="I920" t="s">
        <v>57</v>
      </c>
      <c r="J920" t="s">
        <v>21</v>
      </c>
      <c r="K920">
        <v>83592</v>
      </c>
      <c r="L920" t="s">
        <v>29</v>
      </c>
      <c r="M920">
        <v>0.19</v>
      </c>
      <c r="N920">
        <v>0.57999999999999996</v>
      </c>
      <c r="O920">
        <v>41492.65</v>
      </c>
      <c r="P920">
        <v>0</v>
      </c>
      <c r="Q920">
        <f ca="1">DATEDIF(banking_loan_data[[#This Row],[Issue Date]],TODAY(),"M")</f>
        <v>46</v>
      </c>
      <c r="R920">
        <f t="shared" si="84"/>
        <v>11623.962000000001</v>
      </c>
      <c r="S920">
        <f>+banking_loan_data[[#This Row],[Loan Amount]]+banking_loan_data[[#This Row],[Interest earned]]</f>
        <v>49241.962</v>
      </c>
      <c r="T920" s="2">
        <f t="shared" si="85"/>
        <v>3874.6500000000015</v>
      </c>
      <c r="U920" s="2">
        <f t="shared" si="86"/>
        <v>0</v>
      </c>
      <c r="V920" s="2" t="str">
        <f>IF(banking_loan_data[[#This Row],[Loan Status]]="FULLY PAID","GOOD",IF(banking_loan_data[[#This Row],[Loan Status]]="CURRENT","ACTIVE","BAD"))</f>
        <v>GOOD</v>
      </c>
      <c r="W92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20" s="3">
        <f t="shared" si="87"/>
        <v>32288.783339949423</v>
      </c>
      <c r="Y920" s="4">
        <f t="shared" si="88"/>
        <v>0.10299989366792497</v>
      </c>
      <c r="Z920" s="2" t="str">
        <f t="shared" si="89"/>
        <v>Normal</v>
      </c>
    </row>
    <row r="921" spans="1:26" x14ac:dyDescent="0.3">
      <c r="A921" t="s">
        <v>1884</v>
      </c>
      <c r="B921" s="1">
        <v>45184</v>
      </c>
      <c r="C921" t="s">
        <v>1885</v>
      </c>
      <c r="D921" t="s">
        <v>72</v>
      </c>
      <c r="E921">
        <v>27526</v>
      </c>
      <c r="F921">
        <v>9.4</v>
      </c>
      <c r="G921">
        <v>36</v>
      </c>
      <c r="H921" t="s">
        <v>19</v>
      </c>
      <c r="I921" t="s">
        <v>73</v>
      </c>
      <c r="J921" t="s">
        <v>32</v>
      </c>
      <c r="K921">
        <v>37347</v>
      </c>
      <c r="L921" t="s">
        <v>22</v>
      </c>
      <c r="M921">
        <v>0.4</v>
      </c>
      <c r="N921">
        <v>0.5</v>
      </c>
      <c r="O921">
        <v>30113.439999999999</v>
      </c>
      <c r="P921">
        <v>0</v>
      </c>
      <c r="Q921">
        <f ca="1">DATEDIF(banking_loan_data[[#This Row],[Issue Date]],TODAY(),"M")</f>
        <v>30</v>
      </c>
      <c r="R921">
        <f t="shared" si="84"/>
        <v>7762.3320000000012</v>
      </c>
      <c r="S921">
        <f>+banking_loan_data[[#This Row],[Loan Amount]]+banking_loan_data[[#This Row],[Interest earned]]</f>
        <v>35288.332000000002</v>
      </c>
      <c r="T921" s="2">
        <f t="shared" si="85"/>
        <v>2587.4399999999987</v>
      </c>
      <c r="U921" s="2">
        <f t="shared" si="86"/>
        <v>0</v>
      </c>
      <c r="V921" s="2" t="str">
        <f>IF(banking_loan_data[[#This Row],[Loan Status]]="FULLY PAID","GOOD",IF(banking_loan_data[[#This Row],[Loan Status]]="CURRENT","ACTIVE","BAD"))</f>
        <v>GOOD</v>
      </c>
      <c r="W92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21" s="3">
        <f t="shared" si="87"/>
        <v>21562.033352801216</v>
      </c>
      <c r="Y921" s="4">
        <f t="shared" si="88"/>
        <v>9.399985468284526E-2</v>
      </c>
      <c r="Z921" s="2" t="str">
        <f t="shared" si="89"/>
        <v>Normal</v>
      </c>
    </row>
    <row r="922" spans="1:26" x14ac:dyDescent="0.3">
      <c r="A922" t="s">
        <v>1886</v>
      </c>
      <c r="B922" s="1">
        <v>44310</v>
      </c>
      <c r="C922" t="s">
        <v>1887</v>
      </c>
      <c r="D922" t="s">
        <v>40</v>
      </c>
      <c r="E922">
        <v>31158</v>
      </c>
      <c r="F922">
        <v>7.6</v>
      </c>
      <c r="G922">
        <v>36</v>
      </c>
      <c r="H922" t="s">
        <v>19</v>
      </c>
      <c r="I922" t="s">
        <v>20</v>
      </c>
      <c r="J922" t="s">
        <v>28</v>
      </c>
      <c r="K922">
        <v>63776</v>
      </c>
      <c r="L922" t="s">
        <v>33</v>
      </c>
      <c r="M922">
        <v>0.21</v>
      </c>
      <c r="N922">
        <v>0.71</v>
      </c>
      <c r="O922">
        <v>33526.01</v>
      </c>
      <c r="P922">
        <v>0</v>
      </c>
      <c r="Q922">
        <f ca="1">DATEDIF(banking_loan_data[[#This Row],[Issue Date]],TODAY(),"M")</f>
        <v>58</v>
      </c>
      <c r="R922">
        <f t="shared" si="84"/>
        <v>7104.0240000000003</v>
      </c>
      <c r="S922">
        <f>+banking_loan_data[[#This Row],[Loan Amount]]+banking_loan_data[[#This Row],[Interest earned]]</f>
        <v>38262.023999999998</v>
      </c>
      <c r="T922" s="2">
        <f t="shared" si="85"/>
        <v>2368.010000000002</v>
      </c>
      <c r="U922" s="2">
        <f t="shared" si="86"/>
        <v>0</v>
      </c>
      <c r="V922" s="2" t="str">
        <f>IF(banking_loan_data[[#This Row],[Loan Status]]="FULLY PAID","GOOD",IF(banking_loan_data[[#This Row],[Loan Status]]="CURRENT","ACTIVE","BAD"))</f>
        <v>GOOD</v>
      </c>
      <c r="W92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22" s="3">
        <f t="shared" si="87"/>
        <v>19733.400421219256</v>
      </c>
      <c r="Y922" s="4">
        <f t="shared" si="88"/>
        <v>7.6000064188972399E-2</v>
      </c>
      <c r="Z922" s="2" t="str">
        <f t="shared" si="89"/>
        <v>Normal</v>
      </c>
    </row>
    <row r="923" spans="1:26" x14ac:dyDescent="0.3">
      <c r="A923" t="s">
        <v>1888</v>
      </c>
      <c r="B923" s="1">
        <v>45143</v>
      </c>
      <c r="C923" t="s">
        <v>1889</v>
      </c>
      <c r="D923" t="s">
        <v>76</v>
      </c>
      <c r="E923">
        <v>26032</v>
      </c>
      <c r="F923">
        <v>22.1</v>
      </c>
      <c r="G923">
        <v>60</v>
      </c>
      <c r="H923" t="s">
        <v>19</v>
      </c>
      <c r="I923" t="s">
        <v>20</v>
      </c>
      <c r="J923" t="s">
        <v>28</v>
      </c>
      <c r="K923">
        <v>33783</v>
      </c>
      <c r="L923" t="s">
        <v>33</v>
      </c>
      <c r="M923">
        <v>0.35</v>
      </c>
      <c r="N923">
        <v>0.81</v>
      </c>
      <c r="O923">
        <v>31785.07</v>
      </c>
      <c r="P923">
        <v>0</v>
      </c>
      <c r="Q923">
        <f ca="1">DATEDIF(banking_loan_data[[#This Row],[Issue Date]],TODAY(),"M")</f>
        <v>31</v>
      </c>
      <c r="R923">
        <f t="shared" si="84"/>
        <v>28765.360000000004</v>
      </c>
      <c r="S923">
        <f>+banking_loan_data[[#This Row],[Loan Amount]]+banking_loan_data[[#This Row],[Interest earned]]</f>
        <v>54797.36</v>
      </c>
      <c r="T923" s="2">
        <f t="shared" si="85"/>
        <v>5753.07</v>
      </c>
      <c r="U923" s="2">
        <f t="shared" si="86"/>
        <v>0</v>
      </c>
      <c r="V923" s="2" t="str">
        <f>IF(banking_loan_data[[#This Row],[Loan Status]]="FULLY PAID","GOOD",IF(banking_loan_data[[#This Row],[Loan Status]]="CURRENT","ACTIVE","BAD"))</f>
        <v>GOOD</v>
      </c>
      <c r="W92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23" s="3">
        <f t="shared" si="87"/>
        <v>47942.26666666667</v>
      </c>
      <c r="Y923" s="4">
        <f t="shared" si="88"/>
        <v>0.22099992317148123</v>
      </c>
      <c r="Z923" s="2" t="str">
        <f t="shared" si="89"/>
        <v>High Risk</v>
      </c>
    </row>
    <row r="924" spans="1:26" x14ac:dyDescent="0.3">
      <c r="A924" t="s">
        <v>1890</v>
      </c>
      <c r="B924" s="1">
        <v>45027</v>
      </c>
      <c r="C924" t="s">
        <v>1891</v>
      </c>
      <c r="D924" t="s">
        <v>50</v>
      </c>
      <c r="E924">
        <v>38846</v>
      </c>
      <c r="F924">
        <v>16.5</v>
      </c>
      <c r="G924">
        <v>36</v>
      </c>
      <c r="H924" t="s">
        <v>19</v>
      </c>
      <c r="I924" t="s">
        <v>57</v>
      </c>
      <c r="J924" t="s">
        <v>37</v>
      </c>
      <c r="K924">
        <v>85798</v>
      </c>
      <c r="L924" t="s">
        <v>22</v>
      </c>
      <c r="M924">
        <v>0.13</v>
      </c>
      <c r="N924">
        <v>0.6</v>
      </c>
      <c r="O924">
        <v>45255.59</v>
      </c>
      <c r="P924">
        <v>0</v>
      </c>
      <c r="Q924">
        <f ca="1">DATEDIF(banking_loan_data[[#This Row],[Issue Date]],TODAY(),"M")</f>
        <v>35</v>
      </c>
      <c r="R924">
        <f t="shared" si="84"/>
        <v>19228.77</v>
      </c>
      <c r="S924">
        <f>+banking_loan_data[[#This Row],[Loan Amount]]+banking_loan_data[[#This Row],[Interest earned]]</f>
        <v>58074.770000000004</v>
      </c>
      <c r="T924" s="2">
        <f t="shared" si="85"/>
        <v>6409.5899999999965</v>
      </c>
      <c r="U924" s="2">
        <f t="shared" si="86"/>
        <v>0</v>
      </c>
      <c r="V924" s="2" t="str">
        <f>IF(banking_loan_data[[#This Row],[Loan Status]]="FULLY PAID","GOOD",IF(banking_loan_data[[#This Row],[Loan Status]]="CURRENT","ACTIVE","BAD"))</f>
        <v>GOOD</v>
      </c>
      <c r="W92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24" s="3">
        <f t="shared" si="87"/>
        <v>53413.250000001601</v>
      </c>
      <c r="Y924" s="4">
        <f t="shared" si="88"/>
        <v>0.1649999999999999</v>
      </c>
      <c r="Z924" s="2" t="str">
        <f t="shared" si="89"/>
        <v>Normal</v>
      </c>
    </row>
    <row r="925" spans="1:26" x14ac:dyDescent="0.3">
      <c r="A925" t="s">
        <v>1892</v>
      </c>
      <c r="B925" s="1">
        <v>45121</v>
      </c>
      <c r="C925" t="s">
        <v>1893</v>
      </c>
      <c r="D925" t="s">
        <v>65</v>
      </c>
      <c r="E925">
        <v>30794</v>
      </c>
      <c r="F925">
        <v>6.5</v>
      </c>
      <c r="G925">
        <v>36</v>
      </c>
      <c r="H925" t="s">
        <v>26</v>
      </c>
      <c r="I925" t="s">
        <v>36</v>
      </c>
      <c r="J925" t="s">
        <v>28</v>
      </c>
      <c r="K925">
        <v>34298</v>
      </c>
      <c r="L925" t="s">
        <v>33</v>
      </c>
      <c r="M925">
        <v>0.28000000000000003</v>
      </c>
      <c r="N925">
        <v>0.56000000000000005</v>
      </c>
      <c r="O925">
        <v>12202.69</v>
      </c>
      <c r="P925">
        <v>0</v>
      </c>
      <c r="Q925">
        <f ca="1">DATEDIF(banking_loan_data[[#This Row],[Issue Date]],TODAY(),"M")</f>
        <v>32</v>
      </c>
      <c r="R925">
        <f t="shared" si="84"/>
        <v>6004.829999999999</v>
      </c>
      <c r="S925">
        <f>+banking_loan_data[[#This Row],[Loan Amount]]+banking_loan_data[[#This Row],[Interest earned]]</f>
        <v>36798.83</v>
      </c>
      <c r="T925" s="2">
        <f t="shared" si="85"/>
        <v>-18591.309999999998</v>
      </c>
      <c r="U925" s="2">
        <f t="shared" si="86"/>
        <v>0</v>
      </c>
      <c r="V925" s="2" t="str">
        <f>IF(banking_loan_data[[#This Row],[Loan Status]]="FULLY PAID","GOOD",IF(banking_loan_data[[#This Row],[Loan Status]]="CURRENT","ACTIVE","BAD"))</f>
        <v>ACTIVE</v>
      </c>
      <c r="W92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25" s="3">
        <f t="shared" si="87"/>
        <v>16680.086181339499</v>
      </c>
      <c r="Y925" s="4">
        <f t="shared" si="88"/>
        <v>-0.60373157108527631</v>
      </c>
      <c r="Z925" s="2" t="str">
        <f t="shared" si="89"/>
        <v>Normal</v>
      </c>
    </row>
    <row r="926" spans="1:26" x14ac:dyDescent="0.3">
      <c r="A926" t="s">
        <v>1894</v>
      </c>
      <c r="B926" s="1">
        <v>44251</v>
      </c>
      <c r="C926" t="s">
        <v>1895</v>
      </c>
      <c r="D926" t="s">
        <v>18</v>
      </c>
      <c r="E926">
        <v>6448</v>
      </c>
      <c r="F926">
        <v>12.7</v>
      </c>
      <c r="G926">
        <v>36</v>
      </c>
      <c r="H926" t="s">
        <v>26</v>
      </c>
      <c r="I926" t="s">
        <v>27</v>
      </c>
      <c r="J926" t="s">
        <v>21</v>
      </c>
      <c r="K926">
        <v>100204</v>
      </c>
      <c r="L926" t="s">
        <v>33</v>
      </c>
      <c r="M926">
        <v>0.4</v>
      </c>
      <c r="N926">
        <v>0.9</v>
      </c>
      <c r="O926">
        <v>1032.68</v>
      </c>
      <c r="P926">
        <v>0</v>
      </c>
      <c r="Q926">
        <f ca="1">DATEDIF(banking_loan_data[[#This Row],[Issue Date]],TODAY(),"M")</f>
        <v>60</v>
      </c>
      <c r="R926">
        <f t="shared" si="84"/>
        <v>2456.6879999999996</v>
      </c>
      <c r="S926">
        <f>+banking_loan_data[[#This Row],[Loan Amount]]+banking_loan_data[[#This Row],[Interest earned]]</f>
        <v>8904.6880000000001</v>
      </c>
      <c r="T926" s="2">
        <f t="shared" si="85"/>
        <v>-5415.32</v>
      </c>
      <c r="U926" s="2">
        <f t="shared" si="86"/>
        <v>0</v>
      </c>
      <c r="V926" s="2" t="str">
        <f>IF(banking_loan_data[[#This Row],[Loan Status]]="FULLY PAID","GOOD",IF(banking_loan_data[[#This Row],[Loan Status]]="CURRENT","ACTIVE","BAD"))</f>
        <v>ACTIVE</v>
      </c>
      <c r="W92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926" s="3">
        <f t="shared" si="87"/>
        <v>6824.1333333686098</v>
      </c>
      <c r="Y926" s="4">
        <f t="shared" si="88"/>
        <v>-0.83984491315136467</v>
      </c>
      <c r="Z926" s="2" t="str">
        <f t="shared" si="89"/>
        <v>High Risk</v>
      </c>
    </row>
    <row r="927" spans="1:26" x14ac:dyDescent="0.3">
      <c r="A927" t="s">
        <v>1896</v>
      </c>
      <c r="B927" s="1">
        <v>44996</v>
      </c>
      <c r="C927" t="s">
        <v>1897</v>
      </c>
      <c r="D927" t="s">
        <v>72</v>
      </c>
      <c r="E927">
        <v>29861</v>
      </c>
      <c r="F927">
        <v>12.4</v>
      </c>
      <c r="G927">
        <v>60</v>
      </c>
      <c r="H927" t="s">
        <v>19</v>
      </c>
      <c r="I927" t="s">
        <v>27</v>
      </c>
      <c r="J927" t="s">
        <v>28</v>
      </c>
      <c r="K927">
        <v>116207</v>
      </c>
      <c r="L927" t="s">
        <v>33</v>
      </c>
      <c r="M927">
        <v>0.37</v>
      </c>
      <c r="N927">
        <v>0.62</v>
      </c>
      <c r="O927">
        <v>33563.760000000002</v>
      </c>
      <c r="P927">
        <v>0</v>
      </c>
      <c r="Q927">
        <f ca="1">DATEDIF(banking_loan_data[[#This Row],[Issue Date]],TODAY(),"M")</f>
        <v>36</v>
      </c>
      <c r="R927">
        <f t="shared" si="84"/>
        <v>18513.82</v>
      </c>
      <c r="S927">
        <f>+banking_loan_data[[#This Row],[Loan Amount]]+banking_loan_data[[#This Row],[Interest earned]]</f>
        <v>48374.82</v>
      </c>
      <c r="T927" s="2">
        <f t="shared" si="85"/>
        <v>3702.760000000002</v>
      </c>
      <c r="U927" s="2">
        <f t="shared" si="86"/>
        <v>0</v>
      </c>
      <c r="V927" s="2" t="str">
        <f>IF(banking_loan_data[[#This Row],[Loan Status]]="FULLY PAID","GOOD",IF(banking_loan_data[[#This Row],[Loan Status]]="CURRENT","ACTIVE","BAD"))</f>
        <v>GOOD</v>
      </c>
      <c r="W92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927" s="3">
        <f t="shared" si="87"/>
        <v>30856.366666666669</v>
      </c>
      <c r="Y927" s="4">
        <f t="shared" si="88"/>
        <v>0.12399986604601326</v>
      </c>
      <c r="Z927" s="2" t="str">
        <f t="shared" si="89"/>
        <v>Normal</v>
      </c>
    </row>
    <row r="928" spans="1:26" x14ac:dyDescent="0.3">
      <c r="A928" t="s">
        <v>1898</v>
      </c>
      <c r="B928" s="1">
        <v>44974</v>
      </c>
      <c r="C928" t="s">
        <v>1899</v>
      </c>
      <c r="D928" t="s">
        <v>56</v>
      </c>
      <c r="E928">
        <v>29141</v>
      </c>
      <c r="F928">
        <v>8.6</v>
      </c>
      <c r="G928">
        <v>60</v>
      </c>
      <c r="H928" t="s">
        <v>81</v>
      </c>
      <c r="I928" t="s">
        <v>84</v>
      </c>
      <c r="J928" t="s">
        <v>37</v>
      </c>
      <c r="K928">
        <v>130356</v>
      </c>
      <c r="L928" t="s">
        <v>29</v>
      </c>
      <c r="M928">
        <v>0.43</v>
      </c>
      <c r="N928">
        <v>0.6</v>
      </c>
      <c r="O928">
        <v>3346.38</v>
      </c>
      <c r="P928">
        <v>13855.54</v>
      </c>
      <c r="Q928">
        <f ca="1">DATEDIF(banking_loan_data[[#This Row],[Issue Date]],TODAY(),"M")</f>
        <v>37</v>
      </c>
      <c r="R928">
        <f t="shared" si="84"/>
        <v>12530.63</v>
      </c>
      <c r="S928">
        <f>+banking_loan_data[[#This Row],[Loan Amount]]+banking_loan_data[[#This Row],[Interest earned]]</f>
        <v>41671.629999999997</v>
      </c>
      <c r="T928" s="2">
        <f t="shared" si="85"/>
        <v>-11939.079999999998</v>
      </c>
      <c r="U928" s="2">
        <f t="shared" si="86"/>
        <v>1</v>
      </c>
      <c r="V928" s="2" t="str">
        <f>IF(banking_loan_data[[#This Row],[Loan Status]]="FULLY PAID","GOOD",IF(banking_loan_data[[#This Row],[Loan Status]]="CURRENT","ACTIVE","BAD"))</f>
        <v>BAD</v>
      </c>
      <c r="W92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28" s="3">
        <f t="shared" si="87"/>
        <v>20884.38333333351</v>
      </c>
      <c r="Y928" s="4">
        <f t="shared" si="88"/>
        <v>-0.40970042208572111</v>
      </c>
      <c r="Z928" s="2" t="str">
        <f t="shared" si="89"/>
        <v>High Risk</v>
      </c>
    </row>
    <row r="929" spans="1:26" x14ac:dyDescent="0.3">
      <c r="A929" t="s">
        <v>1900</v>
      </c>
      <c r="B929" s="1">
        <v>44358</v>
      </c>
      <c r="C929" t="s">
        <v>1901</v>
      </c>
      <c r="D929" t="s">
        <v>46</v>
      </c>
      <c r="E929">
        <v>10074</v>
      </c>
      <c r="F929">
        <v>13.7</v>
      </c>
      <c r="G929">
        <v>36</v>
      </c>
      <c r="H929" t="s">
        <v>26</v>
      </c>
      <c r="I929" t="s">
        <v>20</v>
      </c>
      <c r="J929" t="s">
        <v>21</v>
      </c>
      <c r="K929">
        <v>85161</v>
      </c>
      <c r="L929" t="s">
        <v>22</v>
      </c>
      <c r="M929">
        <v>0.45</v>
      </c>
      <c r="N929">
        <v>0.89</v>
      </c>
      <c r="O929">
        <v>4351.3500000000004</v>
      </c>
      <c r="P929">
        <v>0</v>
      </c>
      <c r="Q929">
        <f ca="1">DATEDIF(banking_loan_data[[#This Row],[Issue Date]],TODAY(),"M")</f>
        <v>57</v>
      </c>
      <c r="R929">
        <f t="shared" si="84"/>
        <v>4140.4139999999998</v>
      </c>
      <c r="S929">
        <f>+banking_loan_data[[#This Row],[Loan Amount]]+banking_loan_data[[#This Row],[Interest earned]]</f>
        <v>14214.414000000001</v>
      </c>
      <c r="T929" s="2">
        <f t="shared" si="85"/>
        <v>-5722.65</v>
      </c>
      <c r="U929" s="2">
        <f t="shared" si="86"/>
        <v>0</v>
      </c>
      <c r="V929" s="2" t="str">
        <f>IF(banking_loan_data[[#This Row],[Loan Status]]="FULLY PAID","GOOD",IF(banking_loan_data[[#This Row],[Loan Status]]="CURRENT","ACTIVE","BAD"))</f>
        <v>ACTIVE</v>
      </c>
      <c r="W92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29" s="3">
        <f t="shared" si="87"/>
        <v>11501.150000014244</v>
      </c>
      <c r="Y929" s="4">
        <f t="shared" si="88"/>
        <v>-0.56806134603930902</v>
      </c>
      <c r="Z929" s="2" t="str">
        <f t="shared" si="89"/>
        <v>High Risk</v>
      </c>
    </row>
    <row r="930" spans="1:26" x14ac:dyDescent="0.3">
      <c r="A930" t="s">
        <v>1902</v>
      </c>
      <c r="B930" s="1">
        <v>44283</v>
      </c>
      <c r="C930" t="s">
        <v>1903</v>
      </c>
      <c r="D930" t="s">
        <v>56</v>
      </c>
      <c r="E930">
        <v>7406</v>
      </c>
      <c r="F930">
        <v>11.6</v>
      </c>
      <c r="G930">
        <v>60</v>
      </c>
      <c r="H930" t="s">
        <v>19</v>
      </c>
      <c r="I930" t="s">
        <v>84</v>
      </c>
      <c r="J930" t="s">
        <v>28</v>
      </c>
      <c r="K930">
        <v>90652</v>
      </c>
      <c r="L930" t="s">
        <v>22</v>
      </c>
      <c r="M930">
        <v>0.41</v>
      </c>
      <c r="N930">
        <v>0.87</v>
      </c>
      <c r="O930">
        <v>8265.1</v>
      </c>
      <c r="P930">
        <v>0</v>
      </c>
      <c r="Q930">
        <f ca="1">DATEDIF(banking_loan_data[[#This Row],[Issue Date]],TODAY(),"M")</f>
        <v>59</v>
      </c>
      <c r="R930">
        <f t="shared" si="84"/>
        <v>4295.4799999999996</v>
      </c>
      <c r="S930">
        <f>+banking_loan_data[[#This Row],[Loan Amount]]+banking_loan_data[[#This Row],[Interest earned]]</f>
        <v>11701.48</v>
      </c>
      <c r="T930" s="2">
        <f t="shared" si="85"/>
        <v>859.10000000000036</v>
      </c>
      <c r="U930" s="2">
        <f t="shared" si="86"/>
        <v>0</v>
      </c>
      <c r="V930" s="2" t="str">
        <f>IF(banking_loan_data[[#This Row],[Loan Status]]="FULLY PAID","GOOD",IF(banking_loan_data[[#This Row],[Loan Status]]="CURRENT","ACTIVE","BAD"))</f>
        <v>GOOD</v>
      </c>
      <c r="W93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30" s="3">
        <f t="shared" si="87"/>
        <v>7159.1333333333332</v>
      </c>
      <c r="Y930" s="4">
        <f t="shared" si="88"/>
        <v>0.11600054010261955</v>
      </c>
      <c r="Z930" s="2" t="str">
        <f t="shared" si="89"/>
        <v>High Risk</v>
      </c>
    </row>
    <row r="931" spans="1:26" x14ac:dyDescent="0.3">
      <c r="A931" t="s">
        <v>1904</v>
      </c>
      <c r="B931" s="1">
        <v>44251</v>
      </c>
      <c r="C931" t="s">
        <v>1905</v>
      </c>
      <c r="D931" t="s">
        <v>65</v>
      </c>
      <c r="E931">
        <v>32823</v>
      </c>
      <c r="F931">
        <v>11.8</v>
      </c>
      <c r="G931">
        <v>36</v>
      </c>
      <c r="H931" t="s">
        <v>26</v>
      </c>
      <c r="I931" t="s">
        <v>73</v>
      </c>
      <c r="J931" t="s">
        <v>21</v>
      </c>
      <c r="K931">
        <v>64484</v>
      </c>
      <c r="L931" t="s">
        <v>22</v>
      </c>
      <c r="M931">
        <v>0.37</v>
      </c>
      <c r="N931">
        <v>0.7</v>
      </c>
      <c r="O931">
        <v>1788.26</v>
      </c>
      <c r="P931">
        <v>0</v>
      </c>
      <c r="Q931">
        <f ca="1">DATEDIF(banking_loan_data[[#This Row],[Issue Date]],TODAY(),"M")</f>
        <v>60</v>
      </c>
      <c r="R931">
        <f t="shared" si="84"/>
        <v>11619.341999999999</v>
      </c>
      <c r="S931">
        <f>+banking_loan_data[[#This Row],[Loan Amount]]+banking_loan_data[[#This Row],[Interest earned]]</f>
        <v>44442.341999999997</v>
      </c>
      <c r="T931" s="2">
        <f t="shared" si="85"/>
        <v>-31034.74</v>
      </c>
      <c r="U931" s="2">
        <f t="shared" si="86"/>
        <v>0</v>
      </c>
      <c r="V931" s="2" t="str">
        <f>IF(banking_loan_data[[#This Row],[Loan Status]]="FULLY PAID","GOOD",IF(banking_loan_data[[#This Row],[Loan Status]]="CURRENT","ACTIVE","BAD"))</f>
        <v>ACTIVE</v>
      </c>
      <c r="W93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31" s="3">
        <f t="shared" si="87"/>
        <v>32275.950000634795</v>
      </c>
      <c r="Y931" s="4">
        <f t="shared" si="88"/>
        <v>-0.94551808183286112</v>
      </c>
      <c r="Z931" s="2" t="str">
        <f t="shared" si="89"/>
        <v>Normal</v>
      </c>
    </row>
    <row r="932" spans="1:26" x14ac:dyDescent="0.3">
      <c r="A932" t="s">
        <v>1906</v>
      </c>
      <c r="B932" s="1">
        <v>45228</v>
      </c>
      <c r="C932" t="s">
        <v>1907</v>
      </c>
      <c r="D932" t="s">
        <v>25</v>
      </c>
      <c r="E932">
        <v>24291</v>
      </c>
      <c r="F932">
        <v>19.8</v>
      </c>
      <c r="G932">
        <v>36</v>
      </c>
      <c r="H932" t="s">
        <v>60</v>
      </c>
      <c r="I932" t="s">
        <v>57</v>
      </c>
      <c r="J932" t="s">
        <v>32</v>
      </c>
      <c r="K932">
        <v>128614</v>
      </c>
      <c r="L932" t="s">
        <v>33</v>
      </c>
      <c r="M932">
        <v>0.11</v>
      </c>
      <c r="N932">
        <v>0.72</v>
      </c>
      <c r="O932">
        <v>0</v>
      </c>
      <c r="P932">
        <v>0</v>
      </c>
      <c r="Q932">
        <f ca="1">DATEDIF(banking_loan_data[[#This Row],[Issue Date]],TODAY(),"M")</f>
        <v>28</v>
      </c>
      <c r="R932">
        <f t="shared" si="84"/>
        <v>14428.853999999999</v>
      </c>
      <c r="S932">
        <f>+banking_loan_data[[#This Row],[Loan Amount]]+banking_loan_data[[#This Row],[Interest earned]]</f>
        <v>38719.853999999999</v>
      </c>
      <c r="T932" s="2">
        <f t="shared" si="85"/>
        <v>-24291</v>
      </c>
      <c r="U932" s="2">
        <f t="shared" si="86"/>
        <v>0</v>
      </c>
      <c r="V932" s="2" t="str">
        <f>IF(banking_loan_data[[#This Row],[Loan Status]]="FULLY PAID","GOOD",IF(banking_loan_data[[#This Row],[Loan Status]]="CURRENT","ACTIVE","BAD"))</f>
        <v>BAD</v>
      </c>
      <c r="W93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32" s="3">
        <f t="shared" si="87"/>
        <v>40080.150000000031</v>
      </c>
      <c r="Y932" s="4">
        <f t="shared" si="88"/>
        <v>-1</v>
      </c>
      <c r="Z932" s="2" t="str">
        <f t="shared" si="89"/>
        <v>Normal</v>
      </c>
    </row>
    <row r="933" spans="1:26" x14ac:dyDescent="0.3">
      <c r="A933" t="s">
        <v>1908</v>
      </c>
      <c r="B933" s="1">
        <v>45029</v>
      </c>
      <c r="C933" t="s">
        <v>1909</v>
      </c>
      <c r="D933" t="s">
        <v>50</v>
      </c>
      <c r="E933">
        <v>33003</v>
      </c>
      <c r="F933">
        <v>9.5</v>
      </c>
      <c r="G933">
        <v>60</v>
      </c>
      <c r="H933" t="s">
        <v>19</v>
      </c>
      <c r="I933" t="s">
        <v>84</v>
      </c>
      <c r="J933" t="s">
        <v>32</v>
      </c>
      <c r="K933">
        <v>142695</v>
      </c>
      <c r="L933" t="s">
        <v>29</v>
      </c>
      <c r="M933">
        <v>0.31</v>
      </c>
      <c r="N933">
        <v>0.6</v>
      </c>
      <c r="O933">
        <v>36138.28</v>
      </c>
      <c r="P933">
        <v>0</v>
      </c>
      <c r="Q933">
        <f ca="1">DATEDIF(banking_loan_data[[#This Row],[Issue Date]],TODAY(),"M")</f>
        <v>35</v>
      </c>
      <c r="R933">
        <f t="shared" si="84"/>
        <v>15676.424999999997</v>
      </c>
      <c r="S933">
        <f>+banking_loan_data[[#This Row],[Loan Amount]]+banking_loan_data[[#This Row],[Interest earned]]</f>
        <v>48679.424999999996</v>
      </c>
      <c r="T933" s="2">
        <f t="shared" si="85"/>
        <v>3135.2799999999988</v>
      </c>
      <c r="U933" s="2">
        <f t="shared" si="86"/>
        <v>0</v>
      </c>
      <c r="V933" s="2" t="str">
        <f>IF(banking_loan_data[[#This Row],[Loan Status]]="FULLY PAID","GOOD",IF(banking_loan_data[[#This Row],[Loan Status]]="CURRENT","ACTIVE","BAD"))</f>
        <v>GOOD</v>
      </c>
      <c r="W93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33" s="3">
        <f t="shared" si="87"/>
        <v>26127.375000000015</v>
      </c>
      <c r="Y933" s="4">
        <f t="shared" si="88"/>
        <v>9.4999848498621309E-2</v>
      </c>
      <c r="Z933" s="2" t="str">
        <f t="shared" si="89"/>
        <v>Normal</v>
      </c>
    </row>
    <row r="934" spans="1:26" x14ac:dyDescent="0.3">
      <c r="A934" t="s">
        <v>1910</v>
      </c>
      <c r="B934" s="1">
        <v>44509</v>
      </c>
      <c r="C934" t="s">
        <v>1911</v>
      </c>
      <c r="D934" t="s">
        <v>76</v>
      </c>
      <c r="E934">
        <v>35406</v>
      </c>
      <c r="F934">
        <v>17.8</v>
      </c>
      <c r="G934">
        <v>60</v>
      </c>
      <c r="H934" t="s">
        <v>19</v>
      </c>
      <c r="I934" t="s">
        <v>84</v>
      </c>
      <c r="J934" t="s">
        <v>32</v>
      </c>
      <c r="K934">
        <v>50922</v>
      </c>
      <c r="L934" t="s">
        <v>22</v>
      </c>
      <c r="M934">
        <v>0.12</v>
      </c>
      <c r="N934">
        <v>0.54</v>
      </c>
      <c r="O934">
        <v>41708.269999999997</v>
      </c>
      <c r="P934">
        <v>0</v>
      </c>
      <c r="Q934">
        <f ca="1">DATEDIF(banking_loan_data[[#This Row],[Issue Date]],TODAY(),"M")</f>
        <v>52</v>
      </c>
      <c r="R934">
        <f t="shared" si="84"/>
        <v>31511.34</v>
      </c>
      <c r="S934">
        <f>+banking_loan_data[[#This Row],[Loan Amount]]+banking_loan_data[[#This Row],[Interest earned]]</f>
        <v>66917.34</v>
      </c>
      <c r="T934" s="2">
        <f t="shared" si="85"/>
        <v>6302.2699999999968</v>
      </c>
      <c r="U934" s="2">
        <f t="shared" si="86"/>
        <v>0</v>
      </c>
      <c r="V934" s="2" t="str">
        <f>IF(banking_loan_data[[#This Row],[Loan Status]]="FULLY PAID","GOOD",IF(banking_loan_data[[#This Row],[Loan Status]]="CURRENT","ACTIVE","BAD"))</f>
        <v>GOOD</v>
      </c>
      <c r="W93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34" s="3">
        <f t="shared" si="87"/>
        <v>52518.9</v>
      </c>
      <c r="Y934" s="4">
        <f t="shared" si="88"/>
        <v>0.17800005648760089</v>
      </c>
      <c r="Z934" s="2" t="str">
        <f t="shared" si="89"/>
        <v>Normal</v>
      </c>
    </row>
    <row r="935" spans="1:26" x14ac:dyDescent="0.3">
      <c r="A935" t="s">
        <v>1912</v>
      </c>
      <c r="B935" s="1">
        <v>44955</v>
      </c>
      <c r="C935" t="s">
        <v>1913</v>
      </c>
      <c r="D935" t="s">
        <v>18</v>
      </c>
      <c r="E935">
        <v>24312</v>
      </c>
      <c r="F935">
        <v>16.399999999999999</v>
      </c>
      <c r="G935">
        <v>36</v>
      </c>
      <c r="H935" t="s">
        <v>81</v>
      </c>
      <c r="I935" t="s">
        <v>84</v>
      </c>
      <c r="J935" t="s">
        <v>28</v>
      </c>
      <c r="K935">
        <v>64028</v>
      </c>
      <c r="L935" t="s">
        <v>33</v>
      </c>
      <c r="M935">
        <v>0.42</v>
      </c>
      <c r="N935">
        <v>0.76</v>
      </c>
      <c r="O935">
        <v>9266.1200000000008</v>
      </c>
      <c r="P935">
        <v>2516.62</v>
      </c>
      <c r="Q935">
        <f ca="1">DATEDIF(banking_loan_data[[#This Row],[Issue Date]],TODAY(),"M")</f>
        <v>37</v>
      </c>
      <c r="R935">
        <f t="shared" si="84"/>
        <v>11961.503999999999</v>
      </c>
      <c r="S935">
        <f>+banking_loan_data[[#This Row],[Loan Amount]]+banking_loan_data[[#This Row],[Interest earned]]</f>
        <v>36273.504000000001</v>
      </c>
      <c r="T935" s="2">
        <f t="shared" si="85"/>
        <v>-12529.259999999998</v>
      </c>
      <c r="U935" s="2">
        <f t="shared" si="86"/>
        <v>1</v>
      </c>
      <c r="V935" s="2" t="str">
        <f>IF(banking_loan_data[[#This Row],[Loan Status]]="FULLY PAID","GOOD",IF(banking_loan_data[[#This Row],[Loan Status]]="CURRENT","ACTIVE","BAD"))</f>
        <v>BAD</v>
      </c>
      <c r="W93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35" s="3">
        <f t="shared" si="87"/>
        <v>33226.400000001122</v>
      </c>
      <c r="Y935" s="4">
        <f t="shared" si="88"/>
        <v>-0.51535291214215195</v>
      </c>
      <c r="Z935" s="2" t="str">
        <f t="shared" si="89"/>
        <v>High Risk</v>
      </c>
    </row>
    <row r="936" spans="1:26" x14ac:dyDescent="0.3">
      <c r="A936" t="s">
        <v>1914</v>
      </c>
      <c r="B936" s="1">
        <v>44639</v>
      </c>
      <c r="C936" t="s">
        <v>1915</v>
      </c>
      <c r="D936" t="s">
        <v>25</v>
      </c>
      <c r="E936">
        <v>2382</v>
      </c>
      <c r="F936">
        <v>16.399999999999999</v>
      </c>
      <c r="G936">
        <v>36</v>
      </c>
      <c r="H936" t="s">
        <v>26</v>
      </c>
      <c r="I936" t="s">
        <v>20</v>
      </c>
      <c r="J936" t="s">
        <v>37</v>
      </c>
      <c r="K936">
        <v>141461</v>
      </c>
      <c r="L936" t="s">
        <v>29</v>
      </c>
      <c r="M936">
        <v>0.23</v>
      </c>
      <c r="N936">
        <v>0.54</v>
      </c>
      <c r="O936">
        <v>791.85</v>
      </c>
      <c r="P936">
        <v>0</v>
      </c>
      <c r="Q936">
        <f ca="1">DATEDIF(banking_loan_data[[#This Row],[Issue Date]],TODAY(),"M")</f>
        <v>48</v>
      </c>
      <c r="R936">
        <f t="shared" si="84"/>
        <v>1171.944</v>
      </c>
      <c r="S936">
        <f>+banking_loan_data[[#This Row],[Loan Amount]]+banking_loan_data[[#This Row],[Interest earned]]</f>
        <v>3553.944</v>
      </c>
      <c r="T936" s="2">
        <f t="shared" si="85"/>
        <v>-1590.15</v>
      </c>
      <c r="U936" s="2">
        <f t="shared" si="86"/>
        <v>0</v>
      </c>
      <c r="V936" s="2" t="str">
        <f>IF(banking_loan_data[[#This Row],[Loan Status]]="FULLY PAID","GOOD",IF(banking_loan_data[[#This Row],[Loan Status]]="CURRENT","ACTIVE","BAD"))</f>
        <v>ACTIVE</v>
      </c>
      <c r="W93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36" s="3">
        <f t="shared" si="87"/>
        <v>3255.4000000001101</v>
      </c>
      <c r="Y936" s="4">
        <f t="shared" si="88"/>
        <v>-0.6675692695214106</v>
      </c>
      <c r="Z936" s="2" t="str">
        <f t="shared" si="89"/>
        <v>Normal</v>
      </c>
    </row>
    <row r="937" spans="1:26" x14ac:dyDescent="0.3">
      <c r="A937" t="s">
        <v>1916</v>
      </c>
      <c r="B937" s="1">
        <v>44524</v>
      </c>
      <c r="C937" t="s">
        <v>1917</v>
      </c>
      <c r="D937" t="s">
        <v>56</v>
      </c>
      <c r="E937">
        <v>35171</v>
      </c>
      <c r="F937">
        <v>18.3</v>
      </c>
      <c r="G937">
        <v>60</v>
      </c>
      <c r="H937" t="s">
        <v>19</v>
      </c>
      <c r="I937" t="s">
        <v>41</v>
      </c>
      <c r="J937" t="s">
        <v>21</v>
      </c>
      <c r="K937">
        <v>50316</v>
      </c>
      <c r="L937" t="s">
        <v>29</v>
      </c>
      <c r="M937">
        <v>0.32</v>
      </c>
      <c r="N937">
        <v>0.7</v>
      </c>
      <c r="O937">
        <v>41607.29</v>
      </c>
      <c r="P937">
        <v>0</v>
      </c>
      <c r="Q937">
        <f ca="1">DATEDIF(banking_loan_data[[#This Row],[Issue Date]],TODAY(),"M")</f>
        <v>51</v>
      </c>
      <c r="R937">
        <f t="shared" si="84"/>
        <v>32181.465</v>
      </c>
      <c r="S937">
        <f>+banking_loan_data[[#This Row],[Loan Amount]]+banking_loan_data[[#This Row],[Interest earned]]</f>
        <v>67352.464999999997</v>
      </c>
      <c r="T937" s="2">
        <f t="shared" si="85"/>
        <v>6436.2900000000009</v>
      </c>
      <c r="U937" s="2">
        <f t="shared" si="86"/>
        <v>0</v>
      </c>
      <c r="V937" s="2" t="str">
        <f>IF(banking_loan_data[[#This Row],[Loan Status]]="FULLY PAID","GOOD",IF(banking_loan_data[[#This Row],[Loan Status]]="CURRENT","ACTIVE","BAD"))</f>
        <v>GOOD</v>
      </c>
      <c r="W93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37" s="3">
        <f t="shared" si="87"/>
        <v>53635.775000000001</v>
      </c>
      <c r="Y937" s="4">
        <f t="shared" si="88"/>
        <v>0.18299991470245375</v>
      </c>
      <c r="Z937" s="2" t="str">
        <f t="shared" si="89"/>
        <v>Normal</v>
      </c>
    </row>
    <row r="938" spans="1:26" x14ac:dyDescent="0.3">
      <c r="A938" t="s">
        <v>1918</v>
      </c>
      <c r="B938" s="1">
        <v>45274</v>
      </c>
      <c r="C938" t="s">
        <v>1919</v>
      </c>
      <c r="D938" t="s">
        <v>72</v>
      </c>
      <c r="E938">
        <v>4292</v>
      </c>
      <c r="F938">
        <v>16</v>
      </c>
      <c r="G938">
        <v>36</v>
      </c>
      <c r="H938" t="s">
        <v>26</v>
      </c>
      <c r="I938" t="s">
        <v>36</v>
      </c>
      <c r="J938" t="s">
        <v>47</v>
      </c>
      <c r="K938">
        <v>106996</v>
      </c>
      <c r="L938" t="s">
        <v>22</v>
      </c>
      <c r="M938">
        <v>0.21</v>
      </c>
      <c r="N938">
        <v>0.92</v>
      </c>
      <c r="O938">
        <v>836.21</v>
      </c>
      <c r="P938">
        <v>0</v>
      </c>
      <c r="Q938">
        <f ca="1">DATEDIF(banking_loan_data[[#This Row],[Issue Date]],TODAY(),"M")</f>
        <v>27</v>
      </c>
      <c r="R938">
        <f t="shared" si="84"/>
        <v>2060.1600000000003</v>
      </c>
      <c r="S938">
        <f>+banking_loan_data[[#This Row],[Loan Amount]]+banking_loan_data[[#This Row],[Interest earned]]</f>
        <v>6352.16</v>
      </c>
      <c r="T938" s="2">
        <f t="shared" si="85"/>
        <v>-3455.79</v>
      </c>
      <c r="U938" s="2">
        <f t="shared" si="86"/>
        <v>0</v>
      </c>
      <c r="V938" s="2" t="str">
        <f>IF(banking_loan_data[[#This Row],[Loan Status]]="FULLY PAID","GOOD",IF(banking_loan_data[[#This Row],[Loan Status]]="CURRENT","ACTIVE","BAD"))</f>
        <v>ACTIVE</v>
      </c>
      <c r="W93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38" s="3">
        <f t="shared" si="87"/>
        <v>5722.6666666669898</v>
      </c>
      <c r="Y938" s="4">
        <f t="shared" si="88"/>
        <v>-0.80517008387698041</v>
      </c>
      <c r="Z938" s="2" t="str">
        <f t="shared" si="89"/>
        <v>High Risk</v>
      </c>
    </row>
    <row r="939" spans="1:26" x14ac:dyDescent="0.3">
      <c r="A939" t="s">
        <v>1920</v>
      </c>
      <c r="B939" s="1">
        <v>44957</v>
      </c>
      <c r="C939" t="s">
        <v>1921</v>
      </c>
      <c r="D939" t="s">
        <v>72</v>
      </c>
      <c r="E939">
        <v>34187</v>
      </c>
      <c r="F939">
        <v>22.6</v>
      </c>
      <c r="G939">
        <v>60</v>
      </c>
      <c r="H939" t="s">
        <v>19</v>
      </c>
      <c r="I939" t="s">
        <v>57</v>
      </c>
      <c r="J939" t="s">
        <v>32</v>
      </c>
      <c r="K939">
        <v>46968</v>
      </c>
      <c r="L939" t="s">
        <v>22</v>
      </c>
      <c r="M939">
        <v>0.41</v>
      </c>
      <c r="N939">
        <v>0.93</v>
      </c>
      <c r="O939">
        <v>41913.26</v>
      </c>
      <c r="P939">
        <v>0</v>
      </c>
      <c r="Q939">
        <f ca="1">DATEDIF(banking_loan_data[[#This Row],[Issue Date]],TODAY(),"M")</f>
        <v>37</v>
      </c>
      <c r="R939">
        <f t="shared" si="84"/>
        <v>38631.310000000005</v>
      </c>
      <c r="S939">
        <f>+banking_loan_data[[#This Row],[Loan Amount]]+banking_loan_data[[#This Row],[Interest earned]]</f>
        <v>72818.31</v>
      </c>
      <c r="T939" s="2">
        <f t="shared" si="85"/>
        <v>7726.260000000002</v>
      </c>
      <c r="U939" s="2">
        <f t="shared" si="86"/>
        <v>0</v>
      </c>
      <c r="V939" s="2" t="str">
        <f>IF(banking_loan_data[[#This Row],[Loan Status]]="FULLY PAID","GOOD",IF(banking_loan_data[[#This Row],[Loan Status]]="CURRENT","ACTIVE","BAD"))</f>
        <v>GOOD</v>
      </c>
      <c r="W93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39" s="3">
        <f t="shared" si="87"/>
        <v>64385.51666666667</v>
      </c>
      <c r="Y939" s="4">
        <f t="shared" si="88"/>
        <v>0.22599994149823038</v>
      </c>
      <c r="Z939" s="2" t="str">
        <f t="shared" si="89"/>
        <v>High Risk</v>
      </c>
    </row>
    <row r="940" spans="1:26" x14ac:dyDescent="0.3">
      <c r="A940" t="s">
        <v>1922</v>
      </c>
      <c r="B940" s="1">
        <v>44775</v>
      </c>
      <c r="C940" t="s">
        <v>1923</v>
      </c>
      <c r="D940" t="s">
        <v>25</v>
      </c>
      <c r="E940">
        <v>13411</v>
      </c>
      <c r="F940">
        <v>18.5</v>
      </c>
      <c r="G940">
        <v>36</v>
      </c>
      <c r="H940" t="s">
        <v>81</v>
      </c>
      <c r="I940" t="s">
        <v>20</v>
      </c>
      <c r="J940" t="s">
        <v>32</v>
      </c>
      <c r="K940">
        <v>60266</v>
      </c>
      <c r="L940" t="s">
        <v>33</v>
      </c>
      <c r="M940">
        <v>0.45</v>
      </c>
      <c r="N940">
        <v>0.61</v>
      </c>
      <c r="O940">
        <v>2332.75</v>
      </c>
      <c r="P940">
        <v>2064.9299999999998</v>
      </c>
      <c r="Q940">
        <f ca="1">DATEDIF(banking_loan_data[[#This Row],[Issue Date]],TODAY(),"M")</f>
        <v>43</v>
      </c>
      <c r="R940">
        <f t="shared" si="84"/>
        <v>7443.1049999999996</v>
      </c>
      <c r="S940">
        <f>+banking_loan_data[[#This Row],[Loan Amount]]+banking_loan_data[[#This Row],[Interest earned]]</f>
        <v>20854.105</v>
      </c>
      <c r="T940" s="2">
        <f t="shared" si="85"/>
        <v>-9013.32</v>
      </c>
      <c r="U940" s="2">
        <f t="shared" si="86"/>
        <v>1</v>
      </c>
      <c r="V940" s="2" t="str">
        <f>IF(banking_loan_data[[#This Row],[Loan Status]]="FULLY PAID","GOOD",IF(banking_loan_data[[#This Row],[Loan Status]]="CURRENT","ACTIVE","BAD"))</f>
        <v>BAD</v>
      </c>
      <c r="W94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40" s="3">
        <f t="shared" si="87"/>
        <v>20675.291666666722</v>
      </c>
      <c r="Y940" s="4">
        <f t="shared" si="88"/>
        <v>-0.67208411005890689</v>
      </c>
      <c r="Z940" s="2" t="str">
        <f t="shared" si="89"/>
        <v>High Risk</v>
      </c>
    </row>
    <row r="941" spans="1:26" x14ac:dyDescent="0.3">
      <c r="A941" t="s">
        <v>1924</v>
      </c>
      <c r="B941" s="1">
        <v>45271</v>
      </c>
      <c r="C941" t="s">
        <v>1925</v>
      </c>
      <c r="D941" t="s">
        <v>72</v>
      </c>
      <c r="E941">
        <v>38285</v>
      </c>
      <c r="F941">
        <v>15.9</v>
      </c>
      <c r="G941">
        <v>60</v>
      </c>
      <c r="H941" t="s">
        <v>19</v>
      </c>
      <c r="I941" t="s">
        <v>20</v>
      </c>
      <c r="J941" t="s">
        <v>47</v>
      </c>
      <c r="K941">
        <v>125745</v>
      </c>
      <c r="L941" t="s">
        <v>22</v>
      </c>
      <c r="M941">
        <v>0.26</v>
      </c>
      <c r="N941">
        <v>0.78</v>
      </c>
      <c r="O941">
        <v>44372.32</v>
      </c>
      <c r="P941">
        <v>0</v>
      </c>
      <c r="Q941">
        <f ca="1">DATEDIF(banking_loan_data[[#This Row],[Issue Date]],TODAY(),"M")</f>
        <v>27</v>
      </c>
      <c r="R941">
        <f t="shared" si="84"/>
        <v>30436.574999999997</v>
      </c>
      <c r="S941">
        <f>+banking_loan_data[[#This Row],[Loan Amount]]+banking_loan_data[[#This Row],[Interest earned]]</f>
        <v>68721.574999999997</v>
      </c>
      <c r="T941" s="2">
        <f t="shared" si="85"/>
        <v>6087.32</v>
      </c>
      <c r="U941" s="2">
        <f t="shared" si="86"/>
        <v>0</v>
      </c>
      <c r="V941" s="2" t="str">
        <f>IF(banking_loan_data[[#This Row],[Loan Status]]="FULLY PAID","GOOD",IF(banking_loan_data[[#This Row],[Loan Status]]="CURRENT","ACTIVE","BAD"))</f>
        <v>GOOD</v>
      </c>
      <c r="W94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41" s="3">
        <f t="shared" si="87"/>
        <v>50727.625</v>
      </c>
      <c r="Y941" s="4">
        <f t="shared" si="88"/>
        <v>0.15900013059945148</v>
      </c>
      <c r="Z941" s="2" t="str">
        <f t="shared" si="89"/>
        <v>Normal</v>
      </c>
    </row>
    <row r="942" spans="1:26" x14ac:dyDescent="0.3">
      <c r="A942" t="s">
        <v>1926</v>
      </c>
      <c r="B942" s="1">
        <v>45203</v>
      </c>
      <c r="C942" t="s">
        <v>1927</v>
      </c>
      <c r="D942" t="s">
        <v>56</v>
      </c>
      <c r="E942">
        <v>16422</v>
      </c>
      <c r="F942">
        <v>21.6</v>
      </c>
      <c r="G942">
        <v>36</v>
      </c>
      <c r="H942" t="s">
        <v>19</v>
      </c>
      <c r="I942" t="s">
        <v>41</v>
      </c>
      <c r="J942" t="s">
        <v>47</v>
      </c>
      <c r="K942">
        <v>54000</v>
      </c>
      <c r="L942" t="s">
        <v>33</v>
      </c>
      <c r="M942">
        <v>0.45</v>
      </c>
      <c r="N942">
        <v>0.71</v>
      </c>
      <c r="O942">
        <v>19969.150000000001</v>
      </c>
      <c r="P942">
        <v>0</v>
      </c>
      <c r="Q942">
        <f ca="1">DATEDIF(banking_loan_data[[#This Row],[Issue Date]],TODAY(),"M")</f>
        <v>29</v>
      </c>
      <c r="R942">
        <f t="shared" si="84"/>
        <v>10641.456</v>
      </c>
      <c r="S942">
        <f>+banking_loan_data[[#This Row],[Loan Amount]]+banking_loan_data[[#This Row],[Interest earned]]</f>
        <v>27063.455999999998</v>
      </c>
      <c r="T942" s="2">
        <f t="shared" si="85"/>
        <v>3547.1500000000015</v>
      </c>
      <c r="U942" s="2">
        <f t="shared" si="86"/>
        <v>0</v>
      </c>
      <c r="V942" s="2" t="str">
        <f>IF(banking_loan_data[[#This Row],[Loan Status]]="FULLY PAID","GOOD",IF(banking_loan_data[[#This Row],[Loan Status]]="CURRENT","ACTIVE","BAD"))</f>
        <v>GOOD</v>
      </c>
      <c r="W94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42" s="3">
        <f t="shared" si="87"/>
        <v>29559.600000000006</v>
      </c>
      <c r="Y942" s="4">
        <f t="shared" si="88"/>
        <v>0.21599987821215452</v>
      </c>
      <c r="Z942" s="2" t="str">
        <f t="shared" si="89"/>
        <v>High Risk</v>
      </c>
    </row>
    <row r="943" spans="1:26" x14ac:dyDescent="0.3">
      <c r="A943" t="s">
        <v>1928</v>
      </c>
      <c r="B943" s="1">
        <v>44292</v>
      </c>
      <c r="C943" t="s">
        <v>1929</v>
      </c>
      <c r="D943" t="s">
        <v>25</v>
      </c>
      <c r="E943">
        <v>33371</v>
      </c>
      <c r="F943">
        <v>17.100000000000001</v>
      </c>
      <c r="G943">
        <v>36</v>
      </c>
      <c r="H943" t="s">
        <v>26</v>
      </c>
      <c r="I943" t="s">
        <v>73</v>
      </c>
      <c r="J943" t="s">
        <v>28</v>
      </c>
      <c r="K943">
        <v>44011</v>
      </c>
      <c r="L943" t="s">
        <v>29</v>
      </c>
      <c r="M943">
        <v>0.21</v>
      </c>
      <c r="N943">
        <v>0.89</v>
      </c>
      <c r="O943">
        <v>1803.79</v>
      </c>
      <c r="P943">
        <v>0</v>
      </c>
      <c r="Q943">
        <f ca="1">DATEDIF(banking_loan_data[[#This Row],[Issue Date]],TODAY(),"M")</f>
        <v>59</v>
      </c>
      <c r="R943">
        <f t="shared" si="84"/>
        <v>17119.323</v>
      </c>
      <c r="S943">
        <f>+banking_loan_data[[#This Row],[Loan Amount]]+banking_loan_data[[#This Row],[Interest earned]]</f>
        <v>50490.323000000004</v>
      </c>
      <c r="T943" s="2">
        <f t="shared" si="85"/>
        <v>-31567.21</v>
      </c>
      <c r="U943" s="2">
        <f t="shared" si="86"/>
        <v>0</v>
      </c>
      <c r="V943" s="2" t="str">
        <f>IF(banking_loan_data[[#This Row],[Loan Status]]="FULLY PAID","GOOD",IF(banking_loan_data[[#This Row],[Loan Status]]="CURRENT","ACTIVE","BAD"))</f>
        <v>ACTIVE</v>
      </c>
      <c r="W94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43" s="3">
        <f t="shared" si="87"/>
        <v>47553.675000000672</v>
      </c>
      <c r="Y943" s="4">
        <f t="shared" si="88"/>
        <v>-0.94594737946120877</v>
      </c>
      <c r="Z943" s="2" t="str">
        <f t="shared" si="89"/>
        <v>High Risk</v>
      </c>
    </row>
    <row r="944" spans="1:26" x14ac:dyDescent="0.3">
      <c r="A944" t="s">
        <v>1930</v>
      </c>
      <c r="B944" s="1">
        <v>45010</v>
      </c>
      <c r="C944" t="s">
        <v>1931</v>
      </c>
      <c r="D944" t="s">
        <v>56</v>
      </c>
      <c r="E944">
        <v>6693</v>
      </c>
      <c r="F944">
        <v>10.8</v>
      </c>
      <c r="G944">
        <v>60</v>
      </c>
      <c r="H944" t="s">
        <v>19</v>
      </c>
      <c r="I944" t="s">
        <v>57</v>
      </c>
      <c r="J944" t="s">
        <v>21</v>
      </c>
      <c r="K944">
        <v>32866</v>
      </c>
      <c r="L944" t="s">
        <v>29</v>
      </c>
      <c r="M944">
        <v>0.31</v>
      </c>
      <c r="N944">
        <v>0.62</v>
      </c>
      <c r="O944">
        <v>7415.84</v>
      </c>
      <c r="P944">
        <v>0</v>
      </c>
      <c r="Q944">
        <f ca="1">DATEDIF(banking_loan_data[[#This Row],[Issue Date]],TODAY(),"M")</f>
        <v>35</v>
      </c>
      <c r="R944">
        <f t="shared" si="84"/>
        <v>3614.22</v>
      </c>
      <c r="S944">
        <f>+banking_loan_data[[#This Row],[Loan Amount]]+banking_loan_data[[#This Row],[Interest earned]]</f>
        <v>10307.219999999999</v>
      </c>
      <c r="T944" s="2">
        <f t="shared" si="85"/>
        <v>722.84000000000015</v>
      </c>
      <c r="U944" s="2">
        <f t="shared" si="86"/>
        <v>0</v>
      </c>
      <c r="V944" s="2" t="str">
        <f>IF(banking_loan_data[[#This Row],[Loan Status]]="FULLY PAID","GOOD",IF(banking_loan_data[[#This Row],[Loan Status]]="CURRENT","ACTIVE","BAD"))</f>
        <v>GOOD</v>
      </c>
      <c r="W94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44" s="3">
        <f t="shared" si="87"/>
        <v>6023.7</v>
      </c>
      <c r="Y944" s="4">
        <f t="shared" si="88"/>
        <v>0.10799940236067536</v>
      </c>
      <c r="Z944" s="2" t="str">
        <f t="shared" si="89"/>
        <v>Normal</v>
      </c>
    </row>
    <row r="945" spans="1:26" x14ac:dyDescent="0.3">
      <c r="A945" t="s">
        <v>1932</v>
      </c>
      <c r="B945" s="1">
        <v>44687</v>
      </c>
      <c r="C945" t="s">
        <v>1933</v>
      </c>
      <c r="D945" t="s">
        <v>18</v>
      </c>
      <c r="E945">
        <v>34535</v>
      </c>
      <c r="F945">
        <v>9.1</v>
      </c>
      <c r="G945">
        <v>36</v>
      </c>
      <c r="H945" t="s">
        <v>19</v>
      </c>
      <c r="I945" t="s">
        <v>57</v>
      </c>
      <c r="J945" t="s">
        <v>32</v>
      </c>
      <c r="K945">
        <v>142669</v>
      </c>
      <c r="L945" t="s">
        <v>29</v>
      </c>
      <c r="M945">
        <v>0.44</v>
      </c>
      <c r="N945">
        <v>0.5</v>
      </c>
      <c r="O945">
        <v>37677.68</v>
      </c>
      <c r="P945">
        <v>0</v>
      </c>
      <c r="Q945">
        <f ca="1">DATEDIF(banking_loan_data[[#This Row],[Issue Date]],TODAY(),"M")</f>
        <v>46</v>
      </c>
      <c r="R945">
        <f t="shared" si="84"/>
        <v>9428.0550000000003</v>
      </c>
      <c r="S945">
        <f>+banking_loan_data[[#This Row],[Loan Amount]]+banking_loan_data[[#This Row],[Interest earned]]</f>
        <v>43963.055</v>
      </c>
      <c r="T945" s="2">
        <f t="shared" si="85"/>
        <v>3142.6800000000003</v>
      </c>
      <c r="U945" s="2">
        <f t="shared" si="86"/>
        <v>0</v>
      </c>
      <c r="V945" s="2" t="str">
        <f>IF(banking_loan_data[[#This Row],[Loan Status]]="FULLY PAID","GOOD",IF(banking_loan_data[[#This Row],[Loan Status]]="CURRENT","ACTIVE","BAD"))</f>
        <v>GOOD</v>
      </c>
      <c r="W94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45" s="3">
        <f t="shared" si="87"/>
        <v>26189.041705974221</v>
      </c>
      <c r="Y945" s="4">
        <f t="shared" si="88"/>
        <v>9.0999855219342701E-2</v>
      </c>
      <c r="Z945" s="2" t="str">
        <f t="shared" si="89"/>
        <v>High Risk</v>
      </c>
    </row>
    <row r="946" spans="1:26" x14ac:dyDescent="0.3">
      <c r="A946" t="s">
        <v>1934</v>
      </c>
      <c r="B946" s="1">
        <v>44648</v>
      </c>
      <c r="C946" t="s">
        <v>1935</v>
      </c>
      <c r="D946" t="s">
        <v>50</v>
      </c>
      <c r="E946">
        <v>15818</v>
      </c>
      <c r="F946">
        <v>8</v>
      </c>
      <c r="G946">
        <v>36</v>
      </c>
      <c r="H946" t="s">
        <v>26</v>
      </c>
      <c r="I946" t="s">
        <v>57</v>
      </c>
      <c r="J946" t="s">
        <v>37</v>
      </c>
      <c r="K946">
        <v>35898</v>
      </c>
      <c r="L946" t="s">
        <v>29</v>
      </c>
      <c r="M946">
        <v>0.23</v>
      </c>
      <c r="N946">
        <v>0.56999999999999995</v>
      </c>
      <c r="O946">
        <v>2467.0100000000002</v>
      </c>
      <c r="P946">
        <v>0</v>
      </c>
      <c r="Q946">
        <f ca="1">DATEDIF(banking_loan_data[[#This Row],[Issue Date]],TODAY(),"M")</f>
        <v>47</v>
      </c>
      <c r="R946">
        <f t="shared" si="84"/>
        <v>3796.32</v>
      </c>
      <c r="S946">
        <f>+banking_loan_data[[#This Row],[Loan Amount]]+banking_loan_data[[#This Row],[Interest earned]]</f>
        <v>19614.32</v>
      </c>
      <c r="T946" s="2">
        <f t="shared" si="85"/>
        <v>-13350.99</v>
      </c>
      <c r="U946" s="2">
        <f t="shared" si="86"/>
        <v>0</v>
      </c>
      <c r="V946" s="2" t="str">
        <f>IF(banking_loan_data[[#This Row],[Loan Status]]="FULLY PAID","GOOD",IF(banking_loan_data[[#This Row],[Loan Status]]="CURRENT","ACTIVE","BAD"))</f>
        <v>ACTIVE</v>
      </c>
      <c r="W94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46" s="3">
        <f t="shared" si="87"/>
        <v>10545.333442102381</v>
      </c>
      <c r="Y946" s="4">
        <f t="shared" si="88"/>
        <v>-0.84403780503224168</v>
      </c>
      <c r="Z946" s="2" t="str">
        <f t="shared" si="89"/>
        <v>Normal</v>
      </c>
    </row>
    <row r="947" spans="1:26" x14ac:dyDescent="0.3">
      <c r="A947" t="s">
        <v>1936</v>
      </c>
      <c r="B947" s="1">
        <v>44361</v>
      </c>
      <c r="C947" t="s">
        <v>1937</v>
      </c>
      <c r="D947" t="s">
        <v>46</v>
      </c>
      <c r="E947">
        <v>32238</v>
      </c>
      <c r="F947">
        <v>23</v>
      </c>
      <c r="G947">
        <v>60</v>
      </c>
      <c r="H947" t="s">
        <v>26</v>
      </c>
      <c r="I947" t="s">
        <v>27</v>
      </c>
      <c r="J947" t="s">
        <v>28</v>
      </c>
      <c r="K947">
        <v>48395</v>
      </c>
      <c r="L947" t="s">
        <v>22</v>
      </c>
      <c r="M947">
        <v>0.48</v>
      </c>
      <c r="N947">
        <v>0.66</v>
      </c>
      <c r="O947">
        <v>3609.94</v>
      </c>
      <c r="P947">
        <v>0</v>
      </c>
      <c r="Q947">
        <f ca="1">DATEDIF(banking_loan_data[[#This Row],[Issue Date]],TODAY(),"M")</f>
        <v>57</v>
      </c>
      <c r="R947">
        <f t="shared" si="84"/>
        <v>37073.699999999997</v>
      </c>
      <c r="S947">
        <f>+banking_loan_data[[#This Row],[Loan Amount]]+banking_loan_data[[#This Row],[Interest earned]]</f>
        <v>69311.7</v>
      </c>
      <c r="T947" s="2">
        <f t="shared" si="85"/>
        <v>-28628.06</v>
      </c>
      <c r="U947" s="2">
        <f t="shared" si="86"/>
        <v>0</v>
      </c>
      <c r="V947" s="2" t="str">
        <f>IF(banking_loan_data[[#This Row],[Loan Status]]="FULLY PAID","GOOD",IF(banking_loan_data[[#This Row],[Loan Status]]="CURRENT","ACTIVE","BAD"))</f>
        <v>ACTIVE</v>
      </c>
      <c r="W94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947" s="3">
        <f t="shared" si="87"/>
        <v>61789.5</v>
      </c>
      <c r="Y947" s="4">
        <f t="shared" si="88"/>
        <v>-0.88802220981450464</v>
      </c>
      <c r="Z947" s="2" t="str">
        <f t="shared" si="89"/>
        <v>High Risk</v>
      </c>
    </row>
    <row r="948" spans="1:26" x14ac:dyDescent="0.3">
      <c r="A948" t="s">
        <v>1938</v>
      </c>
      <c r="B948" s="1">
        <v>44378</v>
      </c>
      <c r="C948" t="s">
        <v>1939</v>
      </c>
      <c r="D948" t="s">
        <v>18</v>
      </c>
      <c r="E948">
        <v>31874</v>
      </c>
      <c r="F948">
        <v>19.2</v>
      </c>
      <c r="G948">
        <v>36</v>
      </c>
      <c r="H948" t="s">
        <v>19</v>
      </c>
      <c r="I948" t="s">
        <v>57</v>
      </c>
      <c r="J948" t="s">
        <v>28</v>
      </c>
      <c r="K948">
        <v>69019</v>
      </c>
      <c r="L948" t="s">
        <v>22</v>
      </c>
      <c r="M948">
        <v>0.15</v>
      </c>
      <c r="N948">
        <v>0.64</v>
      </c>
      <c r="O948">
        <v>37993.81</v>
      </c>
      <c r="P948">
        <v>0</v>
      </c>
      <c r="Q948">
        <f ca="1">DATEDIF(banking_loan_data[[#This Row],[Issue Date]],TODAY(),"M")</f>
        <v>56</v>
      </c>
      <c r="R948">
        <f t="shared" si="84"/>
        <v>18359.423999999995</v>
      </c>
      <c r="S948">
        <f>+banking_loan_data[[#This Row],[Loan Amount]]+banking_loan_data[[#This Row],[Interest earned]]</f>
        <v>50233.423999999999</v>
      </c>
      <c r="T948" s="2">
        <f t="shared" si="85"/>
        <v>6119.8099999999977</v>
      </c>
      <c r="U948" s="2">
        <f t="shared" si="86"/>
        <v>0</v>
      </c>
      <c r="V948" s="2" t="str">
        <f>IF(banking_loan_data[[#This Row],[Loan Status]]="FULLY PAID","GOOD",IF(banking_loan_data[[#This Row],[Loan Status]]="CURRENT","ACTIVE","BAD"))</f>
        <v>GOOD</v>
      </c>
      <c r="W94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48" s="3">
        <f t="shared" si="87"/>
        <v>50998.400000000052</v>
      </c>
      <c r="Y948" s="4">
        <f t="shared" si="88"/>
        <v>0.19200006274706649</v>
      </c>
      <c r="Z948" s="2" t="str">
        <f t="shared" si="89"/>
        <v>Normal</v>
      </c>
    </row>
    <row r="949" spans="1:26" x14ac:dyDescent="0.3">
      <c r="A949" t="s">
        <v>1940</v>
      </c>
      <c r="B949" s="1">
        <v>44665</v>
      </c>
      <c r="C949" t="s">
        <v>1941</v>
      </c>
      <c r="D949" t="s">
        <v>18</v>
      </c>
      <c r="E949">
        <v>27715</v>
      </c>
      <c r="F949">
        <v>23.7</v>
      </c>
      <c r="G949">
        <v>36</v>
      </c>
      <c r="H949" t="s">
        <v>26</v>
      </c>
      <c r="I949" t="s">
        <v>41</v>
      </c>
      <c r="J949" t="s">
        <v>37</v>
      </c>
      <c r="K949">
        <v>133243</v>
      </c>
      <c r="L949" t="s">
        <v>33</v>
      </c>
      <c r="M949">
        <v>0.11</v>
      </c>
      <c r="N949">
        <v>0.86</v>
      </c>
      <c r="O949">
        <v>9020.5300000000007</v>
      </c>
      <c r="P949">
        <v>0</v>
      </c>
      <c r="Q949">
        <f ca="1">DATEDIF(banking_loan_data[[#This Row],[Issue Date]],TODAY(),"M")</f>
        <v>47</v>
      </c>
      <c r="R949">
        <f t="shared" si="84"/>
        <v>19705.365000000002</v>
      </c>
      <c r="S949">
        <f>+banking_loan_data[[#This Row],[Loan Amount]]+banking_loan_data[[#This Row],[Interest earned]]</f>
        <v>47420.365000000005</v>
      </c>
      <c r="T949" s="2">
        <f t="shared" si="85"/>
        <v>-18694.47</v>
      </c>
      <c r="U949" s="2">
        <f t="shared" si="86"/>
        <v>0</v>
      </c>
      <c r="V949" s="2" t="str">
        <f>IF(banking_loan_data[[#This Row],[Loan Status]]="FULLY PAID","GOOD",IF(banking_loan_data[[#This Row],[Loan Status]]="CURRENT","ACTIVE","BAD"))</f>
        <v>ACTIVE</v>
      </c>
      <c r="W94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49" s="3">
        <f t="shared" si="87"/>
        <v>54737.124999999993</v>
      </c>
      <c r="Y949" s="4">
        <f t="shared" si="88"/>
        <v>-0.6745253472848638</v>
      </c>
      <c r="Z949" s="2" t="str">
        <f t="shared" si="89"/>
        <v>High Risk</v>
      </c>
    </row>
    <row r="950" spans="1:26" x14ac:dyDescent="0.3">
      <c r="A950" t="s">
        <v>1942</v>
      </c>
      <c r="B950" s="1">
        <v>45106</v>
      </c>
      <c r="C950" t="s">
        <v>1943</v>
      </c>
      <c r="D950" t="s">
        <v>72</v>
      </c>
      <c r="E950">
        <v>28605</v>
      </c>
      <c r="F950">
        <v>17.100000000000001</v>
      </c>
      <c r="G950">
        <v>36</v>
      </c>
      <c r="H950" t="s">
        <v>19</v>
      </c>
      <c r="I950" t="s">
        <v>27</v>
      </c>
      <c r="J950" t="s">
        <v>37</v>
      </c>
      <c r="K950">
        <v>34006</v>
      </c>
      <c r="L950" t="s">
        <v>33</v>
      </c>
      <c r="M950">
        <v>0.46</v>
      </c>
      <c r="N950">
        <v>0.81</v>
      </c>
      <c r="O950">
        <v>33496.46</v>
      </c>
      <c r="P950">
        <v>0</v>
      </c>
      <c r="Q950">
        <f ca="1">DATEDIF(banking_loan_data[[#This Row],[Issue Date]],TODAY(),"M")</f>
        <v>32</v>
      </c>
      <c r="R950">
        <f t="shared" si="84"/>
        <v>14674.365000000003</v>
      </c>
      <c r="S950">
        <f>+banking_loan_data[[#This Row],[Loan Amount]]+banking_loan_data[[#This Row],[Interest earned]]</f>
        <v>43279.365000000005</v>
      </c>
      <c r="T950" s="2">
        <f t="shared" si="85"/>
        <v>4891.4599999999991</v>
      </c>
      <c r="U950" s="2">
        <f t="shared" si="86"/>
        <v>0</v>
      </c>
      <c r="V950" s="2" t="str">
        <f>IF(banking_loan_data[[#This Row],[Loan Status]]="FULLY PAID","GOOD",IF(banking_loan_data[[#This Row],[Loan Status]]="CURRENT","ACTIVE","BAD"))</f>
        <v>GOOD</v>
      </c>
      <c r="W95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950" s="3">
        <f t="shared" si="87"/>
        <v>40762.125000000575</v>
      </c>
      <c r="Y950" s="4">
        <f t="shared" si="88"/>
        <v>0.17100017479461629</v>
      </c>
      <c r="Z950" s="2" t="str">
        <f t="shared" si="89"/>
        <v>High Risk</v>
      </c>
    </row>
    <row r="951" spans="1:26" x14ac:dyDescent="0.3">
      <c r="A951" t="s">
        <v>1944</v>
      </c>
      <c r="B951" s="1">
        <v>44931</v>
      </c>
      <c r="C951" t="s">
        <v>1945</v>
      </c>
      <c r="D951" t="s">
        <v>65</v>
      </c>
      <c r="E951">
        <v>35317</v>
      </c>
      <c r="F951">
        <v>14.5</v>
      </c>
      <c r="G951">
        <v>60</v>
      </c>
      <c r="H951" t="s">
        <v>19</v>
      </c>
      <c r="I951" t="s">
        <v>84</v>
      </c>
      <c r="J951" t="s">
        <v>37</v>
      </c>
      <c r="K951">
        <v>64393</v>
      </c>
      <c r="L951" t="s">
        <v>33</v>
      </c>
      <c r="M951">
        <v>0.13</v>
      </c>
      <c r="N951">
        <v>0.63</v>
      </c>
      <c r="O951">
        <v>40437.97</v>
      </c>
      <c r="P951">
        <v>0</v>
      </c>
      <c r="Q951">
        <f ca="1">DATEDIF(banking_loan_data[[#This Row],[Issue Date]],TODAY(),"M")</f>
        <v>38</v>
      </c>
      <c r="R951">
        <f t="shared" si="84"/>
        <v>25604.825000000001</v>
      </c>
      <c r="S951">
        <f>+banking_loan_data[[#This Row],[Loan Amount]]+banking_loan_data[[#This Row],[Interest earned]]</f>
        <v>60921.824999999997</v>
      </c>
      <c r="T951" s="2">
        <f t="shared" si="85"/>
        <v>5120.9700000000012</v>
      </c>
      <c r="U951" s="2">
        <f t="shared" si="86"/>
        <v>0</v>
      </c>
      <c r="V951" s="2" t="str">
        <f>IF(banking_loan_data[[#This Row],[Loan Status]]="FULLY PAID","GOOD",IF(banking_loan_data[[#This Row],[Loan Status]]="CURRENT","ACTIVE","BAD"))</f>
        <v>GOOD</v>
      </c>
      <c r="W95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51" s="3">
        <f t="shared" si="87"/>
        <v>42674.708333333328</v>
      </c>
      <c r="Y951" s="4">
        <f t="shared" si="88"/>
        <v>0.14500014157487898</v>
      </c>
      <c r="Z951" s="2" t="str">
        <f t="shared" si="89"/>
        <v>Normal</v>
      </c>
    </row>
    <row r="952" spans="1:26" x14ac:dyDescent="0.3">
      <c r="A952" t="s">
        <v>1946</v>
      </c>
      <c r="B952" s="1">
        <v>45019</v>
      </c>
      <c r="C952" t="s">
        <v>1947</v>
      </c>
      <c r="D952" t="s">
        <v>53</v>
      </c>
      <c r="E952">
        <v>32174</v>
      </c>
      <c r="F952">
        <v>6.2</v>
      </c>
      <c r="G952">
        <v>60</v>
      </c>
      <c r="H952" t="s">
        <v>19</v>
      </c>
      <c r="I952" t="s">
        <v>57</v>
      </c>
      <c r="J952" t="s">
        <v>47</v>
      </c>
      <c r="K952">
        <v>40956</v>
      </c>
      <c r="L952" t="s">
        <v>33</v>
      </c>
      <c r="M952">
        <v>0.5</v>
      </c>
      <c r="N952">
        <v>0.71</v>
      </c>
      <c r="O952">
        <v>34168.79</v>
      </c>
      <c r="P952">
        <v>0</v>
      </c>
      <c r="Q952">
        <f ca="1">DATEDIF(banking_loan_data[[#This Row],[Issue Date]],TODAY(),"M")</f>
        <v>35</v>
      </c>
      <c r="R952">
        <f t="shared" si="84"/>
        <v>9973.94</v>
      </c>
      <c r="S952">
        <f>+banking_loan_data[[#This Row],[Loan Amount]]+banking_loan_data[[#This Row],[Interest earned]]</f>
        <v>42147.94</v>
      </c>
      <c r="T952" s="2">
        <f t="shared" si="85"/>
        <v>1994.7900000000009</v>
      </c>
      <c r="U952" s="2">
        <f t="shared" si="86"/>
        <v>0</v>
      </c>
      <c r="V952" s="2" t="str">
        <f>IF(banking_loan_data[[#This Row],[Loan Status]]="FULLY PAID","GOOD",IF(banking_loan_data[[#This Row],[Loan Status]]="CURRENT","ACTIVE","BAD"))</f>
        <v>GOOD</v>
      </c>
      <c r="W95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52" s="3">
        <f t="shared" si="87"/>
        <v>16623.23333356631</v>
      </c>
      <c r="Y952" s="4">
        <f t="shared" si="88"/>
        <v>6.2000062161994184E-2</v>
      </c>
      <c r="Z952" s="2" t="str">
        <f t="shared" si="89"/>
        <v>High Risk</v>
      </c>
    </row>
    <row r="953" spans="1:26" x14ac:dyDescent="0.3">
      <c r="A953" t="s">
        <v>1948</v>
      </c>
      <c r="B953" s="1">
        <v>45140</v>
      </c>
      <c r="C953" t="s">
        <v>1949</v>
      </c>
      <c r="D953" t="s">
        <v>72</v>
      </c>
      <c r="E953">
        <v>10956</v>
      </c>
      <c r="F953">
        <v>18.399999999999999</v>
      </c>
      <c r="G953">
        <v>60</v>
      </c>
      <c r="H953" t="s">
        <v>19</v>
      </c>
      <c r="I953" t="s">
        <v>20</v>
      </c>
      <c r="J953" t="s">
        <v>32</v>
      </c>
      <c r="K953">
        <v>80042</v>
      </c>
      <c r="L953" t="s">
        <v>33</v>
      </c>
      <c r="M953">
        <v>0.48</v>
      </c>
      <c r="N953">
        <v>0.54</v>
      </c>
      <c r="O953">
        <v>12971.9</v>
      </c>
      <c r="P953">
        <v>0</v>
      </c>
      <c r="Q953">
        <f ca="1">DATEDIF(banking_loan_data[[#This Row],[Issue Date]],TODAY(),"M")</f>
        <v>31</v>
      </c>
      <c r="R953">
        <f t="shared" si="84"/>
        <v>10079.52</v>
      </c>
      <c r="S953">
        <f>+banking_loan_data[[#This Row],[Loan Amount]]+banking_loan_data[[#This Row],[Interest earned]]</f>
        <v>21035.52</v>
      </c>
      <c r="T953" s="2">
        <f t="shared" si="85"/>
        <v>2015.8999999999996</v>
      </c>
      <c r="U953" s="2">
        <f t="shared" si="86"/>
        <v>0</v>
      </c>
      <c r="V953" s="2" t="str">
        <f>IF(banking_loan_data[[#This Row],[Loan Status]]="FULLY PAID","GOOD",IF(banking_loan_data[[#This Row],[Loan Status]]="CURRENT","ACTIVE","BAD"))</f>
        <v>GOOD</v>
      </c>
      <c r="W95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53" s="3">
        <f t="shared" si="87"/>
        <v>16799.199999999997</v>
      </c>
      <c r="Y953" s="4">
        <f t="shared" si="88"/>
        <v>0.18399963490324933</v>
      </c>
      <c r="Z953" s="2" t="str">
        <f t="shared" si="89"/>
        <v>High Risk</v>
      </c>
    </row>
    <row r="954" spans="1:26" x14ac:dyDescent="0.3">
      <c r="A954" t="s">
        <v>1950</v>
      </c>
      <c r="B954" s="1">
        <v>44203</v>
      </c>
      <c r="C954" t="s">
        <v>1951</v>
      </c>
      <c r="D954" t="s">
        <v>65</v>
      </c>
      <c r="E954">
        <v>39908</v>
      </c>
      <c r="F954">
        <v>16.600000000000001</v>
      </c>
      <c r="G954">
        <v>36</v>
      </c>
      <c r="H954" t="s">
        <v>26</v>
      </c>
      <c r="I954" t="s">
        <v>73</v>
      </c>
      <c r="J954" t="s">
        <v>47</v>
      </c>
      <c r="K954">
        <v>126199</v>
      </c>
      <c r="L954" t="s">
        <v>29</v>
      </c>
      <c r="M954">
        <v>0.15</v>
      </c>
      <c r="N954">
        <v>0.9</v>
      </c>
      <c r="O954">
        <v>4986.33</v>
      </c>
      <c r="P954">
        <v>0</v>
      </c>
      <c r="Q954">
        <f ca="1">DATEDIF(banking_loan_data[[#This Row],[Issue Date]],TODAY(),"M")</f>
        <v>62</v>
      </c>
      <c r="R954">
        <f t="shared" si="84"/>
        <v>19874.184000000001</v>
      </c>
      <c r="S954">
        <f>+banking_loan_data[[#This Row],[Loan Amount]]+banking_loan_data[[#This Row],[Interest earned]]</f>
        <v>59782.184000000001</v>
      </c>
      <c r="T954" s="2">
        <f t="shared" si="85"/>
        <v>-34921.67</v>
      </c>
      <c r="U954" s="2">
        <f t="shared" si="86"/>
        <v>0</v>
      </c>
      <c r="V954" s="2" t="str">
        <f>IF(banking_loan_data[[#This Row],[Loan Status]]="FULLY PAID","GOOD",IF(banking_loan_data[[#This Row],[Loan Status]]="CURRENT","ACTIVE","BAD"))</f>
        <v>ACTIVE</v>
      </c>
      <c r="W95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54" s="3">
        <f t="shared" si="87"/>
        <v>55206.066666668135</v>
      </c>
      <c r="Y954" s="4">
        <f t="shared" si="88"/>
        <v>-0.87505437506264405</v>
      </c>
      <c r="Z954" s="2" t="str">
        <f t="shared" si="89"/>
        <v>High Risk</v>
      </c>
    </row>
    <row r="955" spans="1:26" x14ac:dyDescent="0.3">
      <c r="A955" t="s">
        <v>1952</v>
      </c>
      <c r="B955" s="1">
        <v>44526</v>
      </c>
      <c r="C955" t="s">
        <v>1953</v>
      </c>
      <c r="D955" t="s">
        <v>56</v>
      </c>
      <c r="E955">
        <v>11837</v>
      </c>
      <c r="F955">
        <v>24.8</v>
      </c>
      <c r="G955">
        <v>36</v>
      </c>
      <c r="H955" t="s">
        <v>19</v>
      </c>
      <c r="I955" t="s">
        <v>57</v>
      </c>
      <c r="J955" t="s">
        <v>32</v>
      </c>
      <c r="K955">
        <v>36078</v>
      </c>
      <c r="L955" t="s">
        <v>29</v>
      </c>
      <c r="M955">
        <v>0.32</v>
      </c>
      <c r="N955">
        <v>0.92</v>
      </c>
      <c r="O955">
        <v>14772.58</v>
      </c>
      <c r="P955">
        <v>0</v>
      </c>
      <c r="Q955">
        <f ca="1">DATEDIF(banking_loan_data[[#This Row],[Issue Date]],TODAY(),"M")</f>
        <v>51</v>
      </c>
      <c r="R955">
        <f t="shared" si="84"/>
        <v>8806.728000000001</v>
      </c>
      <c r="S955">
        <f>+banking_loan_data[[#This Row],[Loan Amount]]+banking_loan_data[[#This Row],[Interest earned]]</f>
        <v>20643.728000000003</v>
      </c>
      <c r="T955" s="2">
        <f t="shared" si="85"/>
        <v>2935.58</v>
      </c>
      <c r="U955" s="2">
        <f t="shared" si="86"/>
        <v>0</v>
      </c>
      <c r="V955" s="2" t="str">
        <f>IF(banking_loan_data[[#This Row],[Loan Status]]="FULLY PAID","GOOD",IF(banking_loan_data[[#This Row],[Loan Status]]="CURRENT","ACTIVE","BAD"))</f>
        <v>GOOD</v>
      </c>
      <c r="W95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55" s="3">
        <f t="shared" si="87"/>
        <v>24463.133333333335</v>
      </c>
      <c r="Y955" s="4">
        <f t="shared" si="88"/>
        <v>0.24800033792346032</v>
      </c>
      <c r="Z955" s="2" t="str">
        <f t="shared" si="89"/>
        <v>High Risk</v>
      </c>
    </row>
    <row r="956" spans="1:26" x14ac:dyDescent="0.3">
      <c r="A956" t="s">
        <v>1954</v>
      </c>
      <c r="B956" s="1">
        <v>44971</v>
      </c>
      <c r="C956" t="s">
        <v>1955</v>
      </c>
      <c r="D956" t="s">
        <v>53</v>
      </c>
      <c r="E956">
        <v>4716</v>
      </c>
      <c r="F956">
        <v>9.8000000000000007</v>
      </c>
      <c r="G956">
        <v>36</v>
      </c>
      <c r="H956" t="s">
        <v>26</v>
      </c>
      <c r="I956" t="s">
        <v>20</v>
      </c>
      <c r="J956" t="s">
        <v>47</v>
      </c>
      <c r="K956">
        <v>59631</v>
      </c>
      <c r="L956" t="s">
        <v>29</v>
      </c>
      <c r="M956">
        <v>0.17</v>
      </c>
      <c r="N956">
        <v>0.94</v>
      </c>
      <c r="O956">
        <v>1357.66</v>
      </c>
      <c r="P956">
        <v>0</v>
      </c>
      <c r="Q956">
        <f ca="1">DATEDIF(banking_loan_data[[#This Row],[Issue Date]],TODAY(),"M")</f>
        <v>37</v>
      </c>
      <c r="R956">
        <f t="shared" si="84"/>
        <v>1386.5039999999999</v>
      </c>
      <c r="S956">
        <f>+banking_loan_data[[#This Row],[Loan Amount]]+banking_loan_data[[#This Row],[Interest earned]]</f>
        <v>6102.5039999999999</v>
      </c>
      <c r="T956" s="2">
        <f t="shared" si="85"/>
        <v>-3358.34</v>
      </c>
      <c r="U956" s="2">
        <f t="shared" si="86"/>
        <v>0</v>
      </c>
      <c r="V956" s="2" t="str">
        <f>IF(banking_loan_data[[#This Row],[Loan Status]]="FULLY PAID","GOOD",IF(banking_loan_data[[#This Row],[Loan Status]]="CURRENT","ACTIVE","BAD"))</f>
        <v>ACTIVE</v>
      </c>
      <c r="W95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56" s="3">
        <f t="shared" si="87"/>
        <v>3851.4000017852945</v>
      </c>
      <c r="Y956" s="4">
        <f t="shared" si="88"/>
        <v>-0.71211620016963528</v>
      </c>
      <c r="Z956" s="2" t="str">
        <f t="shared" si="89"/>
        <v>High Risk</v>
      </c>
    </row>
    <row r="957" spans="1:26" x14ac:dyDescent="0.3">
      <c r="A957" t="s">
        <v>1956</v>
      </c>
      <c r="B957" s="1">
        <v>44347</v>
      </c>
      <c r="C957" t="s">
        <v>1957</v>
      </c>
      <c r="D957" t="s">
        <v>72</v>
      </c>
      <c r="E957">
        <v>5481</v>
      </c>
      <c r="F957">
        <v>15.6</v>
      </c>
      <c r="G957">
        <v>36</v>
      </c>
      <c r="H957" t="s">
        <v>19</v>
      </c>
      <c r="I957" t="s">
        <v>36</v>
      </c>
      <c r="J957" t="s">
        <v>21</v>
      </c>
      <c r="K957">
        <v>125676</v>
      </c>
      <c r="L957" t="s">
        <v>33</v>
      </c>
      <c r="M957">
        <v>0.27</v>
      </c>
      <c r="N957">
        <v>0.89</v>
      </c>
      <c r="O957">
        <v>6336.04</v>
      </c>
      <c r="P957">
        <v>0</v>
      </c>
      <c r="Q957">
        <f ca="1">DATEDIF(banking_loan_data[[#This Row],[Issue Date]],TODAY(),"M")</f>
        <v>57</v>
      </c>
      <c r="R957">
        <f t="shared" si="84"/>
        <v>2565.1079999999997</v>
      </c>
      <c r="S957">
        <f>+banking_loan_data[[#This Row],[Loan Amount]]+banking_loan_data[[#This Row],[Interest earned]]</f>
        <v>8046.1080000000002</v>
      </c>
      <c r="T957" s="2">
        <f t="shared" si="85"/>
        <v>855.04</v>
      </c>
      <c r="U957" s="2">
        <f t="shared" si="86"/>
        <v>0</v>
      </c>
      <c r="V957" s="2" t="str">
        <f>IF(banking_loan_data[[#This Row],[Loan Status]]="FULLY PAID","GOOD",IF(banking_loan_data[[#This Row],[Loan Status]]="CURRENT","ACTIVE","BAD"))</f>
        <v>GOOD</v>
      </c>
      <c r="W95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57" s="3">
        <f t="shared" si="87"/>
        <v>7125.3000000006778</v>
      </c>
      <c r="Y957" s="4">
        <f t="shared" si="88"/>
        <v>0.15600072979383323</v>
      </c>
      <c r="Z957" s="2" t="str">
        <f t="shared" si="89"/>
        <v>High Risk</v>
      </c>
    </row>
    <row r="958" spans="1:26" x14ac:dyDescent="0.3">
      <c r="A958" t="s">
        <v>1958</v>
      </c>
      <c r="B958" s="1">
        <v>44343</v>
      </c>
      <c r="C958" t="s">
        <v>1959</v>
      </c>
      <c r="D958" t="s">
        <v>53</v>
      </c>
      <c r="E958">
        <v>25282</v>
      </c>
      <c r="F958">
        <v>18</v>
      </c>
      <c r="G958">
        <v>60</v>
      </c>
      <c r="H958" t="s">
        <v>60</v>
      </c>
      <c r="I958" t="s">
        <v>57</v>
      </c>
      <c r="J958" t="s">
        <v>32</v>
      </c>
      <c r="K958">
        <v>92901</v>
      </c>
      <c r="L958" t="s">
        <v>29</v>
      </c>
      <c r="M958">
        <v>0.12</v>
      </c>
      <c r="N958">
        <v>0.57999999999999996</v>
      </c>
      <c r="O958">
        <v>0</v>
      </c>
      <c r="P958">
        <v>0</v>
      </c>
      <c r="Q958">
        <f ca="1">DATEDIF(banking_loan_data[[#This Row],[Issue Date]],TODAY(),"M")</f>
        <v>57</v>
      </c>
      <c r="R958">
        <f t="shared" si="84"/>
        <v>22753.800000000003</v>
      </c>
      <c r="S958">
        <f>+banking_loan_data[[#This Row],[Loan Amount]]+banking_loan_data[[#This Row],[Interest earned]]</f>
        <v>48035.8</v>
      </c>
      <c r="T958" s="2">
        <f t="shared" si="85"/>
        <v>-25282</v>
      </c>
      <c r="U958" s="2">
        <f t="shared" si="86"/>
        <v>0</v>
      </c>
      <c r="V958" s="2" t="str">
        <f>IF(banking_loan_data[[#This Row],[Loan Status]]="FULLY PAID","GOOD",IF(banking_loan_data[[#This Row],[Loan Status]]="CURRENT","ACTIVE","BAD"))</f>
        <v>BAD</v>
      </c>
      <c r="W95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58" s="3">
        <f t="shared" si="87"/>
        <v>37923</v>
      </c>
      <c r="Y958" s="4">
        <f t="shared" si="88"/>
        <v>-1</v>
      </c>
      <c r="Z958" s="2" t="str">
        <f t="shared" si="89"/>
        <v>Normal</v>
      </c>
    </row>
    <row r="959" spans="1:26" x14ac:dyDescent="0.3">
      <c r="A959" t="s">
        <v>1960</v>
      </c>
      <c r="B959" s="1">
        <v>45111</v>
      </c>
      <c r="C959" t="s">
        <v>1961</v>
      </c>
      <c r="D959" t="s">
        <v>53</v>
      </c>
      <c r="E959">
        <v>7548</v>
      </c>
      <c r="F959">
        <v>17.899999999999999</v>
      </c>
      <c r="G959">
        <v>36</v>
      </c>
      <c r="H959" t="s">
        <v>26</v>
      </c>
      <c r="I959" t="s">
        <v>20</v>
      </c>
      <c r="J959" t="s">
        <v>28</v>
      </c>
      <c r="K959">
        <v>137227</v>
      </c>
      <c r="L959" t="s">
        <v>29</v>
      </c>
      <c r="M959">
        <v>0.19</v>
      </c>
      <c r="N959">
        <v>0.52</v>
      </c>
      <c r="O959">
        <v>2381.79</v>
      </c>
      <c r="P959">
        <v>0</v>
      </c>
      <c r="Q959">
        <f ca="1">DATEDIF(banking_loan_data[[#This Row],[Issue Date]],TODAY(),"M")</f>
        <v>32</v>
      </c>
      <c r="R959">
        <f t="shared" si="84"/>
        <v>4053.2759999999998</v>
      </c>
      <c r="S959">
        <f>+banking_loan_data[[#This Row],[Loan Amount]]+banking_loan_data[[#This Row],[Interest earned]]</f>
        <v>11601.276</v>
      </c>
      <c r="T959" s="2">
        <f t="shared" si="85"/>
        <v>-5166.21</v>
      </c>
      <c r="U959" s="2">
        <f t="shared" si="86"/>
        <v>0</v>
      </c>
      <c r="V959" s="2" t="str">
        <f>IF(banking_loan_data[[#This Row],[Loan Status]]="FULLY PAID","GOOD",IF(banking_loan_data[[#This Row],[Loan Status]]="CURRENT","ACTIVE","BAD"))</f>
        <v>ACTIVE</v>
      </c>
      <c r="W95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59" s="3">
        <f t="shared" si="87"/>
        <v>11259.100000000059</v>
      </c>
      <c r="Y959" s="4">
        <f t="shared" si="88"/>
        <v>-0.68444753577106521</v>
      </c>
      <c r="Z959" s="2" t="str">
        <f t="shared" si="89"/>
        <v>Normal</v>
      </c>
    </row>
    <row r="960" spans="1:26" x14ac:dyDescent="0.3">
      <c r="A960" t="s">
        <v>1962</v>
      </c>
      <c r="B960" s="1">
        <v>44896</v>
      </c>
      <c r="C960" t="s">
        <v>1963</v>
      </c>
      <c r="D960" t="s">
        <v>40</v>
      </c>
      <c r="E960">
        <v>38605</v>
      </c>
      <c r="F960">
        <v>16.2</v>
      </c>
      <c r="G960">
        <v>36</v>
      </c>
      <c r="H960" t="s">
        <v>26</v>
      </c>
      <c r="I960" t="s">
        <v>20</v>
      </c>
      <c r="J960" t="s">
        <v>32</v>
      </c>
      <c r="K960">
        <v>99497</v>
      </c>
      <c r="L960" t="s">
        <v>29</v>
      </c>
      <c r="M960">
        <v>0.25</v>
      </c>
      <c r="N960">
        <v>0.76</v>
      </c>
      <c r="O960">
        <v>7107.9</v>
      </c>
      <c r="P960">
        <v>0</v>
      </c>
      <c r="Q960">
        <f ca="1">DATEDIF(banking_loan_data[[#This Row],[Issue Date]],TODAY(),"M")</f>
        <v>39</v>
      </c>
      <c r="R960">
        <f t="shared" si="84"/>
        <v>18762.030000000002</v>
      </c>
      <c r="S960">
        <f>+banking_loan_data[[#This Row],[Loan Amount]]+banking_loan_data[[#This Row],[Interest earned]]</f>
        <v>57367.03</v>
      </c>
      <c r="T960" s="2">
        <f t="shared" si="85"/>
        <v>-31497.1</v>
      </c>
      <c r="U960" s="2">
        <f t="shared" si="86"/>
        <v>0</v>
      </c>
      <c r="V960" s="2" t="str">
        <f>IF(banking_loan_data[[#This Row],[Loan Status]]="FULLY PAID","GOOD",IF(banking_loan_data[[#This Row],[Loan Status]]="CURRENT","ACTIVE","BAD"))</f>
        <v>ACTIVE</v>
      </c>
      <c r="W96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60" s="3">
        <f t="shared" si="87"/>
        <v>52116.750000002285</v>
      </c>
      <c r="Y960" s="4">
        <f t="shared" si="88"/>
        <v>-0.81588136251780852</v>
      </c>
      <c r="Z960" s="2" t="str">
        <f t="shared" si="89"/>
        <v>Normal</v>
      </c>
    </row>
    <row r="961" spans="1:26" x14ac:dyDescent="0.3">
      <c r="A961" t="s">
        <v>1964</v>
      </c>
      <c r="B961" s="1">
        <v>44278</v>
      </c>
      <c r="C961" t="s">
        <v>1965</v>
      </c>
      <c r="D961" t="s">
        <v>50</v>
      </c>
      <c r="E961">
        <v>8758</v>
      </c>
      <c r="F961">
        <v>20.5</v>
      </c>
      <c r="G961">
        <v>36</v>
      </c>
      <c r="H961" t="s">
        <v>19</v>
      </c>
      <c r="I961" t="s">
        <v>57</v>
      </c>
      <c r="J961" t="s">
        <v>32</v>
      </c>
      <c r="K961">
        <v>124813</v>
      </c>
      <c r="L961" t="s">
        <v>29</v>
      </c>
      <c r="M961">
        <v>0.28000000000000003</v>
      </c>
      <c r="N961">
        <v>0.91</v>
      </c>
      <c r="O961">
        <v>10553.39</v>
      </c>
      <c r="P961">
        <v>0</v>
      </c>
      <c r="Q961">
        <f ca="1">DATEDIF(banking_loan_data[[#This Row],[Issue Date]],TODAY(),"M")</f>
        <v>59</v>
      </c>
      <c r="R961">
        <f t="shared" si="84"/>
        <v>5386.17</v>
      </c>
      <c r="S961">
        <f>+banking_loan_data[[#This Row],[Loan Amount]]+banking_loan_data[[#This Row],[Interest earned]]</f>
        <v>14144.17</v>
      </c>
      <c r="T961" s="2">
        <f t="shared" si="85"/>
        <v>1795.3899999999994</v>
      </c>
      <c r="U961" s="2">
        <f t="shared" si="86"/>
        <v>0</v>
      </c>
      <c r="V961" s="2" t="str">
        <f>IF(banking_loan_data[[#This Row],[Loan Status]]="FULLY PAID","GOOD",IF(banking_loan_data[[#This Row],[Loan Status]]="CURRENT","ACTIVE","BAD"))</f>
        <v>GOOD</v>
      </c>
      <c r="W96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61" s="3">
        <f t="shared" si="87"/>
        <v>14961.583333333336</v>
      </c>
      <c r="Y961" s="4">
        <f t="shared" si="88"/>
        <v>0.20499999999999993</v>
      </c>
      <c r="Z961" s="2" t="str">
        <f t="shared" si="89"/>
        <v>High Risk</v>
      </c>
    </row>
    <row r="962" spans="1:26" x14ac:dyDescent="0.3">
      <c r="A962" t="s">
        <v>1966</v>
      </c>
      <c r="B962" s="1">
        <v>44710</v>
      </c>
      <c r="C962" t="s">
        <v>1967</v>
      </c>
      <c r="D962" t="s">
        <v>40</v>
      </c>
      <c r="E962">
        <v>24177</v>
      </c>
      <c r="F962">
        <v>9.1</v>
      </c>
      <c r="G962">
        <v>60</v>
      </c>
      <c r="H962" t="s">
        <v>19</v>
      </c>
      <c r="I962" t="s">
        <v>41</v>
      </c>
      <c r="J962" t="s">
        <v>32</v>
      </c>
      <c r="K962">
        <v>147192</v>
      </c>
      <c r="L962" t="s">
        <v>22</v>
      </c>
      <c r="M962">
        <v>0.49</v>
      </c>
      <c r="N962">
        <v>0.57999999999999996</v>
      </c>
      <c r="O962">
        <v>26377.11</v>
      </c>
      <c r="P962">
        <v>0</v>
      </c>
      <c r="Q962">
        <f ca="1">DATEDIF(banking_loan_data[[#This Row],[Issue Date]],TODAY(),"M")</f>
        <v>45</v>
      </c>
      <c r="R962">
        <f t="shared" ref="R962:R1001" si="90">(((E962*F962)/100)*G962)/12</f>
        <v>11000.534999999998</v>
      </c>
      <c r="S962">
        <f>+banking_loan_data[[#This Row],[Loan Amount]]+banking_loan_data[[#This Row],[Interest earned]]</f>
        <v>35177.534999999996</v>
      </c>
      <c r="T962" s="2">
        <f t="shared" ref="T962:T1001" si="91">O962 + P962 - E962</f>
        <v>2200.1100000000006</v>
      </c>
      <c r="U962" s="2">
        <f t="shared" ref="U962:U1001" si="92">IF(H962="CHARGED OFF",1,0)</f>
        <v>0</v>
      </c>
      <c r="V962" s="2" t="str">
        <f>IF(banking_loan_data[[#This Row],[Loan Status]]="FULLY PAID","GOOD",IF(banking_loan_data[[#This Row],[Loan Status]]="CURRENT","ACTIVE","BAD"))</f>
        <v>GOOD</v>
      </c>
      <c r="W96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62" s="3">
        <f t="shared" ref="X962:X1001" si="93">PMT(F962/12,G962,-E962)</f>
        <v>18334.225000000035</v>
      </c>
      <c r="Y962" s="4">
        <f t="shared" ref="Y962:Y1001" si="94">IF(E962=0,0,T962/E962)</f>
        <v>9.1000124084874082E-2</v>
      </c>
      <c r="Z962" s="2" t="str">
        <f t="shared" ref="Z962:Z1001" si="95">IF(OR(M962&gt;0.4,N962&gt;0.8),"High Risk","Normal")</f>
        <v>High Risk</v>
      </c>
    </row>
    <row r="963" spans="1:26" x14ac:dyDescent="0.3">
      <c r="A963" t="s">
        <v>1968</v>
      </c>
      <c r="B963" s="1">
        <v>45011</v>
      </c>
      <c r="C963" t="s">
        <v>1969</v>
      </c>
      <c r="D963" t="s">
        <v>65</v>
      </c>
      <c r="E963">
        <v>25022</v>
      </c>
      <c r="F963">
        <v>19.5</v>
      </c>
      <c r="G963">
        <v>36</v>
      </c>
      <c r="H963" t="s">
        <v>19</v>
      </c>
      <c r="I963" t="s">
        <v>57</v>
      </c>
      <c r="J963" t="s">
        <v>21</v>
      </c>
      <c r="K963">
        <v>71574</v>
      </c>
      <c r="L963" t="s">
        <v>33</v>
      </c>
      <c r="M963">
        <v>0.42</v>
      </c>
      <c r="N963">
        <v>0.5</v>
      </c>
      <c r="O963">
        <v>29901.29</v>
      </c>
      <c r="P963">
        <v>0</v>
      </c>
      <c r="Q963">
        <f ca="1">DATEDIF(banking_loan_data[[#This Row],[Issue Date]],TODAY(),"M")</f>
        <v>35</v>
      </c>
      <c r="R963">
        <f t="shared" si="90"/>
        <v>14637.87</v>
      </c>
      <c r="S963">
        <f>+banking_loan_data[[#This Row],[Loan Amount]]+banking_loan_data[[#This Row],[Interest earned]]</f>
        <v>39659.870000000003</v>
      </c>
      <c r="T963" s="2">
        <f t="shared" si="91"/>
        <v>4879.2900000000009</v>
      </c>
      <c r="U963" s="2">
        <f t="shared" si="92"/>
        <v>0</v>
      </c>
      <c r="V963" s="2" t="str">
        <f>IF(banking_loan_data[[#This Row],[Loan Status]]="FULLY PAID","GOOD",IF(banking_loan_data[[#This Row],[Loan Status]]="CURRENT","ACTIVE","BAD"))</f>
        <v>GOOD</v>
      </c>
      <c r="W96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63" s="3">
        <f t="shared" si="93"/>
        <v>40660.750000000029</v>
      </c>
      <c r="Y963" s="4">
        <f t="shared" si="94"/>
        <v>0.19500000000000003</v>
      </c>
      <c r="Z963" s="2" t="str">
        <f t="shared" si="95"/>
        <v>High Risk</v>
      </c>
    </row>
    <row r="964" spans="1:26" x14ac:dyDescent="0.3">
      <c r="A964" t="s">
        <v>1970</v>
      </c>
      <c r="B964" s="1">
        <v>44905</v>
      </c>
      <c r="C964" t="s">
        <v>1971</v>
      </c>
      <c r="D964" t="s">
        <v>76</v>
      </c>
      <c r="E964">
        <v>6542</v>
      </c>
      <c r="F964">
        <v>17.399999999999999</v>
      </c>
      <c r="G964">
        <v>36</v>
      </c>
      <c r="H964" t="s">
        <v>81</v>
      </c>
      <c r="I964" t="s">
        <v>57</v>
      </c>
      <c r="J964" t="s">
        <v>47</v>
      </c>
      <c r="K964">
        <v>148494</v>
      </c>
      <c r="L964" t="s">
        <v>33</v>
      </c>
      <c r="M964">
        <v>0.39</v>
      </c>
      <c r="N964">
        <v>0.86</v>
      </c>
      <c r="O964">
        <v>723.02</v>
      </c>
      <c r="P964">
        <v>1622.45</v>
      </c>
      <c r="Q964">
        <f ca="1">DATEDIF(banking_loan_data[[#This Row],[Issue Date]],TODAY(),"M")</f>
        <v>39</v>
      </c>
      <c r="R964">
        <f t="shared" si="90"/>
        <v>3414.9240000000004</v>
      </c>
      <c r="S964">
        <f>+banking_loan_data[[#This Row],[Loan Amount]]+banking_loan_data[[#This Row],[Interest earned]]</f>
        <v>9956.9240000000009</v>
      </c>
      <c r="T964" s="2">
        <f t="shared" si="91"/>
        <v>-4196.53</v>
      </c>
      <c r="U964" s="2">
        <f t="shared" si="92"/>
        <v>1</v>
      </c>
      <c r="V964" s="2" t="str">
        <f>IF(banking_loan_data[[#This Row],[Loan Status]]="FULLY PAID","GOOD",IF(banking_loan_data[[#This Row],[Loan Status]]="CURRENT","ACTIVE","BAD"))</f>
        <v>BAD</v>
      </c>
      <c r="W96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64" s="3">
        <f t="shared" si="93"/>
        <v>9485.9000000000924</v>
      </c>
      <c r="Y964" s="4">
        <f t="shared" si="94"/>
        <v>-0.64147508407214915</v>
      </c>
      <c r="Z964" s="2" t="str">
        <f t="shared" si="95"/>
        <v>High Risk</v>
      </c>
    </row>
    <row r="965" spans="1:26" x14ac:dyDescent="0.3">
      <c r="A965" t="s">
        <v>1972</v>
      </c>
      <c r="B965" s="1">
        <v>44942</v>
      </c>
      <c r="C965" t="s">
        <v>1973</v>
      </c>
      <c r="D965" t="s">
        <v>25</v>
      </c>
      <c r="E965">
        <v>26476</v>
      </c>
      <c r="F965">
        <v>22.9</v>
      </c>
      <c r="G965">
        <v>36</v>
      </c>
      <c r="H965" t="s">
        <v>19</v>
      </c>
      <c r="I965" t="s">
        <v>27</v>
      </c>
      <c r="J965" t="s">
        <v>28</v>
      </c>
      <c r="K965">
        <v>61417</v>
      </c>
      <c r="L965" t="s">
        <v>22</v>
      </c>
      <c r="M965">
        <v>0.31</v>
      </c>
      <c r="N965">
        <v>0.53</v>
      </c>
      <c r="O965">
        <v>32539</v>
      </c>
      <c r="P965">
        <v>0</v>
      </c>
      <c r="Q965">
        <f ca="1">DATEDIF(banking_loan_data[[#This Row],[Issue Date]],TODAY(),"M")</f>
        <v>38</v>
      </c>
      <c r="R965">
        <f t="shared" si="90"/>
        <v>18189.011999999999</v>
      </c>
      <c r="S965">
        <f>+banking_loan_data[[#This Row],[Loan Amount]]+banking_loan_data[[#This Row],[Interest earned]]</f>
        <v>44665.012000000002</v>
      </c>
      <c r="T965" s="2">
        <f t="shared" si="91"/>
        <v>6063</v>
      </c>
      <c r="U965" s="2">
        <f t="shared" si="92"/>
        <v>0</v>
      </c>
      <c r="V965" s="2" t="str">
        <f>IF(banking_loan_data[[#This Row],[Loan Status]]="FULLY PAID","GOOD",IF(banking_loan_data[[#This Row],[Loan Status]]="CURRENT","ACTIVE","BAD"))</f>
        <v>GOOD</v>
      </c>
      <c r="W96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965" s="3">
        <f t="shared" si="93"/>
        <v>50525.033333333333</v>
      </c>
      <c r="Y965" s="4">
        <f t="shared" si="94"/>
        <v>0.2289998489197764</v>
      </c>
      <c r="Z965" s="2" t="str">
        <f t="shared" si="95"/>
        <v>Normal</v>
      </c>
    </row>
    <row r="966" spans="1:26" x14ac:dyDescent="0.3">
      <c r="A966" t="s">
        <v>1974</v>
      </c>
      <c r="B966" s="1">
        <v>45219</v>
      </c>
      <c r="C966" t="s">
        <v>1975</v>
      </c>
      <c r="D966" t="s">
        <v>46</v>
      </c>
      <c r="E966">
        <v>31784</v>
      </c>
      <c r="F966">
        <v>21.9</v>
      </c>
      <c r="G966">
        <v>36</v>
      </c>
      <c r="H966" t="s">
        <v>26</v>
      </c>
      <c r="I966" t="s">
        <v>57</v>
      </c>
      <c r="J966" t="s">
        <v>47</v>
      </c>
      <c r="K966">
        <v>118020</v>
      </c>
      <c r="L966" t="s">
        <v>29</v>
      </c>
      <c r="M966">
        <v>0.44</v>
      </c>
      <c r="N966">
        <v>0.69</v>
      </c>
      <c r="O966">
        <v>2122.0300000000002</v>
      </c>
      <c r="P966">
        <v>0</v>
      </c>
      <c r="Q966">
        <f ca="1">DATEDIF(banking_loan_data[[#This Row],[Issue Date]],TODAY(),"M")</f>
        <v>28</v>
      </c>
      <c r="R966">
        <f t="shared" si="90"/>
        <v>20882.088</v>
      </c>
      <c r="S966">
        <f>+banking_loan_data[[#This Row],[Loan Amount]]+banking_loan_data[[#This Row],[Interest earned]]</f>
        <v>52666.088000000003</v>
      </c>
      <c r="T966" s="2">
        <f t="shared" si="91"/>
        <v>-29661.97</v>
      </c>
      <c r="U966" s="2">
        <f t="shared" si="92"/>
        <v>0</v>
      </c>
      <c r="V966" s="2" t="str">
        <f>IF(banking_loan_data[[#This Row],[Loan Status]]="FULLY PAID","GOOD",IF(banking_loan_data[[#This Row],[Loan Status]]="CURRENT","ACTIVE","BAD"))</f>
        <v>ACTIVE</v>
      </c>
      <c r="W96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66" s="3">
        <f t="shared" si="93"/>
        <v>58005.8</v>
      </c>
      <c r="Y966" s="4">
        <f t="shared" si="94"/>
        <v>-0.93323590485779007</v>
      </c>
      <c r="Z966" s="2" t="str">
        <f t="shared" si="95"/>
        <v>High Risk</v>
      </c>
    </row>
    <row r="967" spans="1:26" x14ac:dyDescent="0.3">
      <c r="A967" t="s">
        <v>1976</v>
      </c>
      <c r="B967" s="1">
        <v>44903</v>
      </c>
      <c r="C967" t="s">
        <v>1977</v>
      </c>
      <c r="D967" t="s">
        <v>76</v>
      </c>
      <c r="E967">
        <v>23740</v>
      </c>
      <c r="F967">
        <v>11.3</v>
      </c>
      <c r="G967">
        <v>36</v>
      </c>
      <c r="H967" t="s">
        <v>26</v>
      </c>
      <c r="I967" t="s">
        <v>20</v>
      </c>
      <c r="J967" t="s">
        <v>47</v>
      </c>
      <c r="K967">
        <v>113639</v>
      </c>
      <c r="L967" t="s">
        <v>29</v>
      </c>
      <c r="M967">
        <v>0.24</v>
      </c>
      <c r="N967">
        <v>0.81</v>
      </c>
      <c r="O967">
        <v>1468.47</v>
      </c>
      <c r="P967">
        <v>0</v>
      </c>
      <c r="Q967">
        <f ca="1">DATEDIF(banking_loan_data[[#This Row],[Issue Date]],TODAY(),"M")</f>
        <v>39</v>
      </c>
      <c r="R967">
        <f t="shared" si="90"/>
        <v>8047.86</v>
      </c>
      <c r="S967">
        <f>+banking_loan_data[[#This Row],[Loan Amount]]+banking_loan_data[[#This Row],[Interest earned]]</f>
        <v>31787.86</v>
      </c>
      <c r="T967" s="2">
        <f t="shared" si="91"/>
        <v>-22271.53</v>
      </c>
      <c r="U967" s="2">
        <f t="shared" si="92"/>
        <v>0</v>
      </c>
      <c r="V967" s="2" t="str">
        <f>IF(banking_loan_data[[#This Row],[Loan Status]]="FULLY PAID","GOOD",IF(banking_loan_data[[#This Row],[Loan Status]]="CURRENT","ACTIVE","BAD"))</f>
        <v>ACTIVE</v>
      </c>
      <c r="W96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67" s="3">
        <f t="shared" si="93"/>
        <v>22355.166667610923</v>
      </c>
      <c r="Y967" s="4">
        <f t="shared" si="94"/>
        <v>-0.9381436394271272</v>
      </c>
      <c r="Z967" s="2" t="str">
        <f t="shared" si="95"/>
        <v>High Risk</v>
      </c>
    </row>
    <row r="968" spans="1:26" x14ac:dyDescent="0.3">
      <c r="A968" t="s">
        <v>1978</v>
      </c>
      <c r="B968" s="1">
        <v>44667</v>
      </c>
      <c r="C968" t="s">
        <v>1979</v>
      </c>
      <c r="D968" t="s">
        <v>25</v>
      </c>
      <c r="E968">
        <v>25817</v>
      </c>
      <c r="F968">
        <v>10.5</v>
      </c>
      <c r="G968">
        <v>60</v>
      </c>
      <c r="H968" t="s">
        <v>19</v>
      </c>
      <c r="I968" t="s">
        <v>20</v>
      </c>
      <c r="J968" t="s">
        <v>37</v>
      </c>
      <c r="K968">
        <v>95006</v>
      </c>
      <c r="L968" t="s">
        <v>29</v>
      </c>
      <c r="M968">
        <v>0.38</v>
      </c>
      <c r="N968">
        <v>0.61</v>
      </c>
      <c r="O968">
        <v>28527.78</v>
      </c>
      <c r="P968">
        <v>0</v>
      </c>
      <c r="Q968">
        <f ca="1">DATEDIF(banking_loan_data[[#This Row],[Issue Date]],TODAY(),"M")</f>
        <v>47</v>
      </c>
      <c r="R968">
        <f t="shared" si="90"/>
        <v>13553.924999999997</v>
      </c>
      <c r="S968">
        <f>+banking_loan_data[[#This Row],[Loan Amount]]+banking_loan_data[[#This Row],[Interest earned]]</f>
        <v>39370.924999999996</v>
      </c>
      <c r="T968" s="2">
        <f t="shared" si="91"/>
        <v>2710.7799999999988</v>
      </c>
      <c r="U968" s="2">
        <f t="shared" si="92"/>
        <v>0</v>
      </c>
      <c r="V968" s="2" t="str">
        <f>IF(banking_loan_data[[#This Row],[Loan Status]]="FULLY PAID","GOOD",IF(banking_loan_data[[#This Row],[Loan Status]]="CURRENT","ACTIVE","BAD"))</f>
        <v>GOOD</v>
      </c>
      <c r="W96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68" s="3">
        <f t="shared" si="93"/>
        <v>22589.875</v>
      </c>
      <c r="Y968" s="4">
        <f t="shared" si="94"/>
        <v>0.10499980632916291</v>
      </c>
      <c r="Z968" s="2" t="str">
        <f t="shared" si="95"/>
        <v>Normal</v>
      </c>
    </row>
    <row r="969" spans="1:26" x14ac:dyDescent="0.3">
      <c r="A969" t="s">
        <v>1980</v>
      </c>
      <c r="B969" s="1">
        <v>44592</v>
      </c>
      <c r="C969" t="s">
        <v>1981</v>
      </c>
      <c r="D969" t="s">
        <v>65</v>
      </c>
      <c r="E969">
        <v>17052</v>
      </c>
      <c r="F969">
        <v>24.6</v>
      </c>
      <c r="G969">
        <v>36</v>
      </c>
      <c r="H969" t="s">
        <v>26</v>
      </c>
      <c r="I969" t="s">
        <v>57</v>
      </c>
      <c r="J969" t="s">
        <v>21</v>
      </c>
      <c r="K969">
        <v>124881</v>
      </c>
      <c r="L969" t="s">
        <v>33</v>
      </c>
      <c r="M969">
        <v>0.5</v>
      </c>
      <c r="N969">
        <v>0.54</v>
      </c>
      <c r="O969">
        <v>6524.2</v>
      </c>
      <c r="P969">
        <v>0</v>
      </c>
      <c r="Q969">
        <f ca="1">DATEDIF(banking_loan_data[[#This Row],[Issue Date]],TODAY(),"M")</f>
        <v>49</v>
      </c>
      <c r="R969">
        <f t="shared" si="90"/>
        <v>12584.376000000002</v>
      </c>
      <c r="S969">
        <f>+banking_loan_data[[#This Row],[Loan Amount]]+banking_loan_data[[#This Row],[Interest earned]]</f>
        <v>29636.376000000004</v>
      </c>
      <c r="T969" s="2">
        <f t="shared" si="91"/>
        <v>-10527.8</v>
      </c>
      <c r="U969" s="2">
        <f t="shared" si="92"/>
        <v>0</v>
      </c>
      <c r="V969" s="2" t="str">
        <f>IF(banking_loan_data[[#This Row],[Loan Status]]="FULLY PAID","GOOD",IF(banking_loan_data[[#This Row],[Loan Status]]="CURRENT","ACTIVE","BAD"))</f>
        <v>ACTIVE</v>
      </c>
      <c r="W96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69" s="3">
        <f t="shared" si="93"/>
        <v>34956.600000000006</v>
      </c>
      <c r="Y969" s="4">
        <f t="shared" si="94"/>
        <v>-0.61739385409336145</v>
      </c>
      <c r="Z969" s="2" t="str">
        <f t="shared" si="95"/>
        <v>High Risk</v>
      </c>
    </row>
    <row r="970" spans="1:26" x14ac:dyDescent="0.3">
      <c r="A970" t="s">
        <v>1982</v>
      </c>
      <c r="B970" s="1">
        <v>44457</v>
      </c>
      <c r="C970" t="s">
        <v>1983</v>
      </c>
      <c r="D970" t="s">
        <v>65</v>
      </c>
      <c r="E970">
        <v>36153</v>
      </c>
      <c r="F970">
        <v>15.5</v>
      </c>
      <c r="G970">
        <v>36</v>
      </c>
      <c r="H970" t="s">
        <v>26</v>
      </c>
      <c r="I970" t="s">
        <v>20</v>
      </c>
      <c r="J970" t="s">
        <v>37</v>
      </c>
      <c r="K970">
        <v>141862</v>
      </c>
      <c r="L970" t="s">
        <v>33</v>
      </c>
      <c r="M970">
        <v>0.23</v>
      </c>
      <c r="N970">
        <v>0.85</v>
      </c>
      <c r="O970">
        <v>6981.3</v>
      </c>
      <c r="P970">
        <v>0</v>
      </c>
      <c r="Q970">
        <f ca="1">DATEDIF(banking_loan_data[[#This Row],[Issue Date]],TODAY(),"M")</f>
        <v>54</v>
      </c>
      <c r="R970">
        <f t="shared" si="90"/>
        <v>16811.145</v>
      </c>
      <c r="S970">
        <f>+banking_loan_data[[#This Row],[Loan Amount]]+banking_loan_data[[#This Row],[Interest earned]]</f>
        <v>52964.145000000004</v>
      </c>
      <c r="T970" s="2">
        <f t="shared" si="91"/>
        <v>-29171.7</v>
      </c>
      <c r="U970" s="2">
        <f t="shared" si="92"/>
        <v>0</v>
      </c>
      <c r="V970" s="2" t="str">
        <f>IF(banking_loan_data[[#This Row],[Loan Status]]="FULLY PAID","GOOD",IF(banking_loan_data[[#This Row],[Loan Status]]="CURRENT","ACTIVE","BAD"))</f>
        <v>ACTIVE</v>
      </c>
      <c r="W97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70" s="3">
        <f t="shared" si="93"/>
        <v>46697.625000005057</v>
      </c>
      <c r="Y970" s="4">
        <f t="shared" si="94"/>
        <v>-0.80689569330346034</v>
      </c>
      <c r="Z970" s="2" t="str">
        <f t="shared" si="95"/>
        <v>High Risk</v>
      </c>
    </row>
    <row r="971" spans="1:26" x14ac:dyDescent="0.3">
      <c r="A971" t="s">
        <v>1984</v>
      </c>
      <c r="B971" s="1">
        <v>45001</v>
      </c>
      <c r="C971" t="s">
        <v>1985</v>
      </c>
      <c r="D971" t="s">
        <v>56</v>
      </c>
      <c r="E971">
        <v>1671</v>
      </c>
      <c r="F971">
        <v>23.1</v>
      </c>
      <c r="G971">
        <v>36</v>
      </c>
      <c r="H971" t="s">
        <v>26</v>
      </c>
      <c r="I971" t="s">
        <v>20</v>
      </c>
      <c r="J971" t="s">
        <v>21</v>
      </c>
      <c r="K971">
        <v>69454</v>
      </c>
      <c r="L971" t="s">
        <v>33</v>
      </c>
      <c r="M971">
        <v>0.37</v>
      </c>
      <c r="N971">
        <v>0.78</v>
      </c>
      <c r="O971">
        <v>682.33</v>
      </c>
      <c r="P971">
        <v>0</v>
      </c>
      <c r="Q971">
        <f ca="1">DATEDIF(banking_loan_data[[#This Row],[Issue Date]],TODAY(),"M")</f>
        <v>36</v>
      </c>
      <c r="R971">
        <f t="shared" si="90"/>
        <v>1158.0030000000002</v>
      </c>
      <c r="S971">
        <f>+banking_loan_data[[#This Row],[Loan Amount]]+banking_loan_data[[#This Row],[Interest earned]]</f>
        <v>2829.0030000000002</v>
      </c>
      <c r="T971" s="2">
        <f t="shared" si="91"/>
        <v>-988.67</v>
      </c>
      <c r="U971" s="2">
        <f t="shared" si="92"/>
        <v>0</v>
      </c>
      <c r="V971" s="2" t="str">
        <f>IF(banking_loan_data[[#This Row],[Loan Status]]="FULLY PAID","GOOD",IF(banking_loan_data[[#This Row],[Loan Status]]="CURRENT","ACTIVE","BAD"))</f>
        <v>ACTIVE</v>
      </c>
      <c r="W97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71" s="3">
        <f t="shared" si="93"/>
        <v>3216.6750000000002</v>
      </c>
      <c r="Y971" s="4">
        <f t="shared" si="94"/>
        <v>-0.59166367444643919</v>
      </c>
      <c r="Z971" s="2" t="str">
        <f t="shared" si="95"/>
        <v>Normal</v>
      </c>
    </row>
    <row r="972" spans="1:26" x14ac:dyDescent="0.3">
      <c r="A972" t="s">
        <v>1986</v>
      </c>
      <c r="B972" s="1">
        <v>45130</v>
      </c>
      <c r="C972" t="s">
        <v>1987</v>
      </c>
      <c r="D972" t="s">
        <v>46</v>
      </c>
      <c r="E972">
        <v>1163</v>
      </c>
      <c r="F972">
        <v>8.3000000000000007</v>
      </c>
      <c r="G972">
        <v>36</v>
      </c>
      <c r="H972" t="s">
        <v>19</v>
      </c>
      <c r="I972" t="s">
        <v>84</v>
      </c>
      <c r="J972" t="s">
        <v>47</v>
      </c>
      <c r="K972">
        <v>31587</v>
      </c>
      <c r="L972" t="s">
        <v>33</v>
      </c>
      <c r="M972">
        <v>0.44</v>
      </c>
      <c r="N972">
        <v>0.94</v>
      </c>
      <c r="O972">
        <v>1259.53</v>
      </c>
      <c r="P972">
        <v>0</v>
      </c>
      <c r="Q972">
        <f ca="1">DATEDIF(banking_loan_data[[#This Row],[Issue Date]],TODAY(),"M")</f>
        <v>31</v>
      </c>
      <c r="R972">
        <f t="shared" si="90"/>
        <v>289.58700000000005</v>
      </c>
      <c r="S972">
        <f>+banking_loan_data[[#This Row],[Loan Amount]]+banking_loan_data[[#This Row],[Interest earned]]</f>
        <v>1452.587</v>
      </c>
      <c r="T972" s="2">
        <f t="shared" si="91"/>
        <v>96.529999999999973</v>
      </c>
      <c r="U972" s="2">
        <f t="shared" si="92"/>
        <v>0</v>
      </c>
      <c r="V972" s="2" t="str">
        <f>IF(banking_loan_data[[#This Row],[Loan Status]]="FULLY PAID","GOOD",IF(banking_loan_data[[#This Row],[Loan Status]]="CURRENT","ACTIVE","BAD"))</f>
        <v>GOOD</v>
      </c>
      <c r="W97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72" s="3">
        <f t="shared" si="93"/>
        <v>804.40833818782846</v>
      </c>
      <c r="Y972" s="4">
        <f t="shared" si="94"/>
        <v>8.3000859845227842E-2</v>
      </c>
      <c r="Z972" s="2" t="str">
        <f t="shared" si="95"/>
        <v>High Risk</v>
      </c>
    </row>
    <row r="973" spans="1:26" x14ac:dyDescent="0.3">
      <c r="A973" t="s">
        <v>1988</v>
      </c>
      <c r="B973" s="1">
        <v>45101</v>
      </c>
      <c r="C973" t="s">
        <v>1989</v>
      </c>
      <c r="D973" t="s">
        <v>50</v>
      </c>
      <c r="E973">
        <v>5795</v>
      </c>
      <c r="F973">
        <v>17.899999999999999</v>
      </c>
      <c r="G973">
        <v>36</v>
      </c>
      <c r="H973" t="s">
        <v>19</v>
      </c>
      <c r="I973" t="s">
        <v>20</v>
      </c>
      <c r="J973" t="s">
        <v>47</v>
      </c>
      <c r="K973">
        <v>138107</v>
      </c>
      <c r="L973" t="s">
        <v>33</v>
      </c>
      <c r="M973">
        <v>0.47</v>
      </c>
      <c r="N973">
        <v>0.65</v>
      </c>
      <c r="O973">
        <v>6832.3</v>
      </c>
      <c r="P973">
        <v>0</v>
      </c>
      <c r="Q973">
        <f ca="1">DATEDIF(banking_loan_data[[#This Row],[Issue Date]],TODAY(),"M")</f>
        <v>32</v>
      </c>
      <c r="R973">
        <f t="shared" si="90"/>
        <v>3111.9149999999995</v>
      </c>
      <c r="S973">
        <f>+banking_loan_data[[#This Row],[Loan Amount]]+banking_loan_data[[#This Row],[Interest earned]]</f>
        <v>8906.9149999999991</v>
      </c>
      <c r="T973" s="2">
        <f t="shared" si="91"/>
        <v>1037.3000000000002</v>
      </c>
      <c r="U973" s="2">
        <f t="shared" si="92"/>
        <v>0</v>
      </c>
      <c r="V973" s="2" t="str">
        <f>IF(banking_loan_data[[#This Row],[Loan Status]]="FULLY PAID","GOOD",IF(banking_loan_data[[#This Row],[Loan Status]]="CURRENT","ACTIVE","BAD"))</f>
        <v>GOOD</v>
      </c>
      <c r="W97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73" s="3">
        <f t="shared" si="93"/>
        <v>8644.2083333333776</v>
      </c>
      <c r="Y973" s="4">
        <f t="shared" si="94"/>
        <v>0.1789991371872304</v>
      </c>
      <c r="Z973" s="2" t="str">
        <f t="shared" si="95"/>
        <v>High Risk</v>
      </c>
    </row>
    <row r="974" spans="1:26" x14ac:dyDescent="0.3">
      <c r="A974" t="s">
        <v>1990</v>
      </c>
      <c r="B974" s="1">
        <v>45273</v>
      </c>
      <c r="C974" t="s">
        <v>1991</v>
      </c>
      <c r="D974" t="s">
        <v>53</v>
      </c>
      <c r="E974">
        <v>11634</v>
      </c>
      <c r="F974">
        <v>21.2</v>
      </c>
      <c r="G974">
        <v>36</v>
      </c>
      <c r="H974" t="s">
        <v>19</v>
      </c>
      <c r="I974" t="s">
        <v>27</v>
      </c>
      <c r="J974" t="s">
        <v>21</v>
      </c>
      <c r="K974">
        <v>145584</v>
      </c>
      <c r="L974" t="s">
        <v>22</v>
      </c>
      <c r="M974">
        <v>0.39</v>
      </c>
      <c r="N974">
        <v>0.53</v>
      </c>
      <c r="O974">
        <v>14100.41</v>
      </c>
      <c r="P974">
        <v>0</v>
      </c>
      <c r="Q974">
        <f ca="1">DATEDIF(banking_loan_data[[#This Row],[Issue Date]],TODAY(),"M")</f>
        <v>27</v>
      </c>
      <c r="R974">
        <f t="shared" si="90"/>
        <v>7399.2239999999993</v>
      </c>
      <c r="S974">
        <f>+banking_loan_data[[#This Row],[Loan Amount]]+banking_loan_data[[#This Row],[Interest earned]]</f>
        <v>19033.223999999998</v>
      </c>
      <c r="T974" s="2">
        <f t="shared" si="91"/>
        <v>2466.41</v>
      </c>
      <c r="U974" s="2">
        <f t="shared" si="92"/>
        <v>0</v>
      </c>
      <c r="V974" s="2" t="str">
        <f>IF(banking_loan_data[[#This Row],[Loan Status]]="FULLY PAID","GOOD",IF(banking_loan_data[[#This Row],[Loan Status]]="CURRENT","ACTIVE","BAD"))</f>
        <v>GOOD</v>
      </c>
      <c r="W97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974" s="3">
        <f t="shared" si="93"/>
        <v>20553.400000000001</v>
      </c>
      <c r="Y974" s="4">
        <f t="shared" si="94"/>
        <v>0.21200017190991918</v>
      </c>
      <c r="Z974" s="2" t="str">
        <f t="shared" si="95"/>
        <v>Normal</v>
      </c>
    </row>
    <row r="975" spans="1:26" x14ac:dyDescent="0.3">
      <c r="A975" t="s">
        <v>1992</v>
      </c>
      <c r="B975" s="1">
        <v>45136</v>
      </c>
      <c r="C975" t="s">
        <v>1993</v>
      </c>
      <c r="D975" t="s">
        <v>40</v>
      </c>
      <c r="E975">
        <v>5798</v>
      </c>
      <c r="F975">
        <v>23.9</v>
      </c>
      <c r="G975">
        <v>36</v>
      </c>
      <c r="H975" t="s">
        <v>26</v>
      </c>
      <c r="I975" t="s">
        <v>84</v>
      </c>
      <c r="J975" t="s">
        <v>47</v>
      </c>
      <c r="K975">
        <v>84710</v>
      </c>
      <c r="L975" t="s">
        <v>33</v>
      </c>
      <c r="M975">
        <v>0.21</v>
      </c>
      <c r="N975">
        <v>0.83</v>
      </c>
      <c r="O975">
        <v>1416.33</v>
      </c>
      <c r="P975">
        <v>0</v>
      </c>
      <c r="Q975">
        <f ca="1">DATEDIF(banking_loan_data[[#This Row],[Issue Date]],TODAY(),"M")</f>
        <v>31</v>
      </c>
      <c r="R975">
        <f t="shared" si="90"/>
        <v>4157.1659999999993</v>
      </c>
      <c r="S975">
        <f>+banking_loan_data[[#This Row],[Loan Amount]]+banking_loan_data[[#This Row],[Interest earned]]</f>
        <v>9955.1659999999993</v>
      </c>
      <c r="T975" s="2">
        <f t="shared" si="91"/>
        <v>-4381.67</v>
      </c>
      <c r="U975" s="2">
        <f t="shared" si="92"/>
        <v>0</v>
      </c>
      <c r="V975" s="2" t="str">
        <f>IF(banking_loan_data[[#This Row],[Loan Status]]="FULLY PAID","GOOD",IF(banking_loan_data[[#This Row],[Loan Status]]="CURRENT","ACTIVE","BAD"))</f>
        <v>ACTIVE</v>
      </c>
      <c r="W97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75" s="3">
        <f t="shared" si="93"/>
        <v>11547.683333333332</v>
      </c>
      <c r="Y975" s="4">
        <f t="shared" si="94"/>
        <v>-0.75572093825457054</v>
      </c>
      <c r="Z975" s="2" t="str">
        <f t="shared" si="95"/>
        <v>High Risk</v>
      </c>
    </row>
    <row r="976" spans="1:26" x14ac:dyDescent="0.3">
      <c r="A976" t="s">
        <v>1994</v>
      </c>
      <c r="B976" s="1">
        <v>45050</v>
      </c>
      <c r="C976" t="s">
        <v>1995</v>
      </c>
      <c r="D976" t="s">
        <v>40</v>
      </c>
      <c r="E976">
        <v>23420</v>
      </c>
      <c r="F976">
        <v>11.7</v>
      </c>
      <c r="G976">
        <v>36</v>
      </c>
      <c r="H976" t="s">
        <v>26</v>
      </c>
      <c r="I976" t="s">
        <v>73</v>
      </c>
      <c r="J976" t="s">
        <v>47</v>
      </c>
      <c r="K976">
        <v>116567</v>
      </c>
      <c r="L976" t="s">
        <v>29</v>
      </c>
      <c r="M976">
        <v>0.23</v>
      </c>
      <c r="N976">
        <v>0.73</v>
      </c>
      <c r="O976">
        <v>5945.15</v>
      </c>
      <c r="P976">
        <v>0</v>
      </c>
      <c r="Q976">
        <f ca="1">DATEDIF(banking_loan_data[[#This Row],[Issue Date]],TODAY(),"M")</f>
        <v>34</v>
      </c>
      <c r="R976">
        <f t="shared" si="90"/>
        <v>8220.42</v>
      </c>
      <c r="S976">
        <f>+banking_loan_data[[#This Row],[Loan Amount]]+banking_loan_data[[#This Row],[Interest earned]]</f>
        <v>31640.42</v>
      </c>
      <c r="T976" s="2">
        <f t="shared" si="91"/>
        <v>-17474.849999999999</v>
      </c>
      <c r="U976" s="2">
        <f t="shared" si="92"/>
        <v>0</v>
      </c>
      <c r="V976" s="2" t="str">
        <f>IF(banking_loan_data[[#This Row],[Loan Status]]="FULLY PAID","GOOD",IF(banking_loan_data[[#This Row],[Loan Status]]="CURRENT","ACTIVE","BAD"))</f>
        <v>ACTIVE</v>
      </c>
      <c r="W97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76" s="3">
        <f t="shared" si="93"/>
        <v>22834.500000522607</v>
      </c>
      <c r="Y976" s="4">
        <f t="shared" si="94"/>
        <v>-0.74615072587532016</v>
      </c>
      <c r="Z976" s="2" t="str">
        <f t="shared" si="95"/>
        <v>Normal</v>
      </c>
    </row>
    <row r="977" spans="1:26" x14ac:dyDescent="0.3">
      <c r="A977" t="s">
        <v>1996</v>
      </c>
      <c r="B977" s="1">
        <v>44789</v>
      </c>
      <c r="C977" t="s">
        <v>1997</v>
      </c>
      <c r="D977" t="s">
        <v>65</v>
      </c>
      <c r="E977">
        <v>30300</v>
      </c>
      <c r="F977">
        <v>19.5</v>
      </c>
      <c r="G977">
        <v>36</v>
      </c>
      <c r="H977" t="s">
        <v>19</v>
      </c>
      <c r="I977" t="s">
        <v>57</v>
      </c>
      <c r="J977" t="s">
        <v>28</v>
      </c>
      <c r="K977">
        <v>121748</v>
      </c>
      <c r="L977" t="s">
        <v>33</v>
      </c>
      <c r="M977">
        <v>0.11</v>
      </c>
      <c r="N977">
        <v>0.6</v>
      </c>
      <c r="O977">
        <v>36208.5</v>
      </c>
      <c r="P977">
        <v>0</v>
      </c>
      <c r="Q977">
        <f ca="1">DATEDIF(banking_loan_data[[#This Row],[Issue Date]],TODAY(),"M")</f>
        <v>43</v>
      </c>
      <c r="R977">
        <f t="shared" si="90"/>
        <v>17725.5</v>
      </c>
      <c r="S977">
        <f>+banking_loan_data[[#This Row],[Loan Amount]]+banking_loan_data[[#This Row],[Interest earned]]</f>
        <v>48025.5</v>
      </c>
      <c r="T977" s="2">
        <f t="shared" si="91"/>
        <v>5908.5</v>
      </c>
      <c r="U977" s="2">
        <f t="shared" si="92"/>
        <v>0</v>
      </c>
      <c r="V977" s="2" t="str">
        <f>IF(banking_loan_data[[#This Row],[Loan Status]]="FULLY PAID","GOOD",IF(banking_loan_data[[#This Row],[Loan Status]]="CURRENT","ACTIVE","BAD"))</f>
        <v>GOOD</v>
      </c>
      <c r="W97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77" s="3">
        <f t="shared" si="93"/>
        <v>49237.500000000036</v>
      </c>
      <c r="Y977" s="4">
        <f t="shared" si="94"/>
        <v>0.19500000000000001</v>
      </c>
      <c r="Z977" s="2" t="str">
        <f t="shared" si="95"/>
        <v>Normal</v>
      </c>
    </row>
    <row r="978" spans="1:26" x14ac:dyDescent="0.3">
      <c r="A978" t="s">
        <v>1998</v>
      </c>
      <c r="B978" s="1">
        <v>44910</v>
      </c>
      <c r="C978" t="s">
        <v>1999</v>
      </c>
      <c r="D978" t="s">
        <v>40</v>
      </c>
      <c r="E978">
        <v>25345</v>
      </c>
      <c r="F978">
        <v>15.8</v>
      </c>
      <c r="G978">
        <v>36</v>
      </c>
      <c r="H978" t="s">
        <v>81</v>
      </c>
      <c r="I978" t="s">
        <v>20</v>
      </c>
      <c r="J978" t="s">
        <v>37</v>
      </c>
      <c r="K978">
        <v>105886</v>
      </c>
      <c r="L978" t="s">
        <v>22</v>
      </c>
      <c r="M978">
        <v>0.4</v>
      </c>
      <c r="N978">
        <v>0.85</v>
      </c>
      <c r="O978">
        <v>6434.2</v>
      </c>
      <c r="P978">
        <v>4640.18</v>
      </c>
      <c r="Q978">
        <f ca="1">DATEDIF(banking_loan_data[[#This Row],[Issue Date]],TODAY(),"M")</f>
        <v>39</v>
      </c>
      <c r="R978">
        <f t="shared" si="90"/>
        <v>12013.53</v>
      </c>
      <c r="S978">
        <f>+banking_loan_data[[#This Row],[Loan Amount]]+banking_loan_data[[#This Row],[Interest earned]]</f>
        <v>37358.53</v>
      </c>
      <c r="T978" s="2">
        <f t="shared" si="91"/>
        <v>-14270.619999999999</v>
      </c>
      <c r="U978" s="2">
        <f t="shared" si="92"/>
        <v>1</v>
      </c>
      <c r="V978" s="2" t="str">
        <f>IF(banking_loan_data[[#This Row],[Loan Status]]="FULLY PAID","GOOD",IF(banking_loan_data[[#This Row],[Loan Status]]="CURRENT","ACTIVE","BAD"))</f>
        <v>BAD</v>
      </c>
      <c r="W97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78" s="3">
        <f t="shared" si="93"/>
        <v>33370.916666669109</v>
      </c>
      <c r="Y978" s="4">
        <f t="shared" si="94"/>
        <v>-0.56305464588676268</v>
      </c>
      <c r="Z978" s="2" t="str">
        <f t="shared" si="95"/>
        <v>High Risk</v>
      </c>
    </row>
    <row r="979" spans="1:26" x14ac:dyDescent="0.3">
      <c r="A979" t="s">
        <v>2000</v>
      </c>
      <c r="B979" s="1">
        <v>44828</v>
      </c>
      <c r="C979" t="s">
        <v>2001</v>
      </c>
      <c r="D979" t="s">
        <v>65</v>
      </c>
      <c r="E979">
        <v>11749</v>
      </c>
      <c r="F979">
        <v>6.2</v>
      </c>
      <c r="G979">
        <v>60</v>
      </c>
      <c r="H979" t="s">
        <v>19</v>
      </c>
      <c r="I979" t="s">
        <v>27</v>
      </c>
      <c r="J979" t="s">
        <v>37</v>
      </c>
      <c r="K979">
        <v>48816</v>
      </c>
      <c r="L979" t="s">
        <v>29</v>
      </c>
      <c r="M979">
        <v>0.12</v>
      </c>
      <c r="N979">
        <v>0.59</v>
      </c>
      <c r="O979">
        <v>12477.44</v>
      </c>
      <c r="P979">
        <v>0</v>
      </c>
      <c r="Q979">
        <f ca="1">DATEDIF(banking_loan_data[[#This Row],[Issue Date]],TODAY(),"M")</f>
        <v>41</v>
      </c>
      <c r="R979">
        <f t="shared" si="90"/>
        <v>3642.19</v>
      </c>
      <c r="S979">
        <f>+banking_loan_data[[#This Row],[Loan Amount]]+banking_loan_data[[#This Row],[Interest earned]]</f>
        <v>15391.19</v>
      </c>
      <c r="T979" s="2">
        <f t="shared" si="91"/>
        <v>728.44000000000051</v>
      </c>
      <c r="U979" s="2">
        <f t="shared" si="92"/>
        <v>0</v>
      </c>
      <c r="V979" s="2" t="str">
        <f>IF(banking_loan_data[[#This Row],[Loan Status]]="FULLY PAID","GOOD",IF(banking_loan_data[[#This Row],[Loan Status]]="CURRENT","ACTIVE","BAD"))</f>
        <v>GOOD</v>
      </c>
      <c r="W97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979" s="3">
        <f t="shared" si="93"/>
        <v>6070.3166667517416</v>
      </c>
      <c r="Y979" s="4">
        <f t="shared" si="94"/>
        <v>6.2000170227253425E-2</v>
      </c>
      <c r="Z979" s="2" t="str">
        <f t="shared" si="95"/>
        <v>Normal</v>
      </c>
    </row>
    <row r="980" spans="1:26" x14ac:dyDescent="0.3">
      <c r="A980" t="s">
        <v>2002</v>
      </c>
      <c r="B980" s="1">
        <v>44255</v>
      </c>
      <c r="C980" t="s">
        <v>2003</v>
      </c>
      <c r="D980" t="s">
        <v>53</v>
      </c>
      <c r="E980">
        <v>39595</v>
      </c>
      <c r="F980">
        <v>18.8</v>
      </c>
      <c r="G980">
        <v>60</v>
      </c>
      <c r="H980" t="s">
        <v>81</v>
      </c>
      <c r="I980" t="s">
        <v>73</v>
      </c>
      <c r="J980" t="s">
        <v>37</v>
      </c>
      <c r="K980">
        <v>115824</v>
      </c>
      <c r="L980" t="s">
        <v>22</v>
      </c>
      <c r="M980">
        <v>0.45</v>
      </c>
      <c r="N980">
        <v>0.62</v>
      </c>
      <c r="O980">
        <v>12429.24</v>
      </c>
      <c r="P980">
        <v>11066.94</v>
      </c>
      <c r="Q980">
        <f ca="1">DATEDIF(banking_loan_data[[#This Row],[Issue Date]],TODAY(),"M")</f>
        <v>60</v>
      </c>
      <c r="R980">
        <f t="shared" si="90"/>
        <v>37219.299999999996</v>
      </c>
      <c r="S980">
        <f>+banking_loan_data[[#This Row],[Loan Amount]]+banking_loan_data[[#This Row],[Interest earned]]</f>
        <v>76814.299999999988</v>
      </c>
      <c r="T980" s="2">
        <f t="shared" si="91"/>
        <v>-16098.82</v>
      </c>
      <c r="U980" s="2">
        <f t="shared" si="92"/>
        <v>1</v>
      </c>
      <c r="V980" s="2" t="str">
        <f>IF(banking_loan_data[[#This Row],[Loan Status]]="FULLY PAID","GOOD",IF(banking_loan_data[[#This Row],[Loan Status]]="CURRENT","ACTIVE","BAD"))</f>
        <v>BAD</v>
      </c>
      <c r="W98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80" s="3">
        <f t="shared" si="93"/>
        <v>62032.166666666664</v>
      </c>
      <c r="Y980" s="4">
        <f t="shared" si="94"/>
        <v>-0.40658719535294857</v>
      </c>
      <c r="Z980" s="2" t="str">
        <f t="shared" si="95"/>
        <v>High Risk</v>
      </c>
    </row>
    <row r="981" spans="1:26" x14ac:dyDescent="0.3">
      <c r="A981" t="s">
        <v>2004</v>
      </c>
      <c r="B981" s="1">
        <v>44324</v>
      </c>
      <c r="C981" t="s">
        <v>2005</v>
      </c>
      <c r="D981" t="s">
        <v>65</v>
      </c>
      <c r="E981">
        <v>26121</v>
      </c>
      <c r="F981">
        <v>18.8</v>
      </c>
      <c r="G981">
        <v>60</v>
      </c>
      <c r="H981" t="s">
        <v>315</v>
      </c>
      <c r="I981" t="s">
        <v>27</v>
      </c>
      <c r="J981" t="s">
        <v>32</v>
      </c>
      <c r="K981">
        <v>59432</v>
      </c>
      <c r="L981" t="s">
        <v>29</v>
      </c>
      <c r="M981">
        <v>0.15</v>
      </c>
      <c r="N981">
        <v>0.54</v>
      </c>
      <c r="O981">
        <v>0</v>
      </c>
      <c r="P981">
        <v>0</v>
      </c>
      <c r="Q981">
        <f ca="1">DATEDIF(banking_loan_data[[#This Row],[Issue Date]],TODAY(),"M")</f>
        <v>58</v>
      </c>
      <c r="R981">
        <f t="shared" si="90"/>
        <v>24553.74</v>
      </c>
      <c r="S981">
        <f>+banking_loan_data[[#This Row],[Loan Amount]]+banking_loan_data[[#This Row],[Interest earned]]</f>
        <v>50674.740000000005</v>
      </c>
      <c r="T981" s="2">
        <f t="shared" si="91"/>
        <v>-26121</v>
      </c>
      <c r="U981" s="2">
        <f t="shared" si="92"/>
        <v>0</v>
      </c>
      <c r="V981" s="2" t="str">
        <f>IF(banking_loan_data[[#This Row],[Loan Status]]="FULLY PAID","GOOD",IF(banking_loan_data[[#This Row],[Loan Status]]="CURRENT","ACTIVE","BAD"))</f>
        <v>BAD</v>
      </c>
      <c r="W98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981" s="3">
        <f t="shared" si="93"/>
        <v>40922.9</v>
      </c>
      <c r="Y981" s="4">
        <f t="shared" si="94"/>
        <v>-1</v>
      </c>
      <c r="Z981" s="2" t="str">
        <f t="shared" si="95"/>
        <v>Normal</v>
      </c>
    </row>
    <row r="982" spans="1:26" x14ac:dyDescent="0.3">
      <c r="A982" t="s">
        <v>2006</v>
      </c>
      <c r="B982" s="1">
        <v>44932</v>
      </c>
      <c r="C982" t="s">
        <v>2007</v>
      </c>
      <c r="D982" t="s">
        <v>56</v>
      </c>
      <c r="E982">
        <v>38487</v>
      </c>
      <c r="F982">
        <v>23.6</v>
      </c>
      <c r="G982">
        <v>60</v>
      </c>
      <c r="H982" t="s">
        <v>81</v>
      </c>
      <c r="I982" t="s">
        <v>20</v>
      </c>
      <c r="J982" t="s">
        <v>28</v>
      </c>
      <c r="K982">
        <v>139758</v>
      </c>
      <c r="L982" t="s">
        <v>33</v>
      </c>
      <c r="M982">
        <v>0.17</v>
      </c>
      <c r="N982">
        <v>0.68</v>
      </c>
      <c r="O982">
        <v>7006.59</v>
      </c>
      <c r="P982">
        <v>17357.919999999998</v>
      </c>
      <c r="Q982">
        <f ca="1">DATEDIF(banking_loan_data[[#This Row],[Issue Date]],TODAY(),"M")</f>
        <v>38</v>
      </c>
      <c r="R982">
        <f t="shared" si="90"/>
        <v>45414.66</v>
      </c>
      <c r="S982">
        <f>+banking_loan_data[[#This Row],[Loan Amount]]+banking_loan_data[[#This Row],[Interest earned]]</f>
        <v>83901.66</v>
      </c>
      <c r="T982" s="2">
        <f t="shared" si="91"/>
        <v>-14122.490000000002</v>
      </c>
      <c r="U982" s="2">
        <f t="shared" si="92"/>
        <v>1</v>
      </c>
      <c r="V982" s="2" t="str">
        <f>IF(banking_loan_data[[#This Row],[Loan Status]]="FULLY PAID","GOOD",IF(banking_loan_data[[#This Row],[Loan Status]]="CURRENT","ACTIVE","BAD"))</f>
        <v>BAD</v>
      </c>
      <c r="W98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82" s="3">
        <f t="shared" si="93"/>
        <v>75691.100000000006</v>
      </c>
      <c r="Y982" s="4">
        <f t="shared" si="94"/>
        <v>-0.366941824512173</v>
      </c>
      <c r="Z982" s="2" t="str">
        <f t="shared" si="95"/>
        <v>Normal</v>
      </c>
    </row>
    <row r="983" spans="1:26" x14ac:dyDescent="0.3">
      <c r="A983" t="s">
        <v>2008</v>
      </c>
      <c r="B983" s="1">
        <v>44917</v>
      </c>
      <c r="C983" t="s">
        <v>2009</v>
      </c>
      <c r="D983" t="s">
        <v>50</v>
      </c>
      <c r="E983">
        <v>29411</v>
      </c>
      <c r="F983">
        <v>14.9</v>
      </c>
      <c r="G983">
        <v>36</v>
      </c>
      <c r="H983" t="s">
        <v>26</v>
      </c>
      <c r="I983" t="s">
        <v>36</v>
      </c>
      <c r="J983" t="s">
        <v>37</v>
      </c>
      <c r="K983">
        <v>78617</v>
      </c>
      <c r="L983" t="s">
        <v>22</v>
      </c>
      <c r="M983">
        <v>0.28999999999999998</v>
      </c>
      <c r="N983">
        <v>0.69</v>
      </c>
      <c r="O983">
        <v>3079.75</v>
      </c>
      <c r="P983">
        <v>0</v>
      </c>
      <c r="Q983">
        <f ca="1">DATEDIF(banking_loan_data[[#This Row],[Issue Date]],TODAY(),"M")</f>
        <v>38</v>
      </c>
      <c r="R983">
        <f t="shared" si="90"/>
        <v>13146.717000000002</v>
      </c>
      <c r="S983">
        <f>+banking_loan_data[[#This Row],[Loan Amount]]+banking_loan_data[[#This Row],[Interest earned]]</f>
        <v>42557.717000000004</v>
      </c>
      <c r="T983" s="2">
        <f t="shared" si="91"/>
        <v>-26331.25</v>
      </c>
      <c r="U983" s="2">
        <f t="shared" si="92"/>
        <v>0</v>
      </c>
      <c r="V983" s="2" t="str">
        <f>IF(banking_loan_data[[#This Row],[Loan Status]]="FULLY PAID","GOOD",IF(banking_loan_data[[#This Row],[Loan Status]]="CURRENT","ACTIVE","BAD"))</f>
        <v>ACTIVE</v>
      </c>
      <c r="W98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83" s="3">
        <f t="shared" si="93"/>
        <v>36518.658333342086</v>
      </c>
      <c r="Y983" s="4">
        <f t="shared" si="94"/>
        <v>-0.8952857774302132</v>
      </c>
      <c r="Z983" s="2" t="str">
        <f t="shared" si="95"/>
        <v>Normal</v>
      </c>
    </row>
    <row r="984" spans="1:26" x14ac:dyDescent="0.3">
      <c r="A984" t="s">
        <v>2010</v>
      </c>
      <c r="B984" s="1">
        <v>44722</v>
      </c>
      <c r="C984" t="s">
        <v>2011</v>
      </c>
      <c r="D984" t="s">
        <v>18</v>
      </c>
      <c r="E984">
        <v>34361</v>
      </c>
      <c r="F984">
        <v>9.6</v>
      </c>
      <c r="G984">
        <v>60</v>
      </c>
      <c r="H984" t="s">
        <v>19</v>
      </c>
      <c r="I984" t="s">
        <v>20</v>
      </c>
      <c r="J984" t="s">
        <v>37</v>
      </c>
      <c r="K984">
        <v>102373</v>
      </c>
      <c r="L984" t="s">
        <v>29</v>
      </c>
      <c r="M984">
        <v>0.4</v>
      </c>
      <c r="N984">
        <v>0.73</v>
      </c>
      <c r="O984">
        <v>37659.660000000003</v>
      </c>
      <c r="P984">
        <v>0</v>
      </c>
      <c r="Q984">
        <f ca="1">DATEDIF(banking_loan_data[[#This Row],[Issue Date]],TODAY(),"M")</f>
        <v>45</v>
      </c>
      <c r="R984">
        <f t="shared" si="90"/>
        <v>16493.28</v>
      </c>
      <c r="S984">
        <f>+banking_loan_data[[#This Row],[Loan Amount]]+banking_loan_data[[#This Row],[Interest earned]]</f>
        <v>50854.28</v>
      </c>
      <c r="T984" s="2">
        <f t="shared" si="91"/>
        <v>3298.6600000000035</v>
      </c>
      <c r="U984" s="2">
        <f t="shared" si="92"/>
        <v>0</v>
      </c>
      <c r="V984" s="2" t="str">
        <f>IF(banking_loan_data[[#This Row],[Loan Status]]="FULLY PAID","GOOD",IF(banking_loan_data[[#This Row],[Loan Status]]="CURRENT","ACTIVE","BAD"))</f>
        <v>GOOD</v>
      </c>
      <c r="W98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84" s="3">
        <f t="shared" si="93"/>
        <v>27488.80000000001</v>
      </c>
      <c r="Y984" s="4">
        <f t="shared" si="94"/>
        <v>9.6000116411047512E-2</v>
      </c>
      <c r="Z984" s="2" t="str">
        <f t="shared" si="95"/>
        <v>Normal</v>
      </c>
    </row>
    <row r="985" spans="1:26" x14ac:dyDescent="0.3">
      <c r="A985" t="s">
        <v>2012</v>
      </c>
      <c r="B985" s="1">
        <v>44717</v>
      </c>
      <c r="C985" t="s">
        <v>2013</v>
      </c>
      <c r="D985" t="s">
        <v>72</v>
      </c>
      <c r="E985">
        <v>22223</v>
      </c>
      <c r="F985">
        <v>5.9</v>
      </c>
      <c r="G985">
        <v>60</v>
      </c>
      <c r="H985" t="s">
        <v>19</v>
      </c>
      <c r="I985" t="s">
        <v>57</v>
      </c>
      <c r="J985" t="s">
        <v>28</v>
      </c>
      <c r="K985">
        <v>64217</v>
      </c>
      <c r="L985" t="s">
        <v>33</v>
      </c>
      <c r="M985">
        <v>0.16</v>
      </c>
      <c r="N985">
        <v>0.82</v>
      </c>
      <c r="O985">
        <v>23534.16</v>
      </c>
      <c r="P985">
        <v>0</v>
      </c>
      <c r="Q985">
        <f ca="1">DATEDIF(banking_loan_data[[#This Row],[Issue Date]],TODAY(),"M")</f>
        <v>45</v>
      </c>
      <c r="R985">
        <f t="shared" si="90"/>
        <v>6555.7850000000008</v>
      </c>
      <c r="S985">
        <f>+banking_loan_data[[#This Row],[Loan Amount]]+banking_loan_data[[#This Row],[Interest earned]]</f>
        <v>28778.785</v>
      </c>
      <c r="T985" s="2">
        <f t="shared" si="91"/>
        <v>1311.1599999999999</v>
      </c>
      <c r="U985" s="2">
        <f t="shared" si="92"/>
        <v>0</v>
      </c>
      <c r="V985" s="2" t="str">
        <f>IF(banking_loan_data[[#This Row],[Loan Status]]="FULLY PAID","GOOD",IF(banking_loan_data[[#This Row],[Loan Status]]="CURRENT","ACTIVE","BAD"))</f>
        <v>GOOD</v>
      </c>
      <c r="W98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85" s="3">
        <f t="shared" si="93"/>
        <v>10926.308333748448</v>
      </c>
      <c r="Y985" s="4">
        <f t="shared" si="94"/>
        <v>5.9000134995275157E-2</v>
      </c>
      <c r="Z985" s="2" t="str">
        <f t="shared" si="95"/>
        <v>High Risk</v>
      </c>
    </row>
    <row r="986" spans="1:26" x14ac:dyDescent="0.3">
      <c r="A986" t="s">
        <v>2014</v>
      </c>
      <c r="B986" s="1">
        <v>44748</v>
      </c>
      <c r="C986" t="s">
        <v>2015</v>
      </c>
      <c r="D986" t="s">
        <v>50</v>
      </c>
      <c r="E986">
        <v>8394</v>
      </c>
      <c r="F986">
        <v>13.3</v>
      </c>
      <c r="G986">
        <v>36</v>
      </c>
      <c r="H986" t="s">
        <v>26</v>
      </c>
      <c r="I986" t="s">
        <v>57</v>
      </c>
      <c r="J986" t="s">
        <v>47</v>
      </c>
      <c r="K986">
        <v>50884</v>
      </c>
      <c r="L986" t="s">
        <v>29</v>
      </c>
      <c r="M986">
        <v>0.28000000000000003</v>
      </c>
      <c r="N986">
        <v>0.91</v>
      </c>
      <c r="O986">
        <v>2520.1</v>
      </c>
      <c r="P986">
        <v>0</v>
      </c>
      <c r="Q986">
        <f ca="1">DATEDIF(banking_loan_data[[#This Row],[Issue Date]],TODAY(),"M")</f>
        <v>44</v>
      </c>
      <c r="R986">
        <f t="shared" si="90"/>
        <v>3349.2060000000001</v>
      </c>
      <c r="S986">
        <f>+banking_loan_data[[#This Row],[Loan Amount]]+banking_loan_data[[#This Row],[Interest earned]]</f>
        <v>11743.206</v>
      </c>
      <c r="T986" s="2">
        <f t="shared" si="91"/>
        <v>-5873.9</v>
      </c>
      <c r="U986" s="2">
        <f t="shared" si="92"/>
        <v>0</v>
      </c>
      <c r="V986" s="2" t="str">
        <f>IF(banking_loan_data[[#This Row],[Loan Status]]="FULLY PAID","GOOD",IF(banking_loan_data[[#This Row],[Loan Status]]="CURRENT","ACTIVE","BAD"))</f>
        <v>ACTIVE</v>
      </c>
      <c r="W98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86" s="3">
        <f t="shared" si="93"/>
        <v>9303.3500000202675</v>
      </c>
      <c r="Y986" s="4">
        <f t="shared" si="94"/>
        <v>-0.69977364784369789</v>
      </c>
      <c r="Z986" s="2" t="str">
        <f t="shared" si="95"/>
        <v>High Risk</v>
      </c>
    </row>
    <row r="987" spans="1:26" x14ac:dyDescent="0.3">
      <c r="A987" t="s">
        <v>2016</v>
      </c>
      <c r="B987" s="1">
        <v>44433</v>
      </c>
      <c r="C987" t="s">
        <v>2017</v>
      </c>
      <c r="D987" t="s">
        <v>50</v>
      </c>
      <c r="E987">
        <v>15056</v>
      </c>
      <c r="F987">
        <v>11</v>
      </c>
      <c r="G987">
        <v>60</v>
      </c>
      <c r="H987" t="s">
        <v>19</v>
      </c>
      <c r="I987" t="s">
        <v>20</v>
      </c>
      <c r="J987" t="s">
        <v>37</v>
      </c>
      <c r="K987">
        <v>35454</v>
      </c>
      <c r="L987" t="s">
        <v>22</v>
      </c>
      <c r="M987">
        <v>0.28999999999999998</v>
      </c>
      <c r="N987">
        <v>0.56000000000000005</v>
      </c>
      <c r="O987">
        <v>16712.16</v>
      </c>
      <c r="P987">
        <v>0</v>
      </c>
      <c r="Q987">
        <f ca="1">DATEDIF(banking_loan_data[[#This Row],[Issue Date]],TODAY(),"M")</f>
        <v>54</v>
      </c>
      <c r="R987">
        <f t="shared" si="90"/>
        <v>8280.8000000000011</v>
      </c>
      <c r="S987">
        <f>+banking_loan_data[[#This Row],[Loan Amount]]+banking_loan_data[[#This Row],[Interest earned]]</f>
        <v>23336.800000000003</v>
      </c>
      <c r="T987" s="2">
        <f t="shared" si="91"/>
        <v>1656.1599999999999</v>
      </c>
      <c r="U987" s="2">
        <f t="shared" si="92"/>
        <v>0</v>
      </c>
      <c r="V987" s="2" t="str">
        <f>IF(banking_loan_data[[#This Row],[Loan Status]]="FULLY PAID","GOOD",IF(banking_loan_data[[#This Row],[Loan Status]]="CURRENT","ACTIVE","BAD"))</f>
        <v>GOOD</v>
      </c>
      <c r="W98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87" s="3">
        <f t="shared" si="93"/>
        <v>13801.333333333332</v>
      </c>
      <c r="Y987" s="4">
        <f t="shared" si="94"/>
        <v>0.10999999999999999</v>
      </c>
      <c r="Z987" s="2" t="str">
        <f t="shared" si="95"/>
        <v>Normal</v>
      </c>
    </row>
    <row r="988" spans="1:26" x14ac:dyDescent="0.3">
      <c r="A988" t="s">
        <v>2018</v>
      </c>
      <c r="B988" s="1">
        <v>44690</v>
      </c>
      <c r="C988" t="s">
        <v>2019</v>
      </c>
      <c r="D988" t="s">
        <v>76</v>
      </c>
      <c r="E988">
        <v>29380</v>
      </c>
      <c r="F988">
        <v>20.2</v>
      </c>
      <c r="G988">
        <v>60</v>
      </c>
      <c r="H988" t="s">
        <v>19</v>
      </c>
      <c r="I988" t="s">
        <v>73</v>
      </c>
      <c r="J988" t="s">
        <v>47</v>
      </c>
      <c r="K988">
        <v>104960</v>
      </c>
      <c r="L988" t="s">
        <v>22</v>
      </c>
      <c r="M988">
        <v>0.18</v>
      </c>
      <c r="N988">
        <v>0.52</v>
      </c>
      <c r="O988">
        <v>35314.76</v>
      </c>
      <c r="P988">
        <v>0</v>
      </c>
      <c r="Q988">
        <f ca="1">DATEDIF(banking_loan_data[[#This Row],[Issue Date]],TODAY(),"M")</f>
        <v>46</v>
      </c>
      <c r="R988">
        <f t="shared" si="90"/>
        <v>29673.800000000003</v>
      </c>
      <c r="S988">
        <f>+banking_loan_data[[#This Row],[Loan Amount]]+banking_loan_data[[#This Row],[Interest earned]]</f>
        <v>59053.8</v>
      </c>
      <c r="T988" s="2">
        <f t="shared" si="91"/>
        <v>5934.760000000002</v>
      </c>
      <c r="U988" s="2">
        <f t="shared" si="92"/>
        <v>0</v>
      </c>
      <c r="V988" s="2" t="str">
        <f>IF(banking_loan_data[[#This Row],[Loan Status]]="FULLY PAID","GOOD",IF(banking_loan_data[[#This Row],[Loan Status]]="CURRENT","ACTIVE","BAD"))</f>
        <v>GOOD</v>
      </c>
      <c r="W98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88" s="3">
        <f t="shared" si="93"/>
        <v>49456.333333333336</v>
      </c>
      <c r="Y988" s="4">
        <f t="shared" si="94"/>
        <v>0.20200000000000007</v>
      </c>
      <c r="Z988" s="2" t="str">
        <f t="shared" si="95"/>
        <v>Normal</v>
      </c>
    </row>
    <row r="989" spans="1:26" x14ac:dyDescent="0.3">
      <c r="A989" t="s">
        <v>2020</v>
      </c>
      <c r="B989" s="1">
        <v>44200</v>
      </c>
      <c r="C989" t="s">
        <v>2021</v>
      </c>
      <c r="D989" t="s">
        <v>46</v>
      </c>
      <c r="E989">
        <v>27035</v>
      </c>
      <c r="F989">
        <v>12.1</v>
      </c>
      <c r="G989">
        <v>36</v>
      </c>
      <c r="H989" t="s">
        <v>26</v>
      </c>
      <c r="I989" t="s">
        <v>27</v>
      </c>
      <c r="J989" t="s">
        <v>37</v>
      </c>
      <c r="K989">
        <v>132421</v>
      </c>
      <c r="L989" t="s">
        <v>22</v>
      </c>
      <c r="M989">
        <v>0.15</v>
      </c>
      <c r="N989">
        <v>0.51</v>
      </c>
      <c r="O989">
        <v>5329.68</v>
      </c>
      <c r="P989">
        <v>0</v>
      </c>
      <c r="Q989">
        <f ca="1">DATEDIF(banking_loan_data[[#This Row],[Issue Date]],TODAY(),"M")</f>
        <v>62</v>
      </c>
      <c r="R989">
        <f t="shared" si="90"/>
        <v>9813.7049999999999</v>
      </c>
      <c r="S989">
        <f>+banking_loan_data[[#This Row],[Loan Amount]]+banking_loan_data[[#This Row],[Interest earned]]</f>
        <v>36848.705000000002</v>
      </c>
      <c r="T989" s="2">
        <f t="shared" si="91"/>
        <v>-21705.32</v>
      </c>
      <c r="U989" s="2">
        <f t="shared" si="92"/>
        <v>0</v>
      </c>
      <c r="V989" s="2" t="str">
        <f>IF(banking_loan_data[[#This Row],[Loan Status]]="FULLY PAID","GOOD",IF(banking_loan_data[[#This Row],[Loan Status]]="CURRENT","ACTIVE","BAD"))</f>
        <v>ACTIVE</v>
      </c>
      <c r="W98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989" s="3">
        <f t="shared" si="93"/>
        <v>27260.291667008205</v>
      </c>
      <c r="Y989" s="4">
        <f t="shared" si="94"/>
        <v>-0.80285999630109117</v>
      </c>
      <c r="Z989" s="2" t="str">
        <f t="shared" si="95"/>
        <v>Normal</v>
      </c>
    </row>
    <row r="990" spans="1:26" x14ac:dyDescent="0.3">
      <c r="A990" t="s">
        <v>2022</v>
      </c>
      <c r="B990" s="1">
        <v>44862</v>
      </c>
      <c r="C990" t="s">
        <v>2023</v>
      </c>
      <c r="D990" t="s">
        <v>46</v>
      </c>
      <c r="E990">
        <v>31620</v>
      </c>
      <c r="F990">
        <v>24</v>
      </c>
      <c r="G990">
        <v>36</v>
      </c>
      <c r="H990" t="s">
        <v>19</v>
      </c>
      <c r="I990" t="s">
        <v>84</v>
      </c>
      <c r="J990" t="s">
        <v>21</v>
      </c>
      <c r="K990">
        <v>137173</v>
      </c>
      <c r="L990" t="s">
        <v>22</v>
      </c>
      <c r="M990">
        <v>0.43</v>
      </c>
      <c r="N990">
        <v>0.56000000000000005</v>
      </c>
      <c r="O990">
        <v>39208.800000000003</v>
      </c>
      <c r="P990">
        <v>0</v>
      </c>
      <c r="Q990">
        <f ca="1">DATEDIF(banking_loan_data[[#This Row],[Issue Date]],TODAY(),"M")</f>
        <v>40</v>
      </c>
      <c r="R990">
        <f t="shared" si="90"/>
        <v>22766.399999999998</v>
      </c>
      <c r="S990">
        <f>+banking_loan_data[[#This Row],[Loan Amount]]+banking_loan_data[[#This Row],[Interest earned]]</f>
        <v>54386.399999999994</v>
      </c>
      <c r="T990" s="2">
        <f t="shared" si="91"/>
        <v>7588.8000000000029</v>
      </c>
      <c r="U990" s="2">
        <f t="shared" si="92"/>
        <v>0</v>
      </c>
      <c r="V990" s="2" t="str">
        <f>IF(banking_loan_data[[#This Row],[Loan Status]]="FULLY PAID","GOOD",IF(banking_loan_data[[#This Row],[Loan Status]]="CURRENT","ACTIVE","BAD"))</f>
        <v>GOOD</v>
      </c>
      <c r="W99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90" s="3">
        <f t="shared" si="93"/>
        <v>63240</v>
      </c>
      <c r="Y990" s="4">
        <f t="shared" si="94"/>
        <v>0.2400000000000001</v>
      </c>
      <c r="Z990" s="2" t="str">
        <f t="shared" si="95"/>
        <v>High Risk</v>
      </c>
    </row>
    <row r="991" spans="1:26" x14ac:dyDescent="0.3">
      <c r="A991" t="s">
        <v>2024</v>
      </c>
      <c r="B991" s="1">
        <v>44638</v>
      </c>
      <c r="C991" t="s">
        <v>2025</v>
      </c>
      <c r="D991" t="s">
        <v>25</v>
      </c>
      <c r="E991">
        <v>20877</v>
      </c>
      <c r="F991">
        <v>24.2</v>
      </c>
      <c r="G991">
        <v>36</v>
      </c>
      <c r="H991" t="s">
        <v>81</v>
      </c>
      <c r="I991" t="s">
        <v>84</v>
      </c>
      <c r="J991" t="s">
        <v>32</v>
      </c>
      <c r="K991">
        <v>73618</v>
      </c>
      <c r="L991" t="s">
        <v>33</v>
      </c>
      <c r="M991">
        <v>0.3</v>
      </c>
      <c r="N991">
        <v>0.8</v>
      </c>
      <c r="O991">
        <v>4859.07</v>
      </c>
      <c r="P991">
        <v>9308.75</v>
      </c>
      <c r="Q991">
        <f ca="1">DATEDIF(banking_loan_data[[#This Row],[Issue Date]],TODAY(),"M")</f>
        <v>48</v>
      </c>
      <c r="R991">
        <f t="shared" si="90"/>
        <v>15156.701999999997</v>
      </c>
      <c r="S991">
        <f>+banking_loan_data[[#This Row],[Loan Amount]]+banking_loan_data[[#This Row],[Interest earned]]</f>
        <v>36033.701999999997</v>
      </c>
      <c r="T991" s="2">
        <f t="shared" si="91"/>
        <v>-6709.18</v>
      </c>
      <c r="U991" s="2">
        <f t="shared" si="92"/>
        <v>1</v>
      </c>
      <c r="V991" s="2" t="str">
        <f>IF(banking_loan_data[[#This Row],[Loan Status]]="FULLY PAID","GOOD",IF(banking_loan_data[[#This Row],[Loan Status]]="CURRENT","ACTIVE","BAD"))</f>
        <v>BAD</v>
      </c>
      <c r="W99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991" s="3">
        <f t="shared" si="93"/>
        <v>42101.95</v>
      </c>
      <c r="Y991" s="4">
        <f t="shared" si="94"/>
        <v>-0.32136705465344639</v>
      </c>
      <c r="Z991" s="2" t="str">
        <f t="shared" si="95"/>
        <v>Normal</v>
      </c>
    </row>
    <row r="992" spans="1:26" x14ac:dyDescent="0.3">
      <c r="A992" t="s">
        <v>2026</v>
      </c>
      <c r="B992" s="1">
        <v>44225</v>
      </c>
      <c r="C992" t="s">
        <v>2027</v>
      </c>
      <c r="D992" t="s">
        <v>72</v>
      </c>
      <c r="E992">
        <v>31911</v>
      </c>
      <c r="F992">
        <v>17.399999999999999</v>
      </c>
      <c r="G992">
        <v>60</v>
      </c>
      <c r="H992" t="s">
        <v>26</v>
      </c>
      <c r="I992" t="s">
        <v>73</v>
      </c>
      <c r="J992" t="s">
        <v>37</v>
      </c>
      <c r="K992">
        <v>113948</v>
      </c>
      <c r="L992" t="s">
        <v>29</v>
      </c>
      <c r="M992">
        <v>0.11</v>
      </c>
      <c r="N992">
        <v>0.83</v>
      </c>
      <c r="O992">
        <v>10885.67</v>
      </c>
      <c r="P992">
        <v>0</v>
      </c>
      <c r="Q992">
        <f ca="1">DATEDIF(banking_loan_data[[#This Row],[Issue Date]],TODAY(),"M")</f>
        <v>61</v>
      </c>
      <c r="R992">
        <f t="shared" si="90"/>
        <v>27762.569999999996</v>
      </c>
      <c r="S992">
        <f>+banking_loan_data[[#This Row],[Loan Amount]]+banking_loan_data[[#This Row],[Interest earned]]</f>
        <v>59673.569999999992</v>
      </c>
      <c r="T992" s="2">
        <f t="shared" si="91"/>
        <v>-21025.33</v>
      </c>
      <c r="U992" s="2">
        <f t="shared" si="92"/>
        <v>0</v>
      </c>
      <c r="V992" s="2" t="str">
        <f>IF(banking_loan_data[[#This Row],[Loan Status]]="FULLY PAID","GOOD",IF(banking_loan_data[[#This Row],[Loan Status]]="CURRENT","ACTIVE","BAD"))</f>
        <v>ACTIVE</v>
      </c>
      <c r="W992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92" s="3">
        <f t="shared" si="93"/>
        <v>46270.95</v>
      </c>
      <c r="Y992" s="4">
        <f t="shared" si="94"/>
        <v>-0.65887405596816151</v>
      </c>
      <c r="Z992" s="2" t="str">
        <f t="shared" si="95"/>
        <v>High Risk</v>
      </c>
    </row>
    <row r="993" spans="1:26" x14ac:dyDescent="0.3">
      <c r="A993" t="s">
        <v>2028</v>
      </c>
      <c r="B993" s="1">
        <v>44806</v>
      </c>
      <c r="C993" t="s">
        <v>2029</v>
      </c>
      <c r="D993" t="s">
        <v>53</v>
      </c>
      <c r="E993">
        <v>33784</v>
      </c>
      <c r="F993">
        <v>23.6</v>
      </c>
      <c r="G993">
        <v>60</v>
      </c>
      <c r="H993" t="s">
        <v>26</v>
      </c>
      <c r="I993" t="s">
        <v>27</v>
      </c>
      <c r="J993" t="s">
        <v>21</v>
      </c>
      <c r="K993">
        <v>92671</v>
      </c>
      <c r="L993" t="s">
        <v>33</v>
      </c>
      <c r="M993">
        <v>0.42</v>
      </c>
      <c r="N993">
        <v>0.85</v>
      </c>
      <c r="O993">
        <v>9201.2900000000009</v>
      </c>
      <c r="P993">
        <v>0</v>
      </c>
      <c r="Q993">
        <f ca="1">DATEDIF(banking_loan_data[[#This Row],[Issue Date]],TODAY(),"M")</f>
        <v>42</v>
      </c>
      <c r="R993">
        <f t="shared" si="90"/>
        <v>39865.120000000003</v>
      </c>
      <c r="S993">
        <f>+banking_loan_data[[#This Row],[Loan Amount]]+banking_loan_data[[#This Row],[Interest earned]]</f>
        <v>73649.119999999995</v>
      </c>
      <c r="T993" s="2">
        <f t="shared" si="91"/>
        <v>-24582.71</v>
      </c>
      <c r="U993" s="2">
        <f t="shared" si="92"/>
        <v>0</v>
      </c>
      <c r="V993" s="2" t="str">
        <f>IF(banking_loan_data[[#This Row],[Loan Status]]="FULLY PAID","GOOD",IF(banking_loan_data[[#This Row],[Loan Status]]="CURRENT","ACTIVE","BAD"))</f>
        <v>ACTIVE</v>
      </c>
      <c r="W993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HIGH</v>
      </c>
      <c r="X993" s="3">
        <f t="shared" si="93"/>
        <v>66441.866666666669</v>
      </c>
      <c r="Y993" s="4">
        <f t="shared" si="94"/>
        <v>-0.7276435590812218</v>
      </c>
      <c r="Z993" s="2" t="str">
        <f t="shared" si="95"/>
        <v>High Risk</v>
      </c>
    </row>
    <row r="994" spans="1:26" x14ac:dyDescent="0.3">
      <c r="A994" t="s">
        <v>2030</v>
      </c>
      <c r="B994" s="1">
        <v>45001</v>
      </c>
      <c r="C994" t="s">
        <v>2031</v>
      </c>
      <c r="D994" t="s">
        <v>18</v>
      </c>
      <c r="E994">
        <v>4191</v>
      </c>
      <c r="F994">
        <v>20.2</v>
      </c>
      <c r="G994">
        <v>36</v>
      </c>
      <c r="H994" t="s">
        <v>26</v>
      </c>
      <c r="I994" t="s">
        <v>20</v>
      </c>
      <c r="J994" t="s">
        <v>28</v>
      </c>
      <c r="K994">
        <v>77111</v>
      </c>
      <c r="L994" t="s">
        <v>22</v>
      </c>
      <c r="M994">
        <v>0.49</v>
      </c>
      <c r="N994">
        <v>0.61</v>
      </c>
      <c r="O994">
        <v>1379.36</v>
      </c>
      <c r="P994">
        <v>0</v>
      </c>
      <c r="Q994">
        <f ca="1">DATEDIF(banking_loan_data[[#This Row],[Issue Date]],TODAY(),"M")</f>
        <v>36</v>
      </c>
      <c r="R994">
        <f t="shared" si="90"/>
        <v>2539.7460000000001</v>
      </c>
      <c r="S994">
        <f>+banking_loan_data[[#This Row],[Loan Amount]]+banking_loan_data[[#This Row],[Interest earned]]</f>
        <v>6730.7460000000001</v>
      </c>
      <c r="T994" s="2">
        <f t="shared" si="91"/>
        <v>-2811.6400000000003</v>
      </c>
      <c r="U994" s="2">
        <f t="shared" si="92"/>
        <v>0</v>
      </c>
      <c r="V994" s="2" t="str">
        <f>IF(banking_loan_data[[#This Row],[Loan Status]]="FULLY PAID","GOOD",IF(banking_loan_data[[#This Row],[Loan Status]]="CURRENT","ACTIVE","BAD"))</f>
        <v>ACTIVE</v>
      </c>
      <c r="W994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94" s="3">
        <f t="shared" si="93"/>
        <v>7054.8500000000031</v>
      </c>
      <c r="Y994" s="4">
        <f t="shared" si="94"/>
        <v>-0.67087568599379632</v>
      </c>
      <c r="Z994" s="2" t="str">
        <f t="shared" si="95"/>
        <v>High Risk</v>
      </c>
    </row>
    <row r="995" spans="1:26" x14ac:dyDescent="0.3">
      <c r="A995" t="s">
        <v>2032</v>
      </c>
      <c r="B995" s="1">
        <v>44271</v>
      </c>
      <c r="C995" t="s">
        <v>2033</v>
      </c>
      <c r="D995" t="s">
        <v>18</v>
      </c>
      <c r="E995">
        <v>34160</v>
      </c>
      <c r="F995">
        <v>15.9</v>
      </c>
      <c r="G995">
        <v>36</v>
      </c>
      <c r="H995" t="s">
        <v>81</v>
      </c>
      <c r="I995" t="s">
        <v>73</v>
      </c>
      <c r="J995" t="s">
        <v>21</v>
      </c>
      <c r="K995">
        <v>69613</v>
      </c>
      <c r="L995" t="s">
        <v>29</v>
      </c>
      <c r="M995">
        <v>0.34</v>
      </c>
      <c r="N995">
        <v>0.64</v>
      </c>
      <c r="O995">
        <v>8992.9599999999991</v>
      </c>
      <c r="P995">
        <v>10741.33</v>
      </c>
      <c r="Q995">
        <f ca="1">DATEDIF(banking_loan_data[[#This Row],[Issue Date]],TODAY(),"M")</f>
        <v>60</v>
      </c>
      <c r="R995">
        <f t="shared" si="90"/>
        <v>16294.32</v>
      </c>
      <c r="S995">
        <f>+banking_loan_data[[#This Row],[Loan Amount]]+banking_loan_data[[#This Row],[Interest earned]]</f>
        <v>50454.32</v>
      </c>
      <c r="T995" s="2">
        <f t="shared" si="91"/>
        <v>-14425.71</v>
      </c>
      <c r="U995" s="2">
        <f t="shared" si="92"/>
        <v>1</v>
      </c>
      <c r="V995" s="2" t="str">
        <f>IF(banking_loan_data[[#This Row],[Loan Status]]="FULLY PAID","GOOD",IF(banking_loan_data[[#This Row],[Loan Status]]="CURRENT","ACTIVE","BAD"))</f>
        <v>BAD</v>
      </c>
      <c r="W995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995" s="3">
        <f t="shared" si="93"/>
        <v>45262.00000000291</v>
      </c>
      <c r="Y995" s="4">
        <f t="shared" si="94"/>
        <v>-0.42229830210772829</v>
      </c>
      <c r="Z995" s="2" t="str">
        <f t="shared" si="95"/>
        <v>Normal</v>
      </c>
    </row>
    <row r="996" spans="1:26" x14ac:dyDescent="0.3">
      <c r="A996" t="s">
        <v>2034</v>
      </c>
      <c r="B996" s="1">
        <v>45034</v>
      </c>
      <c r="C996" t="s">
        <v>2035</v>
      </c>
      <c r="D996" t="s">
        <v>46</v>
      </c>
      <c r="E996">
        <v>26000</v>
      </c>
      <c r="F996">
        <v>8.6</v>
      </c>
      <c r="G996">
        <v>60</v>
      </c>
      <c r="H996" t="s">
        <v>26</v>
      </c>
      <c r="I996" t="s">
        <v>20</v>
      </c>
      <c r="J996" t="s">
        <v>28</v>
      </c>
      <c r="K996">
        <v>115678</v>
      </c>
      <c r="L996" t="s">
        <v>22</v>
      </c>
      <c r="M996">
        <v>0.3</v>
      </c>
      <c r="N996">
        <v>0.72</v>
      </c>
      <c r="O996">
        <v>9955.6200000000008</v>
      </c>
      <c r="P996">
        <v>0</v>
      </c>
      <c r="Q996">
        <f ca="1">DATEDIF(banking_loan_data[[#This Row],[Issue Date]],TODAY(),"M")</f>
        <v>35</v>
      </c>
      <c r="R996">
        <f t="shared" si="90"/>
        <v>11180</v>
      </c>
      <c r="S996">
        <f>+banking_loan_data[[#This Row],[Loan Amount]]+banking_loan_data[[#This Row],[Interest earned]]</f>
        <v>37180</v>
      </c>
      <c r="T996" s="2">
        <f t="shared" si="91"/>
        <v>-16044.38</v>
      </c>
      <c r="U996" s="2">
        <f t="shared" si="92"/>
        <v>0</v>
      </c>
      <c r="V996" s="2" t="str">
        <f>IF(banking_loan_data[[#This Row],[Loan Status]]="FULLY PAID","GOOD",IF(banking_loan_data[[#This Row],[Loan Status]]="CURRENT","ACTIVE","BAD"))</f>
        <v>ACTIVE</v>
      </c>
      <c r="W996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96" s="3">
        <f t="shared" si="93"/>
        <v>18633.333333333489</v>
      </c>
      <c r="Y996" s="4">
        <f t="shared" si="94"/>
        <v>-0.61709153846153841</v>
      </c>
      <c r="Z996" s="2" t="str">
        <f t="shared" si="95"/>
        <v>Normal</v>
      </c>
    </row>
    <row r="997" spans="1:26" x14ac:dyDescent="0.3">
      <c r="A997" t="s">
        <v>2036</v>
      </c>
      <c r="B997" s="1">
        <v>44324</v>
      </c>
      <c r="C997" t="s">
        <v>2037</v>
      </c>
      <c r="D997" t="s">
        <v>50</v>
      </c>
      <c r="E997">
        <v>4631</v>
      </c>
      <c r="F997">
        <v>14.2</v>
      </c>
      <c r="G997">
        <v>36</v>
      </c>
      <c r="H997" t="s">
        <v>26</v>
      </c>
      <c r="I997" t="s">
        <v>57</v>
      </c>
      <c r="J997" t="s">
        <v>37</v>
      </c>
      <c r="K997">
        <v>132928</v>
      </c>
      <c r="L997" t="s">
        <v>33</v>
      </c>
      <c r="M997">
        <v>0.45</v>
      </c>
      <c r="N997">
        <v>0.53</v>
      </c>
      <c r="O997">
        <v>1702.69</v>
      </c>
      <c r="P997">
        <v>0</v>
      </c>
      <c r="Q997">
        <f ca="1">DATEDIF(banking_loan_data[[#This Row],[Issue Date]],TODAY(),"M")</f>
        <v>58</v>
      </c>
      <c r="R997">
        <f t="shared" si="90"/>
        <v>1972.8059999999998</v>
      </c>
      <c r="S997">
        <f>+banking_loan_data[[#This Row],[Loan Amount]]+banking_loan_data[[#This Row],[Interest earned]]</f>
        <v>6603.8059999999996</v>
      </c>
      <c r="T997" s="2">
        <f t="shared" si="91"/>
        <v>-2928.31</v>
      </c>
      <c r="U997" s="2">
        <f t="shared" si="92"/>
        <v>0</v>
      </c>
      <c r="V997" s="2" t="str">
        <f>IF(banking_loan_data[[#This Row],[Loan Status]]="FULLY PAID","GOOD",IF(banking_loan_data[[#This Row],[Loan Status]]="CURRENT","ACTIVE","BAD"))</f>
        <v>ACTIVE</v>
      </c>
      <c r="W997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97" s="3">
        <f t="shared" si="93"/>
        <v>5480.0166666700588</v>
      </c>
      <c r="Y997" s="4">
        <f t="shared" si="94"/>
        <v>-0.63232779097387171</v>
      </c>
      <c r="Z997" s="2" t="str">
        <f t="shared" si="95"/>
        <v>High Risk</v>
      </c>
    </row>
    <row r="998" spans="1:26" x14ac:dyDescent="0.3">
      <c r="A998" t="s">
        <v>2038</v>
      </c>
      <c r="B998" s="1">
        <v>44238</v>
      </c>
      <c r="C998" t="s">
        <v>2039</v>
      </c>
      <c r="D998" t="s">
        <v>56</v>
      </c>
      <c r="E998">
        <v>7172</v>
      </c>
      <c r="F998">
        <v>16.2</v>
      </c>
      <c r="G998">
        <v>60</v>
      </c>
      <c r="H998" t="s">
        <v>19</v>
      </c>
      <c r="I998" t="s">
        <v>57</v>
      </c>
      <c r="J998" t="s">
        <v>28</v>
      </c>
      <c r="K998">
        <v>89993</v>
      </c>
      <c r="L998" t="s">
        <v>33</v>
      </c>
      <c r="M998">
        <v>0.48</v>
      </c>
      <c r="N998">
        <v>0.78</v>
      </c>
      <c r="O998">
        <v>8333.86</v>
      </c>
      <c r="P998">
        <v>0</v>
      </c>
      <c r="Q998">
        <f ca="1">DATEDIF(banking_loan_data[[#This Row],[Issue Date]],TODAY(),"M")</f>
        <v>61</v>
      </c>
      <c r="R998">
        <f t="shared" si="90"/>
        <v>5809.32</v>
      </c>
      <c r="S998">
        <f>+banking_loan_data[[#This Row],[Loan Amount]]+banking_loan_data[[#This Row],[Interest earned]]</f>
        <v>12981.32</v>
      </c>
      <c r="T998" s="2">
        <f t="shared" si="91"/>
        <v>1161.8600000000006</v>
      </c>
      <c r="U998" s="2">
        <f t="shared" si="92"/>
        <v>0</v>
      </c>
      <c r="V998" s="2" t="str">
        <f>IF(banking_loan_data[[#This Row],[Loan Status]]="FULLY PAID","GOOD",IF(banking_loan_data[[#This Row],[Loan Status]]="CURRENT","ACTIVE","BAD"))</f>
        <v>GOOD</v>
      </c>
      <c r="W998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98" s="3">
        <f t="shared" si="93"/>
        <v>9682.1999999999989</v>
      </c>
      <c r="Y998" s="4">
        <f t="shared" si="94"/>
        <v>0.16199944227551596</v>
      </c>
      <c r="Z998" s="2" t="str">
        <f t="shared" si="95"/>
        <v>High Risk</v>
      </c>
    </row>
    <row r="999" spans="1:26" x14ac:dyDescent="0.3">
      <c r="A999" t="s">
        <v>2040</v>
      </c>
      <c r="B999" s="1">
        <v>44237</v>
      </c>
      <c r="C999" t="s">
        <v>2041</v>
      </c>
      <c r="D999" t="s">
        <v>25</v>
      </c>
      <c r="E999">
        <v>24561</v>
      </c>
      <c r="F999">
        <v>22.3</v>
      </c>
      <c r="G999">
        <v>36</v>
      </c>
      <c r="H999" t="s">
        <v>81</v>
      </c>
      <c r="I999" t="s">
        <v>57</v>
      </c>
      <c r="J999" t="s">
        <v>21</v>
      </c>
      <c r="K999">
        <v>38848</v>
      </c>
      <c r="L999" t="s">
        <v>33</v>
      </c>
      <c r="M999">
        <v>0.4</v>
      </c>
      <c r="N999">
        <v>0.94</v>
      </c>
      <c r="O999">
        <v>6392.17</v>
      </c>
      <c r="P999">
        <v>9431.07</v>
      </c>
      <c r="Q999">
        <f ca="1">DATEDIF(banking_loan_data[[#This Row],[Issue Date]],TODAY(),"M")</f>
        <v>61</v>
      </c>
      <c r="R999">
        <f t="shared" si="90"/>
        <v>16431.309000000001</v>
      </c>
      <c r="S999">
        <f>+banking_loan_data[[#This Row],[Loan Amount]]+banking_loan_data[[#This Row],[Interest earned]]</f>
        <v>40992.309000000001</v>
      </c>
      <c r="T999" s="2">
        <f t="shared" si="91"/>
        <v>-8737.76</v>
      </c>
      <c r="U999" s="2">
        <f t="shared" si="92"/>
        <v>1</v>
      </c>
      <c r="V999" s="2" t="str">
        <f>IF(banking_loan_data[[#This Row],[Loan Status]]="FULLY PAID","GOOD",IF(banking_loan_data[[#This Row],[Loan Status]]="CURRENT","ACTIVE","BAD"))</f>
        <v>BAD</v>
      </c>
      <c r="W999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LOW</v>
      </c>
      <c r="X999" s="3">
        <f t="shared" si="93"/>
        <v>45642.525000000001</v>
      </c>
      <c r="Y999" s="4">
        <f t="shared" si="94"/>
        <v>-0.35575750173038556</v>
      </c>
      <c r="Z999" s="2" t="str">
        <f t="shared" si="95"/>
        <v>High Risk</v>
      </c>
    </row>
    <row r="1000" spans="1:26" x14ac:dyDescent="0.3">
      <c r="A1000" t="s">
        <v>2042</v>
      </c>
      <c r="B1000" s="1">
        <v>45130</v>
      </c>
      <c r="C1000" t="s">
        <v>2043</v>
      </c>
      <c r="D1000" t="s">
        <v>65</v>
      </c>
      <c r="E1000">
        <v>25817</v>
      </c>
      <c r="F1000">
        <v>14.6</v>
      </c>
      <c r="G1000">
        <v>36</v>
      </c>
      <c r="H1000" t="s">
        <v>26</v>
      </c>
      <c r="I1000" t="s">
        <v>73</v>
      </c>
      <c r="J1000" t="s">
        <v>32</v>
      </c>
      <c r="K1000">
        <v>144853</v>
      </c>
      <c r="L1000" t="s">
        <v>29</v>
      </c>
      <c r="M1000">
        <v>0.28000000000000003</v>
      </c>
      <c r="N1000">
        <v>0.66</v>
      </c>
      <c r="O1000">
        <v>9178.11</v>
      </c>
      <c r="P1000">
        <v>0</v>
      </c>
      <c r="Q1000">
        <f ca="1">DATEDIF(banking_loan_data[[#This Row],[Issue Date]],TODAY(),"M")</f>
        <v>31</v>
      </c>
      <c r="R1000">
        <f t="shared" si="90"/>
        <v>11307.846</v>
      </c>
      <c r="S1000">
        <f>+banking_loan_data[[#This Row],[Loan Amount]]+banking_loan_data[[#This Row],[Interest earned]]</f>
        <v>37124.845999999998</v>
      </c>
      <c r="T1000" s="2">
        <f t="shared" si="91"/>
        <v>-16638.89</v>
      </c>
      <c r="U1000" s="2">
        <f t="shared" si="92"/>
        <v>0</v>
      </c>
      <c r="V1000" s="2" t="str">
        <f>IF(banking_loan_data[[#This Row],[Loan Status]]="FULLY PAID","GOOD",IF(banking_loan_data[[#This Row],[Loan Status]]="CURRENT","ACTIVE","BAD"))</f>
        <v>ACTIVE</v>
      </c>
      <c r="W1000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MEDIUM</v>
      </c>
      <c r="X1000" s="3">
        <f t="shared" si="93"/>
        <v>31410.683333344601</v>
      </c>
      <c r="Y1000" s="4">
        <f t="shared" si="94"/>
        <v>-0.64449355076112635</v>
      </c>
      <c r="Z1000" s="2" t="str">
        <f t="shared" si="95"/>
        <v>Normal</v>
      </c>
    </row>
    <row r="1001" spans="1:26" x14ac:dyDescent="0.3">
      <c r="A1001" t="s">
        <v>2044</v>
      </c>
      <c r="B1001" s="1">
        <v>44230</v>
      </c>
      <c r="C1001" t="s">
        <v>2045</v>
      </c>
      <c r="D1001" t="s">
        <v>25</v>
      </c>
      <c r="E1001">
        <v>21281</v>
      </c>
      <c r="F1001">
        <v>23</v>
      </c>
      <c r="G1001">
        <v>60</v>
      </c>
      <c r="H1001" t="s">
        <v>19</v>
      </c>
      <c r="I1001" t="s">
        <v>36</v>
      </c>
      <c r="J1001" t="s">
        <v>47</v>
      </c>
      <c r="K1001">
        <v>108672</v>
      </c>
      <c r="L1001" t="s">
        <v>29</v>
      </c>
      <c r="M1001">
        <v>0.34</v>
      </c>
      <c r="N1001">
        <v>0.84</v>
      </c>
      <c r="O1001">
        <v>26175.63</v>
      </c>
      <c r="P1001">
        <v>0</v>
      </c>
      <c r="Q1001">
        <f ca="1">DATEDIF(banking_loan_data[[#This Row],[Issue Date]],TODAY(),"M")</f>
        <v>61</v>
      </c>
      <c r="R1001">
        <f t="shared" si="90"/>
        <v>24473.149999999998</v>
      </c>
      <c r="S1001">
        <f>+banking_loan_data[[#This Row],[Loan Amount]]+banking_loan_data[[#This Row],[Interest earned]]</f>
        <v>45754.149999999994</v>
      </c>
      <c r="T1001" s="2">
        <f t="shared" si="91"/>
        <v>4894.630000000001</v>
      </c>
      <c r="U1001" s="2">
        <f t="shared" si="92"/>
        <v>0</v>
      </c>
      <c r="V1001" s="2" t="str">
        <f>IF(banking_loan_data[[#This Row],[Loan Status]]="FULLY PAID","GOOD",IF(banking_loan_data[[#This Row],[Loan Status]]="CURRENT","ACTIVE","BAD"))</f>
        <v>GOOD</v>
      </c>
      <c r="W1001" s="2" t="str">
        <f>IF(banking_loan_data[[#This Row],[Loan Grade]]="A","LOW",IF(banking_loan_data[[#This Row],[Loan Grade]]="B","LOW",IF(banking_loan_data[[#This Row],[Loan Grade]]="C","MEDIUM",IF(banking_loan_data[[#This Row],[Loan Grade]]="D","HIGH","VERY HIGH"))))</f>
        <v>VERY HIGH</v>
      </c>
      <c r="X1001" s="3">
        <f t="shared" si="93"/>
        <v>40788.583333333336</v>
      </c>
      <c r="Y1001" s="4">
        <f t="shared" si="94"/>
        <v>0.23000000000000004</v>
      </c>
      <c r="Z1001" s="2" t="str">
        <f t="shared" si="95"/>
        <v>High Risk</v>
      </c>
    </row>
  </sheetData>
  <scenarios current="0" sqref="AC4">
    <scenario name="Optimistic" locked="1" count="1" user="lakshman sai" comment="Created by lakshman sai on 19-03-2026_x000a_Modified by lakshman sai on 19-03-2026">
      <inputCells r="F2" val="20"/>
    </scenario>
    <scenario name="Pessimistic" locked="1" count="1" user="lakshman sai" comment="Created by lakshman sai on 19-03-2026">
      <inputCells r="F2" val="5"/>
    </scenario>
  </scenario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3966-5C97-490F-8062-BEF83E1D1CB7}">
  <dimension ref="A3:C7"/>
  <sheetViews>
    <sheetView workbookViewId="0">
      <selection activeCell="J4" sqref="J4"/>
    </sheetView>
  </sheetViews>
  <sheetFormatPr defaultRowHeight="14.4" x14ac:dyDescent="0.3"/>
  <cols>
    <col min="1" max="1" width="12.77734375" bestFit="1" customWidth="1"/>
    <col min="2" max="2" width="19.109375" bestFit="1" customWidth="1"/>
    <col min="3" max="3" width="15.21875" bestFit="1" customWidth="1"/>
  </cols>
  <sheetData>
    <row r="3" spans="1:3" x14ac:dyDescent="0.3">
      <c r="A3" s="5" t="s">
        <v>2068</v>
      </c>
      <c r="B3" t="s">
        <v>2066</v>
      </c>
      <c r="C3" t="s">
        <v>2067</v>
      </c>
    </row>
    <row r="4" spans="1:3" x14ac:dyDescent="0.3">
      <c r="A4" s="6" t="s">
        <v>2059</v>
      </c>
      <c r="B4" s="2">
        <v>6467779</v>
      </c>
      <c r="C4" s="2">
        <v>310</v>
      </c>
    </row>
    <row r="5" spans="1:3" x14ac:dyDescent="0.3">
      <c r="A5" s="6" t="s">
        <v>2063</v>
      </c>
      <c r="B5" s="2">
        <v>3057970</v>
      </c>
      <c r="C5" s="2">
        <v>149</v>
      </c>
    </row>
    <row r="6" spans="1:3" x14ac:dyDescent="0.3">
      <c r="A6" s="6" t="s">
        <v>2056</v>
      </c>
      <c r="B6" s="2">
        <v>11729795</v>
      </c>
      <c r="C6" s="2">
        <v>541</v>
      </c>
    </row>
    <row r="7" spans="1:3" x14ac:dyDescent="0.3">
      <c r="A7" s="6" t="s">
        <v>2065</v>
      </c>
      <c r="B7" s="2">
        <v>21255544</v>
      </c>
      <c r="C7" s="2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641C-9A22-4C97-988E-A3D950265E3A}">
  <dimension ref="A3:B11"/>
  <sheetViews>
    <sheetView workbookViewId="0">
      <selection activeCell="I22" sqref="I22"/>
    </sheetView>
  </sheetViews>
  <sheetFormatPr defaultRowHeight="14.4" x14ac:dyDescent="0.3"/>
  <cols>
    <col min="1" max="1" width="12.5546875" bestFit="1" customWidth="1"/>
    <col min="2" max="2" width="19.109375" bestFit="1" customWidth="1"/>
  </cols>
  <sheetData>
    <row r="3" spans="1:2" x14ac:dyDescent="0.3">
      <c r="A3" s="5" t="s">
        <v>2069</v>
      </c>
      <c r="B3" t="s">
        <v>2066</v>
      </c>
    </row>
    <row r="4" spans="1:2" x14ac:dyDescent="0.3">
      <c r="A4" s="6" t="s">
        <v>20</v>
      </c>
      <c r="B4" s="2">
        <v>5338618</v>
      </c>
    </row>
    <row r="5" spans="1:2" x14ac:dyDescent="0.3">
      <c r="A5" s="6" t="s">
        <v>57</v>
      </c>
      <c r="B5" s="2">
        <v>4482846</v>
      </c>
    </row>
    <row r="6" spans="1:2" x14ac:dyDescent="0.3">
      <c r="A6" s="6" t="s">
        <v>73</v>
      </c>
      <c r="B6" s="2">
        <v>3235951</v>
      </c>
    </row>
    <row r="7" spans="1:2" x14ac:dyDescent="0.3">
      <c r="A7" s="6" t="s">
        <v>27</v>
      </c>
      <c r="B7" s="2">
        <v>3264798</v>
      </c>
    </row>
    <row r="8" spans="1:2" x14ac:dyDescent="0.3">
      <c r="A8" s="6" t="s">
        <v>84</v>
      </c>
      <c r="B8" s="2">
        <v>2320669</v>
      </c>
    </row>
    <row r="9" spans="1:2" x14ac:dyDescent="0.3">
      <c r="A9" s="6" t="s">
        <v>36</v>
      </c>
      <c r="B9" s="2">
        <v>1605848</v>
      </c>
    </row>
    <row r="10" spans="1:2" x14ac:dyDescent="0.3">
      <c r="A10" s="6" t="s">
        <v>41</v>
      </c>
      <c r="B10" s="2">
        <v>1006814</v>
      </c>
    </row>
    <row r="11" spans="1:2" x14ac:dyDescent="0.3">
      <c r="A11" s="6" t="s">
        <v>2065</v>
      </c>
      <c r="B11" s="2">
        <v>21255544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DB2F-79C7-4CD2-A419-92B07582027E}">
  <dimension ref="A3:C9"/>
  <sheetViews>
    <sheetView workbookViewId="0">
      <selection activeCell="I20" sqref="I20"/>
    </sheetView>
  </sheetViews>
  <sheetFormatPr defaultRowHeight="14.4" x14ac:dyDescent="0.3"/>
  <cols>
    <col min="1" max="1" width="20" bestFit="1" customWidth="1"/>
    <col min="2" max="2" width="15.21875" bestFit="1" customWidth="1"/>
    <col min="3" max="3" width="19.109375" bestFit="1" customWidth="1"/>
  </cols>
  <sheetData>
    <row r="3" spans="1:3" x14ac:dyDescent="0.3">
      <c r="A3" s="5" t="s">
        <v>2070</v>
      </c>
      <c r="B3" t="s">
        <v>2067</v>
      </c>
      <c r="C3" t="s">
        <v>2066</v>
      </c>
    </row>
    <row r="4" spans="1:3" x14ac:dyDescent="0.3">
      <c r="A4" s="6" t="s">
        <v>28</v>
      </c>
      <c r="B4" s="2">
        <v>191</v>
      </c>
      <c r="C4" s="2">
        <v>4212767</v>
      </c>
    </row>
    <row r="5" spans="1:3" x14ac:dyDescent="0.3">
      <c r="A5" s="6" t="s">
        <v>47</v>
      </c>
      <c r="B5" s="2">
        <v>187</v>
      </c>
      <c r="C5" s="2">
        <v>3788403</v>
      </c>
    </row>
    <row r="6" spans="1:3" x14ac:dyDescent="0.3">
      <c r="A6" s="6" t="s">
        <v>32</v>
      </c>
      <c r="B6" s="2">
        <v>197</v>
      </c>
      <c r="C6" s="2">
        <v>4371262</v>
      </c>
    </row>
    <row r="7" spans="1:3" x14ac:dyDescent="0.3">
      <c r="A7" s="6" t="s">
        <v>37</v>
      </c>
      <c r="B7" s="2">
        <v>211</v>
      </c>
      <c r="C7" s="2">
        <v>4432165</v>
      </c>
    </row>
    <row r="8" spans="1:3" x14ac:dyDescent="0.3">
      <c r="A8" s="6" t="s">
        <v>21</v>
      </c>
      <c r="B8" s="2">
        <v>214</v>
      </c>
      <c r="C8" s="2">
        <v>4450947</v>
      </c>
    </row>
    <row r="9" spans="1:3" x14ac:dyDescent="0.3">
      <c r="A9" s="6" t="s">
        <v>2065</v>
      </c>
      <c r="B9" s="2">
        <v>1000</v>
      </c>
      <c r="C9" s="2">
        <v>21255544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4310-A40C-49C2-B626-DFFB1FCFF245}">
  <dimension ref="A3:B16"/>
  <sheetViews>
    <sheetView workbookViewId="0">
      <selection activeCell="A21" sqref="A21"/>
    </sheetView>
  </sheetViews>
  <sheetFormatPr defaultRowHeight="14.4" x14ac:dyDescent="0.3"/>
  <cols>
    <col min="1" max="1" width="12.5546875" bestFit="1" customWidth="1"/>
    <col min="2" max="3" width="15.21875" bestFit="1" customWidth="1"/>
  </cols>
  <sheetData>
    <row r="3" spans="1:2" x14ac:dyDescent="0.3">
      <c r="A3" s="5" t="s">
        <v>2083</v>
      </c>
      <c r="B3" t="s">
        <v>2067</v>
      </c>
    </row>
    <row r="4" spans="1:2" x14ac:dyDescent="0.3">
      <c r="A4" s="6" t="s">
        <v>2071</v>
      </c>
      <c r="B4" s="2">
        <v>90</v>
      </c>
    </row>
    <row r="5" spans="1:2" x14ac:dyDescent="0.3">
      <c r="A5" s="6" t="s">
        <v>2072</v>
      </c>
      <c r="B5" s="2">
        <v>81</v>
      </c>
    </row>
    <row r="6" spans="1:2" x14ac:dyDescent="0.3">
      <c r="A6" s="6" t="s">
        <v>2073</v>
      </c>
      <c r="B6" s="2">
        <v>88</v>
      </c>
    </row>
    <row r="7" spans="1:2" x14ac:dyDescent="0.3">
      <c r="A7" s="6" t="s">
        <v>2074</v>
      </c>
      <c r="B7" s="2">
        <v>93</v>
      </c>
    </row>
    <row r="8" spans="1:2" x14ac:dyDescent="0.3">
      <c r="A8" s="6" t="s">
        <v>2075</v>
      </c>
      <c r="B8" s="2">
        <v>97</v>
      </c>
    </row>
    <row r="9" spans="1:2" x14ac:dyDescent="0.3">
      <c r="A9" s="6" t="s">
        <v>2076</v>
      </c>
      <c r="B9" s="2">
        <v>73</v>
      </c>
    </row>
    <row r="10" spans="1:2" x14ac:dyDescent="0.3">
      <c r="A10" s="6" t="s">
        <v>2077</v>
      </c>
      <c r="B10" s="2">
        <v>78</v>
      </c>
    </row>
    <row r="11" spans="1:2" x14ac:dyDescent="0.3">
      <c r="A11" s="6" t="s">
        <v>2078</v>
      </c>
      <c r="B11" s="2">
        <v>80</v>
      </c>
    </row>
    <row r="12" spans="1:2" x14ac:dyDescent="0.3">
      <c r="A12" s="6" t="s">
        <v>2079</v>
      </c>
      <c r="B12" s="2">
        <v>68</v>
      </c>
    </row>
    <row r="13" spans="1:2" x14ac:dyDescent="0.3">
      <c r="A13" s="6" t="s">
        <v>2080</v>
      </c>
      <c r="B13" s="2">
        <v>90</v>
      </c>
    </row>
    <row r="14" spans="1:2" x14ac:dyDescent="0.3">
      <c r="A14" s="6" t="s">
        <v>2081</v>
      </c>
      <c r="B14" s="2">
        <v>76</v>
      </c>
    </row>
    <row r="15" spans="1:2" x14ac:dyDescent="0.3">
      <c r="A15" s="6" t="s">
        <v>2082</v>
      </c>
      <c r="B15" s="2">
        <v>86</v>
      </c>
    </row>
    <row r="16" spans="1:2" x14ac:dyDescent="0.3">
      <c r="A16" s="6" t="s">
        <v>2065</v>
      </c>
      <c r="B16" s="2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D9F0-3481-4BD5-9BC5-000EFE872CA4}">
  <dimension ref="A3:C11"/>
  <sheetViews>
    <sheetView workbookViewId="0">
      <selection activeCell="I21" sqref="I21"/>
    </sheetView>
  </sheetViews>
  <sheetFormatPr defaultRowHeight="14.4" x14ac:dyDescent="0.3"/>
  <cols>
    <col min="1" max="1" width="12.5546875" bestFit="1" customWidth="1"/>
    <col min="2" max="2" width="15.21875" bestFit="1" customWidth="1"/>
    <col min="3" max="3" width="19.109375" bestFit="1" customWidth="1"/>
  </cols>
  <sheetData>
    <row r="3" spans="1:3" x14ac:dyDescent="0.3">
      <c r="A3" s="5" t="s">
        <v>2069</v>
      </c>
      <c r="B3" t="s">
        <v>2067</v>
      </c>
      <c r="C3" t="s">
        <v>2066</v>
      </c>
    </row>
    <row r="4" spans="1:3" x14ac:dyDescent="0.3">
      <c r="A4" s="6" t="s">
        <v>20</v>
      </c>
      <c r="B4" s="2">
        <v>250</v>
      </c>
      <c r="C4" s="2">
        <v>5338618</v>
      </c>
    </row>
    <row r="5" spans="1:3" x14ac:dyDescent="0.3">
      <c r="A5" s="6" t="s">
        <v>57</v>
      </c>
      <c r="B5" s="2">
        <v>206</v>
      </c>
      <c r="C5" s="2">
        <v>4482846</v>
      </c>
    </row>
    <row r="6" spans="1:3" x14ac:dyDescent="0.3">
      <c r="A6" s="6" t="s">
        <v>73</v>
      </c>
      <c r="B6" s="2">
        <v>154</v>
      </c>
      <c r="C6" s="2">
        <v>3235951</v>
      </c>
    </row>
    <row r="7" spans="1:3" x14ac:dyDescent="0.3">
      <c r="A7" s="6" t="s">
        <v>27</v>
      </c>
      <c r="B7" s="2">
        <v>159</v>
      </c>
      <c r="C7" s="2">
        <v>3264798</v>
      </c>
    </row>
    <row r="8" spans="1:3" x14ac:dyDescent="0.3">
      <c r="A8" s="6" t="s">
        <v>84</v>
      </c>
      <c r="B8" s="2">
        <v>106</v>
      </c>
      <c r="C8" s="2">
        <v>2320669</v>
      </c>
    </row>
    <row r="9" spans="1:3" x14ac:dyDescent="0.3">
      <c r="A9" s="6" t="s">
        <v>36</v>
      </c>
      <c r="B9" s="2">
        <v>81</v>
      </c>
      <c r="C9" s="2">
        <v>1605848</v>
      </c>
    </row>
    <row r="10" spans="1:3" x14ac:dyDescent="0.3">
      <c r="A10" s="6" t="s">
        <v>41</v>
      </c>
      <c r="B10" s="2">
        <v>44</v>
      </c>
      <c r="C10" s="2">
        <v>1006814</v>
      </c>
    </row>
    <row r="11" spans="1:3" x14ac:dyDescent="0.3">
      <c r="A11" s="6" t="s">
        <v>2065</v>
      </c>
      <c r="B11" s="2">
        <v>1000</v>
      </c>
      <c r="C11" s="2">
        <v>21255544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4E49-4259-48F2-A0CA-34C6DD8835AA}">
  <dimension ref="A1:Z1001"/>
  <sheetViews>
    <sheetView tabSelected="1" topLeftCell="H2" workbookViewId="0">
      <selection activeCell="G10" sqref="G10"/>
    </sheetView>
  </sheetViews>
  <sheetFormatPr defaultRowHeight="14.4" x14ac:dyDescent="0.3"/>
  <cols>
    <col min="1" max="1" width="9.5546875" bestFit="1" customWidth="1"/>
    <col min="2" max="2" width="11.77734375" bestFit="1" customWidth="1"/>
    <col min="3" max="3" width="13.21875" bestFit="1" customWidth="1"/>
    <col min="4" max="4" width="7.5546875" bestFit="1" customWidth="1"/>
    <col min="5" max="5" width="14.6640625" bestFit="1" customWidth="1"/>
    <col min="6" max="6" width="13.88671875" bestFit="1" customWidth="1"/>
    <col min="7" max="7" width="16" bestFit="1" customWidth="1"/>
    <col min="8" max="8" width="17" bestFit="1" customWidth="1"/>
    <col min="9" max="9" width="12.77734375" bestFit="1" customWidth="1"/>
    <col min="10" max="10" width="20" bestFit="1" customWidth="1"/>
    <col min="11" max="11" width="16.109375" bestFit="1" customWidth="1"/>
    <col min="12" max="12" width="17.77734375" bestFit="1" customWidth="1"/>
    <col min="13" max="13" width="6" bestFit="1" customWidth="1"/>
    <col min="14" max="14" width="6.33203125" bestFit="1" customWidth="1"/>
    <col min="15" max="15" width="24.5546875" bestFit="1" customWidth="1"/>
    <col min="16" max="16" width="18.44140625" bestFit="1" customWidth="1"/>
    <col min="17" max="17" width="17.33203125" bestFit="1" customWidth="1"/>
    <col min="18" max="18" width="16.109375" bestFit="1" customWidth="1"/>
    <col min="19" max="19" width="19.5546875" bestFit="1" customWidth="1"/>
    <col min="20" max="20" width="12.33203125" bestFit="1" customWidth="1"/>
    <col min="21" max="21" width="12.88671875" bestFit="1" customWidth="1"/>
    <col min="22" max="22" width="14" bestFit="1" customWidth="1"/>
    <col min="23" max="23" width="11.33203125" bestFit="1" customWidth="1"/>
    <col min="24" max="24" width="14.21875" bestFit="1" customWidth="1"/>
    <col min="25" max="25" width="16.33203125" bestFit="1" customWidth="1"/>
    <col min="26" max="26" width="22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2046</v>
      </c>
      <c r="R1" t="s">
        <v>2048</v>
      </c>
      <c r="S1" t="s">
        <v>2049</v>
      </c>
      <c r="T1" t="s">
        <v>2047</v>
      </c>
      <c r="U1" t="s">
        <v>2050</v>
      </c>
      <c r="V1" t="s">
        <v>2051</v>
      </c>
      <c r="W1" t="s">
        <v>2052</v>
      </c>
      <c r="X1" t="s">
        <v>2053</v>
      </c>
      <c r="Y1" t="s">
        <v>2054</v>
      </c>
      <c r="Z1" t="s">
        <v>2055</v>
      </c>
    </row>
    <row r="2" spans="1:26" x14ac:dyDescent="0.3">
      <c r="A2" s="2" t="s">
        <v>16</v>
      </c>
      <c r="B2" s="1">
        <v>45057</v>
      </c>
      <c r="C2" s="2" t="s">
        <v>17</v>
      </c>
      <c r="D2" s="2" t="s">
        <v>18</v>
      </c>
      <c r="E2">
        <v>23180</v>
      </c>
      <c r="F2">
        <v>10.1</v>
      </c>
      <c r="G2">
        <v>60</v>
      </c>
      <c r="H2" s="2" t="s">
        <v>19</v>
      </c>
      <c r="I2" s="2" t="s">
        <v>20</v>
      </c>
      <c r="J2" s="2" t="s">
        <v>21</v>
      </c>
      <c r="K2">
        <v>41676</v>
      </c>
      <c r="L2" s="2" t="s">
        <v>22</v>
      </c>
      <c r="M2">
        <v>0.24</v>
      </c>
      <c r="N2">
        <v>0.82</v>
      </c>
      <c r="O2">
        <v>25521.18</v>
      </c>
      <c r="P2">
        <v>0</v>
      </c>
      <c r="Q2">
        <v>34</v>
      </c>
      <c r="R2">
        <v>11705.9</v>
      </c>
      <c r="S2">
        <v>34885.9</v>
      </c>
      <c r="T2">
        <v>2341.1800000000003</v>
      </c>
      <c r="U2">
        <v>0</v>
      </c>
      <c r="V2" s="2" t="s">
        <v>2056</v>
      </c>
      <c r="W2" s="2" t="s">
        <v>2057</v>
      </c>
      <c r="X2">
        <v>19509.833299999998</v>
      </c>
      <c r="Y2">
        <v>0.10100000000000001</v>
      </c>
      <c r="Z2" s="2" t="s">
        <v>2058</v>
      </c>
    </row>
    <row r="3" spans="1:26" x14ac:dyDescent="0.3">
      <c r="A3" s="2" t="s">
        <v>23</v>
      </c>
      <c r="B3" s="1">
        <v>45241</v>
      </c>
      <c r="C3" s="2" t="s">
        <v>24</v>
      </c>
      <c r="D3" s="2" t="s">
        <v>25</v>
      </c>
      <c r="E3">
        <v>32896</v>
      </c>
      <c r="F3">
        <v>20.6</v>
      </c>
      <c r="G3">
        <v>36</v>
      </c>
      <c r="H3" s="2" t="s">
        <v>26</v>
      </c>
      <c r="I3" s="2" t="s">
        <v>27</v>
      </c>
      <c r="J3" s="2" t="s">
        <v>28</v>
      </c>
      <c r="K3">
        <v>34434</v>
      </c>
      <c r="L3" s="2" t="s">
        <v>29</v>
      </c>
      <c r="M3">
        <v>0.47</v>
      </c>
      <c r="N3">
        <v>0.59</v>
      </c>
      <c r="O3">
        <v>9222.59</v>
      </c>
      <c r="P3">
        <v>0</v>
      </c>
      <c r="Q3">
        <v>28</v>
      </c>
      <c r="R3">
        <v>20329.728000000003</v>
      </c>
      <c r="S3">
        <v>53225.728000000003</v>
      </c>
      <c r="T3">
        <v>-23673.41</v>
      </c>
      <c r="U3">
        <v>0</v>
      </c>
      <c r="V3" s="2" t="s">
        <v>2059</v>
      </c>
      <c r="W3" s="2" t="s">
        <v>2060</v>
      </c>
      <c r="X3">
        <v>56471.466699999997</v>
      </c>
      <c r="Y3">
        <v>-0.71964402966926067</v>
      </c>
      <c r="Z3" s="2" t="s">
        <v>2058</v>
      </c>
    </row>
    <row r="4" spans="1:26" x14ac:dyDescent="0.3">
      <c r="A4" s="2" t="s">
        <v>30</v>
      </c>
      <c r="B4" s="1">
        <v>44318</v>
      </c>
      <c r="C4" s="2" t="s">
        <v>31</v>
      </c>
      <c r="D4" s="2" t="s">
        <v>25</v>
      </c>
      <c r="E4">
        <v>13875</v>
      </c>
      <c r="F4">
        <v>21.5</v>
      </c>
      <c r="G4">
        <v>36</v>
      </c>
      <c r="H4" s="2" t="s">
        <v>26</v>
      </c>
      <c r="I4" s="2" t="s">
        <v>20</v>
      </c>
      <c r="J4" s="2" t="s">
        <v>32</v>
      </c>
      <c r="K4">
        <v>79810</v>
      </c>
      <c r="L4" s="2" t="s">
        <v>33</v>
      </c>
      <c r="M4">
        <v>0.33</v>
      </c>
      <c r="N4">
        <v>0.7</v>
      </c>
      <c r="O4">
        <v>2689.37</v>
      </c>
      <c r="P4">
        <v>0</v>
      </c>
      <c r="Q4">
        <v>58</v>
      </c>
      <c r="R4">
        <v>8949.375</v>
      </c>
      <c r="S4">
        <v>22824.375</v>
      </c>
      <c r="T4">
        <v>-11185.630000000001</v>
      </c>
      <c r="U4">
        <v>0</v>
      </c>
      <c r="V4" s="2" t="s">
        <v>2059</v>
      </c>
      <c r="W4" s="2" t="s">
        <v>2057</v>
      </c>
      <c r="X4">
        <v>24859.375</v>
      </c>
      <c r="Y4">
        <v>-0.80617153153153165</v>
      </c>
      <c r="Z4" s="2" t="s">
        <v>2061</v>
      </c>
    </row>
    <row r="5" spans="1:26" x14ac:dyDescent="0.3">
      <c r="A5" s="2" t="s">
        <v>34</v>
      </c>
      <c r="B5" s="1">
        <v>44663</v>
      </c>
      <c r="C5" s="2" t="s">
        <v>35</v>
      </c>
      <c r="D5" s="2" t="s">
        <v>18</v>
      </c>
      <c r="E5">
        <v>2622</v>
      </c>
      <c r="F5">
        <v>14.9</v>
      </c>
      <c r="G5">
        <v>60</v>
      </c>
      <c r="H5" s="2" t="s">
        <v>19</v>
      </c>
      <c r="I5" s="2" t="s">
        <v>36</v>
      </c>
      <c r="J5" s="2" t="s">
        <v>37</v>
      </c>
      <c r="K5">
        <v>133361</v>
      </c>
      <c r="L5" s="2" t="s">
        <v>22</v>
      </c>
      <c r="M5">
        <v>0.17</v>
      </c>
      <c r="N5">
        <v>0.87</v>
      </c>
      <c r="O5">
        <v>3012.68</v>
      </c>
      <c r="P5">
        <v>0</v>
      </c>
      <c r="Q5">
        <v>47</v>
      </c>
      <c r="R5">
        <v>1953.3900000000003</v>
      </c>
      <c r="S5">
        <v>4575.3900000000003</v>
      </c>
      <c r="T5">
        <v>390.67999999999984</v>
      </c>
      <c r="U5">
        <v>0</v>
      </c>
      <c r="V5" s="2" t="s">
        <v>2056</v>
      </c>
      <c r="W5" s="2" t="s">
        <v>2062</v>
      </c>
      <c r="X5">
        <v>3255.65</v>
      </c>
      <c r="Y5">
        <v>0.14900076277650642</v>
      </c>
      <c r="Z5" s="2" t="s">
        <v>2058</v>
      </c>
    </row>
    <row r="6" spans="1:26" x14ac:dyDescent="0.3">
      <c r="A6" s="2" t="s">
        <v>38</v>
      </c>
      <c r="B6" s="1">
        <v>44527</v>
      </c>
      <c r="C6" s="2" t="s">
        <v>39</v>
      </c>
      <c r="D6" s="2" t="s">
        <v>40</v>
      </c>
      <c r="E6">
        <v>17725</v>
      </c>
      <c r="F6">
        <v>12.7</v>
      </c>
      <c r="G6">
        <v>36</v>
      </c>
      <c r="H6" s="2" t="s">
        <v>19</v>
      </c>
      <c r="I6" s="2" t="s">
        <v>41</v>
      </c>
      <c r="J6" s="2" t="s">
        <v>37</v>
      </c>
      <c r="K6">
        <v>148696</v>
      </c>
      <c r="L6" s="2" t="s">
        <v>22</v>
      </c>
      <c r="M6">
        <v>0.16</v>
      </c>
      <c r="N6">
        <v>0.79</v>
      </c>
      <c r="O6">
        <v>19976.080000000002</v>
      </c>
      <c r="P6">
        <v>0</v>
      </c>
      <c r="Q6">
        <v>51</v>
      </c>
      <c r="R6">
        <v>6753.2249999999995</v>
      </c>
      <c r="S6">
        <v>24478.224999999999</v>
      </c>
      <c r="T6">
        <v>2251.0800000000017</v>
      </c>
      <c r="U6">
        <v>0</v>
      </c>
      <c r="V6" s="2" t="s">
        <v>2056</v>
      </c>
      <c r="W6" s="2" t="s">
        <v>2062</v>
      </c>
      <c r="X6">
        <v>18758.958299999998</v>
      </c>
      <c r="Y6">
        <v>0.12700028208744721</v>
      </c>
      <c r="Z6" s="2" t="s">
        <v>2061</v>
      </c>
    </row>
    <row r="7" spans="1:26" x14ac:dyDescent="0.3">
      <c r="A7" s="2" t="s">
        <v>42</v>
      </c>
      <c r="B7" s="1">
        <v>44284</v>
      </c>
      <c r="C7" s="2" t="s">
        <v>43</v>
      </c>
      <c r="D7" s="2" t="s">
        <v>40</v>
      </c>
      <c r="E7">
        <v>16646</v>
      </c>
      <c r="F7">
        <v>14</v>
      </c>
      <c r="G7">
        <v>36</v>
      </c>
      <c r="H7" s="2" t="s">
        <v>19</v>
      </c>
      <c r="I7" s="2" t="s">
        <v>20</v>
      </c>
      <c r="J7" s="2" t="s">
        <v>37</v>
      </c>
      <c r="K7">
        <v>124636</v>
      </c>
      <c r="L7" s="2" t="s">
        <v>33</v>
      </c>
      <c r="M7">
        <v>0.33</v>
      </c>
      <c r="N7">
        <v>0.69</v>
      </c>
      <c r="O7">
        <v>18976.439999999999</v>
      </c>
      <c r="P7">
        <v>0</v>
      </c>
      <c r="Q7">
        <v>59</v>
      </c>
      <c r="R7">
        <v>6991.32</v>
      </c>
      <c r="S7">
        <v>23637.32</v>
      </c>
      <c r="T7">
        <v>2330.4399999999987</v>
      </c>
      <c r="U7">
        <v>0</v>
      </c>
      <c r="V7" s="2" t="s">
        <v>2056</v>
      </c>
      <c r="W7" s="2" t="s">
        <v>2057</v>
      </c>
      <c r="X7">
        <v>19420.333299999998</v>
      </c>
      <c r="Y7">
        <v>0.13999999999999993</v>
      </c>
      <c r="Z7" s="2" t="s">
        <v>2061</v>
      </c>
    </row>
    <row r="8" spans="1:26" x14ac:dyDescent="0.3">
      <c r="A8" s="2" t="s">
        <v>44</v>
      </c>
      <c r="B8" s="1">
        <v>45068</v>
      </c>
      <c r="C8" s="2" t="s">
        <v>45</v>
      </c>
      <c r="D8" s="2" t="s">
        <v>46</v>
      </c>
      <c r="E8">
        <v>18029</v>
      </c>
      <c r="F8">
        <v>9.5</v>
      </c>
      <c r="G8">
        <v>60</v>
      </c>
      <c r="H8" s="2" t="s">
        <v>19</v>
      </c>
      <c r="I8" s="2" t="s">
        <v>27</v>
      </c>
      <c r="J8" s="2" t="s">
        <v>47</v>
      </c>
      <c r="K8">
        <v>34994</v>
      </c>
      <c r="L8" s="2" t="s">
        <v>22</v>
      </c>
      <c r="M8">
        <v>0.4</v>
      </c>
      <c r="N8">
        <v>0.8</v>
      </c>
      <c r="O8">
        <v>19741.759999999998</v>
      </c>
      <c r="P8">
        <v>0</v>
      </c>
      <c r="Q8">
        <v>33</v>
      </c>
      <c r="R8">
        <v>8563.7749999999996</v>
      </c>
      <c r="S8">
        <v>26592.775000000001</v>
      </c>
      <c r="T8">
        <v>1712.7599999999984</v>
      </c>
      <c r="U8">
        <v>0</v>
      </c>
      <c r="V8" s="2" t="s">
        <v>2056</v>
      </c>
      <c r="W8" s="2" t="s">
        <v>2060</v>
      </c>
      <c r="X8">
        <v>14272.9583</v>
      </c>
      <c r="Y8">
        <v>9.5000277330966693E-2</v>
      </c>
      <c r="Z8" s="2" t="s">
        <v>2061</v>
      </c>
    </row>
    <row r="9" spans="1:26" x14ac:dyDescent="0.3">
      <c r="A9" s="2" t="s">
        <v>48</v>
      </c>
      <c r="B9" s="1">
        <v>44327</v>
      </c>
      <c r="C9" s="2" t="s">
        <v>49</v>
      </c>
      <c r="D9" s="2" t="s">
        <v>50</v>
      </c>
      <c r="E9">
        <v>30402</v>
      </c>
      <c r="F9">
        <v>22.8</v>
      </c>
      <c r="G9">
        <v>36</v>
      </c>
      <c r="H9" s="2" t="s">
        <v>26</v>
      </c>
      <c r="I9" s="2" t="s">
        <v>20</v>
      </c>
      <c r="J9" s="2" t="s">
        <v>21</v>
      </c>
      <c r="K9">
        <v>34234</v>
      </c>
      <c r="L9" s="2" t="s">
        <v>33</v>
      </c>
      <c r="M9">
        <v>0.41</v>
      </c>
      <c r="N9">
        <v>0.55000000000000004</v>
      </c>
      <c r="O9">
        <v>3813.31</v>
      </c>
      <c r="P9">
        <v>0</v>
      </c>
      <c r="Q9">
        <v>58</v>
      </c>
      <c r="R9">
        <v>20794.968000000001</v>
      </c>
      <c r="S9">
        <v>51196.968000000001</v>
      </c>
      <c r="T9">
        <v>-26588.69</v>
      </c>
      <c r="U9">
        <v>0</v>
      </c>
      <c r="V9" s="2" t="s">
        <v>2059</v>
      </c>
      <c r="W9" s="2" t="s">
        <v>2057</v>
      </c>
      <c r="X9">
        <v>57763.8</v>
      </c>
      <c r="Y9">
        <v>-0.87457042299848686</v>
      </c>
      <c r="Z9" s="2" t="s">
        <v>2058</v>
      </c>
    </row>
    <row r="10" spans="1:26" x14ac:dyDescent="0.3">
      <c r="A10" s="2" t="s">
        <v>51</v>
      </c>
      <c r="B10" s="1">
        <v>44966</v>
      </c>
      <c r="C10" s="2" t="s">
        <v>52</v>
      </c>
      <c r="D10" s="2" t="s">
        <v>53</v>
      </c>
      <c r="E10">
        <v>5263</v>
      </c>
      <c r="F10">
        <v>14</v>
      </c>
      <c r="G10">
        <v>36</v>
      </c>
      <c r="H10" s="2" t="s">
        <v>26</v>
      </c>
      <c r="I10" s="2" t="s">
        <v>27</v>
      </c>
      <c r="J10" s="2" t="s">
        <v>32</v>
      </c>
      <c r="K10">
        <v>99300</v>
      </c>
      <c r="L10" s="2" t="s">
        <v>33</v>
      </c>
      <c r="M10">
        <v>0.21</v>
      </c>
      <c r="N10">
        <v>0.68</v>
      </c>
      <c r="O10">
        <v>885.74</v>
      </c>
      <c r="P10">
        <v>0</v>
      </c>
      <c r="Q10">
        <v>37</v>
      </c>
      <c r="R10">
        <v>2210.46</v>
      </c>
      <c r="S10">
        <v>7473.46</v>
      </c>
      <c r="T10">
        <v>-4377.26</v>
      </c>
      <c r="U10">
        <v>0</v>
      </c>
      <c r="V10" s="2" t="s">
        <v>2059</v>
      </c>
      <c r="W10" s="2" t="s">
        <v>2060</v>
      </c>
      <c r="X10">
        <v>6140.1666999999998</v>
      </c>
      <c r="Y10">
        <v>-0.83170435113053398</v>
      </c>
      <c r="Z10" s="2" t="s">
        <v>2061</v>
      </c>
    </row>
    <row r="11" spans="1:26" x14ac:dyDescent="0.3">
      <c r="A11" s="2" t="s">
        <v>54</v>
      </c>
      <c r="B11" s="1">
        <v>44540</v>
      </c>
      <c r="C11" s="2" t="s">
        <v>55</v>
      </c>
      <c r="D11" s="2" t="s">
        <v>56</v>
      </c>
      <c r="E11">
        <v>31987</v>
      </c>
      <c r="F11">
        <v>22.6</v>
      </c>
      <c r="G11">
        <v>60</v>
      </c>
      <c r="H11" s="2" t="s">
        <v>26</v>
      </c>
      <c r="I11" s="2" t="s">
        <v>57</v>
      </c>
      <c r="J11" s="2" t="s">
        <v>21</v>
      </c>
      <c r="K11">
        <v>73949</v>
      </c>
      <c r="L11" s="2" t="s">
        <v>33</v>
      </c>
      <c r="M11">
        <v>0.18</v>
      </c>
      <c r="N11">
        <v>0.86</v>
      </c>
      <c r="O11">
        <v>2113.92</v>
      </c>
      <c r="P11">
        <v>0</v>
      </c>
      <c r="Q11">
        <v>51</v>
      </c>
      <c r="R11">
        <v>36145.310000000005</v>
      </c>
      <c r="S11">
        <v>68132.31</v>
      </c>
      <c r="T11">
        <v>-29873.08</v>
      </c>
      <c r="U11">
        <v>0</v>
      </c>
      <c r="V11" s="2" t="s">
        <v>2059</v>
      </c>
      <c r="W11" s="2" t="s">
        <v>2057</v>
      </c>
      <c r="X11">
        <v>60242.183299999997</v>
      </c>
      <c r="Y11">
        <v>-0.93391315221808868</v>
      </c>
      <c r="Z11" s="2" t="s">
        <v>2058</v>
      </c>
    </row>
    <row r="12" spans="1:26" x14ac:dyDescent="0.3">
      <c r="A12" s="2" t="s">
        <v>58</v>
      </c>
      <c r="B12" s="1">
        <v>45002</v>
      </c>
      <c r="C12" s="2" t="s">
        <v>59</v>
      </c>
      <c r="D12" s="2" t="s">
        <v>25</v>
      </c>
      <c r="E12">
        <v>9646</v>
      </c>
      <c r="F12">
        <v>7.1</v>
      </c>
      <c r="G12">
        <v>60</v>
      </c>
      <c r="H12" s="2" t="s">
        <v>60</v>
      </c>
      <c r="I12" s="2" t="s">
        <v>27</v>
      </c>
      <c r="J12" s="2" t="s">
        <v>47</v>
      </c>
      <c r="K12">
        <v>67405</v>
      </c>
      <c r="L12" s="2" t="s">
        <v>33</v>
      </c>
      <c r="M12">
        <v>0.11</v>
      </c>
      <c r="N12">
        <v>0.6</v>
      </c>
      <c r="O12">
        <v>0</v>
      </c>
      <c r="P12">
        <v>0</v>
      </c>
      <c r="Q12">
        <v>36</v>
      </c>
      <c r="R12">
        <v>3424.3299999999995</v>
      </c>
      <c r="S12">
        <v>13070.33</v>
      </c>
      <c r="T12">
        <v>-9646</v>
      </c>
      <c r="U12">
        <v>0</v>
      </c>
      <c r="V12" s="2" t="s">
        <v>2063</v>
      </c>
      <c r="W12" s="2" t="s">
        <v>2060</v>
      </c>
      <c r="X12">
        <v>5707.2166999999999</v>
      </c>
      <c r="Y12">
        <v>-1</v>
      </c>
      <c r="Z12" s="2" t="s">
        <v>2061</v>
      </c>
    </row>
    <row r="13" spans="1:26" x14ac:dyDescent="0.3">
      <c r="A13" s="2" t="s">
        <v>61</v>
      </c>
      <c r="B13" s="1">
        <v>44582</v>
      </c>
      <c r="C13" s="2" t="s">
        <v>62</v>
      </c>
      <c r="D13" s="2" t="s">
        <v>46</v>
      </c>
      <c r="E13">
        <v>28529</v>
      </c>
      <c r="F13">
        <v>24.8</v>
      </c>
      <c r="G13">
        <v>60</v>
      </c>
      <c r="H13" s="2" t="s">
        <v>19</v>
      </c>
      <c r="I13" s="2" t="s">
        <v>57</v>
      </c>
      <c r="J13" s="2" t="s">
        <v>32</v>
      </c>
      <c r="K13">
        <v>64872</v>
      </c>
      <c r="L13" s="2" t="s">
        <v>33</v>
      </c>
      <c r="M13">
        <v>0.37</v>
      </c>
      <c r="N13">
        <v>0.57999999999999996</v>
      </c>
      <c r="O13">
        <v>35604.19</v>
      </c>
      <c r="P13">
        <v>0</v>
      </c>
      <c r="Q13">
        <v>49</v>
      </c>
      <c r="R13">
        <v>35375.960000000006</v>
      </c>
      <c r="S13">
        <v>63904.960000000006</v>
      </c>
      <c r="T13">
        <v>7075.1900000000023</v>
      </c>
      <c r="U13">
        <v>0</v>
      </c>
      <c r="V13" s="2" t="s">
        <v>2056</v>
      </c>
      <c r="W13" s="2" t="s">
        <v>2057</v>
      </c>
      <c r="X13">
        <v>58959.933299999997</v>
      </c>
      <c r="Y13">
        <v>0.24799992989589548</v>
      </c>
      <c r="Z13" s="2" t="s">
        <v>2061</v>
      </c>
    </row>
    <row r="14" spans="1:26" x14ac:dyDescent="0.3">
      <c r="A14" s="2" t="s">
        <v>63</v>
      </c>
      <c r="B14" s="1">
        <v>45152</v>
      </c>
      <c r="C14" s="2" t="s">
        <v>64</v>
      </c>
      <c r="D14" s="2" t="s">
        <v>65</v>
      </c>
      <c r="E14">
        <v>12664</v>
      </c>
      <c r="F14">
        <v>13.9</v>
      </c>
      <c r="G14">
        <v>36</v>
      </c>
      <c r="H14" s="2" t="s">
        <v>19</v>
      </c>
      <c r="I14" s="2" t="s">
        <v>20</v>
      </c>
      <c r="J14" s="2" t="s">
        <v>32</v>
      </c>
      <c r="K14">
        <v>72215</v>
      </c>
      <c r="L14" s="2" t="s">
        <v>29</v>
      </c>
      <c r="M14">
        <v>0.13</v>
      </c>
      <c r="N14">
        <v>0.93</v>
      </c>
      <c r="O14">
        <v>14424.3</v>
      </c>
      <c r="P14">
        <v>0</v>
      </c>
      <c r="Q14">
        <v>31</v>
      </c>
      <c r="R14">
        <v>5280.8879999999999</v>
      </c>
      <c r="S14">
        <v>17944.887999999999</v>
      </c>
      <c r="T14">
        <v>1760.2999999999993</v>
      </c>
      <c r="U14">
        <v>0</v>
      </c>
      <c r="V14" s="2" t="s">
        <v>2056</v>
      </c>
      <c r="W14" s="2" t="s">
        <v>2057</v>
      </c>
      <c r="X14">
        <v>14669.1333</v>
      </c>
      <c r="Y14">
        <v>0.13900031585596961</v>
      </c>
      <c r="Z14" s="2" t="s">
        <v>2058</v>
      </c>
    </row>
    <row r="15" spans="1:26" x14ac:dyDescent="0.3">
      <c r="A15" s="2" t="s">
        <v>66</v>
      </c>
      <c r="B15" s="1">
        <v>44473</v>
      </c>
      <c r="C15" s="2" t="s">
        <v>67</v>
      </c>
      <c r="D15" s="2" t="s">
        <v>46</v>
      </c>
      <c r="E15">
        <v>36737</v>
      </c>
      <c r="F15">
        <v>6</v>
      </c>
      <c r="G15">
        <v>60</v>
      </c>
      <c r="H15" s="2" t="s">
        <v>19</v>
      </c>
      <c r="I15" s="2" t="s">
        <v>57</v>
      </c>
      <c r="J15" s="2" t="s">
        <v>28</v>
      </c>
      <c r="K15">
        <v>53185</v>
      </c>
      <c r="L15" s="2" t="s">
        <v>33</v>
      </c>
      <c r="M15">
        <v>0.27</v>
      </c>
      <c r="N15">
        <v>0.59</v>
      </c>
      <c r="O15">
        <v>38941.22</v>
      </c>
      <c r="P15">
        <v>0</v>
      </c>
      <c r="Q15">
        <v>53</v>
      </c>
      <c r="R15">
        <v>11021.099999999999</v>
      </c>
      <c r="S15">
        <v>47758.1</v>
      </c>
      <c r="T15">
        <v>2204.2200000000012</v>
      </c>
      <c r="U15">
        <v>0</v>
      </c>
      <c r="V15" s="2" t="s">
        <v>2056</v>
      </c>
      <c r="W15" s="2" t="s">
        <v>2057</v>
      </c>
      <c r="X15">
        <v>18368.5</v>
      </c>
      <c r="Y15">
        <v>6.0000000000000032E-2</v>
      </c>
      <c r="Z15" s="2" t="s">
        <v>2061</v>
      </c>
    </row>
    <row r="16" spans="1:26" x14ac:dyDescent="0.3">
      <c r="A16" s="2" t="s">
        <v>68</v>
      </c>
      <c r="B16" s="1">
        <v>44656</v>
      </c>
      <c r="C16" s="2" t="s">
        <v>69</v>
      </c>
      <c r="D16" s="2" t="s">
        <v>65</v>
      </c>
      <c r="E16">
        <v>36796</v>
      </c>
      <c r="F16">
        <v>5.8</v>
      </c>
      <c r="G16">
        <v>60</v>
      </c>
      <c r="H16" s="2" t="s">
        <v>26</v>
      </c>
      <c r="I16" s="2" t="s">
        <v>20</v>
      </c>
      <c r="J16" s="2" t="s">
        <v>21</v>
      </c>
      <c r="K16">
        <v>73442</v>
      </c>
      <c r="L16" s="2" t="s">
        <v>29</v>
      </c>
      <c r="M16">
        <v>0.34</v>
      </c>
      <c r="N16">
        <v>0.62</v>
      </c>
      <c r="O16">
        <v>13503.79</v>
      </c>
      <c r="P16">
        <v>0</v>
      </c>
      <c r="Q16">
        <v>47</v>
      </c>
      <c r="R16">
        <v>10670.839999999998</v>
      </c>
      <c r="S16">
        <v>47466.84</v>
      </c>
      <c r="T16">
        <v>-23292.21</v>
      </c>
      <c r="U16">
        <v>0</v>
      </c>
      <c r="V16" s="2" t="s">
        <v>2059</v>
      </c>
      <c r="W16" s="2" t="s">
        <v>2057</v>
      </c>
      <c r="X16">
        <v>17784.7333</v>
      </c>
      <c r="Y16">
        <v>-0.63300929448853138</v>
      </c>
      <c r="Z16" s="2" t="s">
        <v>2061</v>
      </c>
    </row>
    <row r="17" spans="1:26" x14ac:dyDescent="0.3">
      <c r="A17" s="2" t="s">
        <v>70</v>
      </c>
      <c r="B17" s="1">
        <v>44218</v>
      </c>
      <c r="C17" s="2" t="s">
        <v>71</v>
      </c>
      <c r="D17" s="2" t="s">
        <v>72</v>
      </c>
      <c r="E17">
        <v>25027</v>
      </c>
      <c r="F17">
        <v>19.899999999999999</v>
      </c>
      <c r="G17">
        <v>36</v>
      </c>
      <c r="H17" s="2" t="s">
        <v>19</v>
      </c>
      <c r="I17" s="2" t="s">
        <v>73</v>
      </c>
      <c r="J17" s="2" t="s">
        <v>21</v>
      </c>
      <c r="K17">
        <v>81759</v>
      </c>
      <c r="L17" s="2" t="s">
        <v>33</v>
      </c>
      <c r="M17">
        <v>0.47</v>
      </c>
      <c r="N17">
        <v>0.94</v>
      </c>
      <c r="O17">
        <v>30007.37</v>
      </c>
      <c r="P17">
        <v>0</v>
      </c>
      <c r="Q17">
        <v>61</v>
      </c>
      <c r="R17">
        <v>14941.118999999999</v>
      </c>
      <c r="S17">
        <v>39968.118999999999</v>
      </c>
      <c r="T17">
        <v>4980.369999999999</v>
      </c>
      <c r="U17">
        <v>0</v>
      </c>
      <c r="V17" s="2" t="s">
        <v>2056</v>
      </c>
      <c r="W17" s="2" t="s">
        <v>2064</v>
      </c>
      <c r="X17">
        <v>41503.1083</v>
      </c>
      <c r="Y17">
        <v>0.19899988012946015</v>
      </c>
      <c r="Z17" s="2" t="s">
        <v>2058</v>
      </c>
    </row>
    <row r="18" spans="1:26" x14ac:dyDescent="0.3">
      <c r="A18" s="2" t="s">
        <v>74</v>
      </c>
      <c r="B18" s="1">
        <v>44449</v>
      </c>
      <c r="C18" s="2" t="s">
        <v>75</v>
      </c>
      <c r="D18" s="2" t="s">
        <v>76</v>
      </c>
      <c r="E18">
        <v>30373</v>
      </c>
      <c r="F18">
        <v>18.2</v>
      </c>
      <c r="G18">
        <v>60</v>
      </c>
      <c r="H18" s="2" t="s">
        <v>26</v>
      </c>
      <c r="I18" s="2" t="s">
        <v>20</v>
      </c>
      <c r="J18" s="2" t="s">
        <v>28</v>
      </c>
      <c r="K18">
        <v>71153</v>
      </c>
      <c r="L18" s="2" t="s">
        <v>22</v>
      </c>
      <c r="M18">
        <v>0.22</v>
      </c>
      <c r="N18">
        <v>0.83</v>
      </c>
      <c r="O18">
        <v>8244.83</v>
      </c>
      <c r="P18">
        <v>0</v>
      </c>
      <c r="Q18">
        <v>54</v>
      </c>
      <c r="R18">
        <v>27639.429999999997</v>
      </c>
      <c r="S18">
        <v>58012.429999999993</v>
      </c>
      <c r="T18">
        <v>-22128.17</v>
      </c>
      <c r="U18">
        <v>0</v>
      </c>
      <c r="V18" s="2" t="s">
        <v>2059</v>
      </c>
      <c r="W18" s="2" t="s">
        <v>2057</v>
      </c>
      <c r="X18">
        <v>46065.716699999997</v>
      </c>
      <c r="Y18">
        <v>-0.72854739406709901</v>
      </c>
      <c r="Z18" s="2" t="s">
        <v>2058</v>
      </c>
    </row>
    <row r="19" spans="1:26" x14ac:dyDescent="0.3">
      <c r="A19" s="2" t="s">
        <v>77</v>
      </c>
      <c r="B19" s="1">
        <v>44944</v>
      </c>
      <c r="C19" s="2" t="s">
        <v>78</v>
      </c>
      <c r="D19" s="2" t="s">
        <v>18</v>
      </c>
      <c r="E19">
        <v>37397</v>
      </c>
      <c r="F19">
        <v>21</v>
      </c>
      <c r="G19">
        <v>60</v>
      </c>
      <c r="H19" s="2" t="s">
        <v>19</v>
      </c>
      <c r="I19" s="2" t="s">
        <v>73</v>
      </c>
      <c r="J19" s="2" t="s">
        <v>37</v>
      </c>
      <c r="K19">
        <v>107535</v>
      </c>
      <c r="L19" s="2" t="s">
        <v>29</v>
      </c>
      <c r="M19">
        <v>0.2</v>
      </c>
      <c r="N19">
        <v>0.81</v>
      </c>
      <c r="O19">
        <v>45250.37</v>
      </c>
      <c r="P19">
        <v>0</v>
      </c>
      <c r="Q19">
        <v>38</v>
      </c>
      <c r="R19">
        <v>39266.85</v>
      </c>
      <c r="S19">
        <v>76663.850000000006</v>
      </c>
      <c r="T19">
        <v>7853.3700000000026</v>
      </c>
      <c r="U19">
        <v>0</v>
      </c>
      <c r="V19" s="2" t="s">
        <v>2056</v>
      </c>
      <c r="W19" s="2" t="s">
        <v>2064</v>
      </c>
      <c r="X19">
        <v>65444.75</v>
      </c>
      <c r="Y19">
        <v>0.21000000000000008</v>
      </c>
      <c r="Z19" s="2" t="s">
        <v>2058</v>
      </c>
    </row>
    <row r="20" spans="1:26" x14ac:dyDescent="0.3">
      <c r="A20" s="2" t="s">
        <v>79</v>
      </c>
      <c r="B20" s="1">
        <v>45053</v>
      </c>
      <c r="C20" s="2" t="s">
        <v>80</v>
      </c>
      <c r="D20" s="2" t="s">
        <v>76</v>
      </c>
      <c r="E20">
        <v>21609</v>
      </c>
      <c r="F20">
        <v>7.1</v>
      </c>
      <c r="G20">
        <v>60</v>
      </c>
      <c r="H20" s="2" t="s">
        <v>81</v>
      </c>
      <c r="I20" s="2" t="s">
        <v>36</v>
      </c>
      <c r="J20" s="2" t="s">
        <v>47</v>
      </c>
      <c r="K20">
        <v>132023</v>
      </c>
      <c r="L20" s="2" t="s">
        <v>22</v>
      </c>
      <c r="M20">
        <v>0.36</v>
      </c>
      <c r="N20">
        <v>0.88</v>
      </c>
      <c r="O20">
        <v>2771.85</v>
      </c>
      <c r="P20">
        <v>10111.4</v>
      </c>
      <c r="Q20">
        <v>34</v>
      </c>
      <c r="R20">
        <v>7671.1949999999997</v>
      </c>
      <c r="S20">
        <v>29280.195</v>
      </c>
      <c r="T20">
        <v>-8725.75</v>
      </c>
      <c r="U20">
        <v>1</v>
      </c>
      <c r="V20" s="2" t="s">
        <v>2063</v>
      </c>
      <c r="W20" s="2" t="s">
        <v>2062</v>
      </c>
      <c r="X20">
        <v>12785.325000000001</v>
      </c>
      <c r="Y20">
        <v>-0.4038016567171086</v>
      </c>
      <c r="Z20" s="2" t="s">
        <v>2058</v>
      </c>
    </row>
    <row r="21" spans="1:26" x14ac:dyDescent="0.3">
      <c r="A21" s="2" t="s">
        <v>82</v>
      </c>
      <c r="B21" s="1">
        <v>44671</v>
      </c>
      <c r="C21" s="2" t="s">
        <v>83</v>
      </c>
      <c r="D21" s="2" t="s">
        <v>46</v>
      </c>
      <c r="E21">
        <v>36835</v>
      </c>
      <c r="F21">
        <v>5.7</v>
      </c>
      <c r="G21">
        <v>60</v>
      </c>
      <c r="H21" s="2" t="s">
        <v>81</v>
      </c>
      <c r="I21" s="2" t="s">
        <v>84</v>
      </c>
      <c r="J21" s="2" t="s">
        <v>21</v>
      </c>
      <c r="K21">
        <v>32581</v>
      </c>
      <c r="L21" s="2" t="s">
        <v>33</v>
      </c>
      <c r="M21">
        <v>0.35</v>
      </c>
      <c r="N21">
        <v>0.55000000000000004</v>
      </c>
      <c r="O21">
        <v>5580.8</v>
      </c>
      <c r="P21">
        <v>9880.57</v>
      </c>
      <c r="Q21">
        <v>46</v>
      </c>
      <c r="R21">
        <v>10497.974999999999</v>
      </c>
      <c r="S21">
        <v>47332.974999999999</v>
      </c>
      <c r="T21">
        <v>-21373.63</v>
      </c>
      <c r="U21">
        <v>1</v>
      </c>
      <c r="V21" s="2" t="s">
        <v>2063</v>
      </c>
      <c r="W21" s="2" t="s">
        <v>2062</v>
      </c>
      <c r="X21">
        <v>17496.625</v>
      </c>
      <c r="Y21">
        <v>-0.58025329170625761</v>
      </c>
      <c r="Z21" s="2" t="s">
        <v>2061</v>
      </c>
    </row>
    <row r="22" spans="1:26" x14ac:dyDescent="0.3">
      <c r="A22" s="2" t="s">
        <v>85</v>
      </c>
      <c r="B22" s="1">
        <v>45279</v>
      </c>
      <c r="C22" s="2" t="s">
        <v>86</v>
      </c>
      <c r="D22" s="2" t="s">
        <v>76</v>
      </c>
      <c r="E22">
        <v>39709</v>
      </c>
      <c r="F22">
        <v>15.2</v>
      </c>
      <c r="G22">
        <v>36</v>
      </c>
      <c r="H22" s="2" t="s">
        <v>19</v>
      </c>
      <c r="I22" s="2" t="s">
        <v>36</v>
      </c>
      <c r="J22" s="2" t="s">
        <v>28</v>
      </c>
      <c r="K22">
        <v>81717</v>
      </c>
      <c r="L22" s="2" t="s">
        <v>33</v>
      </c>
      <c r="M22">
        <v>0.23</v>
      </c>
      <c r="N22">
        <v>0.82</v>
      </c>
      <c r="O22">
        <v>45744.77</v>
      </c>
      <c r="P22">
        <v>0</v>
      </c>
      <c r="Q22">
        <v>27</v>
      </c>
      <c r="R22">
        <v>18107.303999999996</v>
      </c>
      <c r="S22">
        <v>57816.303999999996</v>
      </c>
      <c r="T22">
        <v>6035.7699999999968</v>
      </c>
      <c r="U22">
        <v>0</v>
      </c>
      <c r="V22" s="2" t="s">
        <v>2056</v>
      </c>
      <c r="W22" s="2" t="s">
        <v>2062</v>
      </c>
      <c r="X22">
        <v>50298.066700000003</v>
      </c>
      <c r="Y22">
        <v>0.15200005036641559</v>
      </c>
      <c r="Z22" s="2" t="s">
        <v>2058</v>
      </c>
    </row>
    <row r="23" spans="1:26" x14ac:dyDescent="0.3">
      <c r="A23" s="2" t="s">
        <v>87</v>
      </c>
      <c r="B23" s="1">
        <v>44707</v>
      </c>
      <c r="C23" s="2" t="s">
        <v>88</v>
      </c>
      <c r="D23" s="2" t="s">
        <v>56</v>
      </c>
      <c r="E23">
        <v>20250</v>
      </c>
      <c r="F23">
        <v>12.8</v>
      </c>
      <c r="G23">
        <v>60</v>
      </c>
      <c r="H23" s="2" t="s">
        <v>19</v>
      </c>
      <c r="I23" s="2" t="s">
        <v>36</v>
      </c>
      <c r="J23" s="2" t="s">
        <v>32</v>
      </c>
      <c r="K23">
        <v>32763</v>
      </c>
      <c r="L23" s="2" t="s">
        <v>22</v>
      </c>
      <c r="M23">
        <v>0.47</v>
      </c>
      <c r="N23">
        <v>0.73</v>
      </c>
      <c r="O23">
        <v>22842</v>
      </c>
      <c r="P23">
        <v>0</v>
      </c>
      <c r="Q23">
        <v>45</v>
      </c>
      <c r="R23">
        <v>12960</v>
      </c>
      <c r="S23">
        <v>33210</v>
      </c>
      <c r="T23">
        <v>2592</v>
      </c>
      <c r="U23">
        <v>0</v>
      </c>
      <c r="V23" s="2" t="s">
        <v>2056</v>
      </c>
      <c r="W23" s="2" t="s">
        <v>2062</v>
      </c>
      <c r="X23">
        <v>21600</v>
      </c>
      <c r="Y23">
        <v>0.128</v>
      </c>
      <c r="Z23" s="2" t="s">
        <v>2058</v>
      </c>
    </row>
    <row r="24" spans="1:26" x14ac:dyDescent="0.3">
      <c r="A24" s="2" t="s">
        <v>89</v>
      </c>
      <c r="B24" s="1">
        <v>44896</v>
      </c>
      <c r="C24" s="2" t="s">
        <v>90</v>
      </c>
      <c r="D24" s="2" t="s">
        <v>72</v>
      </c>
      <c r="E24">
        <v>22172</v>
      </c>
      <c r="F24">
        <v>14.2</v>
      </c>
      <c r="G24">
        <v>60</v>
      </c>
      <c r="H24" s="2" t="s">
        <v>26</v>
      </c>
      <c r="I24" s="2" t="s">
        <v>20</v>
      </c>
      <c r="J24" s="2" t="s">
        <v>28</v>
      </c>
      <c r="K24">
        <v>122910</v>
      </c>
      <c r="L24" s="2" t="s">
        <v>33</v>
      </c>
      <c r="M24">
        <v>0.44</v>
      </c>
      <c r="N24">
        <v>0.87</v>
      </c>
      <c r="O24">
        <v>2131.63</v>
      </c>
      <c r="P24">
        <v>0</v>
      </c>
      <c r="Q24">
        <v>39</v>
      </c>
      <c r="R24">
        <v>15742.119999999997</v>
      </c>
      <c r="S24">
        <v>37914.119999999995</v>
      </c>
      <c r="T24">
        <v>-20040.37</v>
      </c>
      <c r="U24">
        <v>0</v>
      </c>
      <c r="V24" s="2" t="s">
        <v>2059</v>
      </c>
      <c r="W24" s="2" t="s">
        <v>2057</v>
      </c>
      <c r="X24">
        <v>26236.866699999999</v>
      </c>
      <c r="Y24">
        <v>-0.90385937218112933</v>
      </c>
      <c r="Z24" s="2" t="s">
        <v>2058</v>
      </c>
    </row>
    <row r="25" spans="1:26" x14ac:dyDescent="0.3">
      <c r="A25" s="2" t="s">
        <v>91</v>
      </c>
      <c r="B25" s="1">
        <v>45172</v>
      </c>
      <c r="C25" s="2" t="s">
        <v>92</v>
      </c>
      <c r="D25" s="2" t="s">
        <v>53</v>
      </c>
      <c r="E25">
        <v>12555</v>
      </c>
      <c r="F25">
        <v>24.8</v>
      </c>
      <c r="G25">
        <v>36</v>
      </c>
      <c r="H25" s="2" t="s">
        <v>19</v>
      </c>
      <c r="I25" s="2" t="s">
        <v>20</v>
      </c>
      <c r="J25" s="2" t="s">
        <v>37</v>
      </c>
      <c r="K25">
        <v>85480</v>
      </c>
      <c r="L25" s="2" t="s">
        <v>22</v>
      </c>
      <c r="M25">
        <v>0.19</v>
      </c>
      <c r="N25">
        <v>0.73</v>
      </c>
      <c r="O25">
        <v>15668.64</v>
      </c>
      <c r="P25">
        <v>0</v>
      </c>
      <c r="Q25">
        <v>30</v>
      </c>
      <c r="R25">
        <v>9340.92</v>
      </c>
      <c r="S25">
        <v>21895.919999999998</v>
      </c>
      <c r="T25">
        <v>3113.6399999999994</v>
      </c>
      <c r="U25">
        <v>0</v>
      </c>
      <c r="V25" s="2" t="s">
        <v>2056</v>
      </c>
      <c r="W25" s="2" t="s">
        <v>2057</v>
      </c>
      <c r="X25">
        <v>25947</v>
      </c>
      <c r="Y25">
        <v>0.24799999999999994</v>
      </c>
      <c r="Z25" s="2" t="s">
        <v>2061</v>
      </c>
    </row>
    <row r="26" spans="1:26" x14ac:dyDescent="0.3">
      <c r="A26" s="2" t="s">
        <v>93</v>
      </c>
      <c r="B26" s="1">
        <v>44386</v>
      </c>
      <c r="C26" s="2" t="s">
        <v>94</v>
      </c>
      <c r="D26" s="2" t="s">
        <v>72</v>
      </c>
      <c r="E26">
        <v>22874</v>
      </c>
      <c r="F26">
        <v>24.4</v>
      </c>
      <c r="G26">
        <v>60</v>
      </c>
      <c r="H26" s="2" t="s">
        <v>19</v>
      </c>
      <c r="I26" s="2" t="s">
        <v>73</v>
      </c>
      <c r="J26" s="2" t="s">
        <v>47</v>
      </c>
      <c r="K26">
        <v>68759</v>
      </c>
      <c r="L26" s="2" t="s">
        <v>33</v>
      </c>
      <c r="M26">
        <v>0.2</v>
      </c>
      <c r="N26">
        <v>0.78</v>
      </c>
      <c r="O26">
        <v>28455.26</v>
      </c>
      <c r="P26">
        <v>0</v>
      </c>
      <c r="Q26">
        <v>56</v>
      </c>
      <c r="R26">
        <v>27906.28</v>
      </c>
      <c r="S26">
        <v>50780.28</v>
      </c>
      <c r="T26">
        <v>5581.2599999999984</v>
      </c>
      <c r="U26">
        <v>0</v>
      </c>
      <c r="V26" s="2" t="s">
        <v>2056</v>
      </c>
      <c r="W26" s="2" t="s">
        <v>2064</v>
      </c>
      <c r="X26">
        <v>46510.466699999997</v>
      </c>
      <c r="Y26">
        <v>0.24400017487103254</v>
      </c>
      <c r="Z26" s="2" t="s">
        <v>2061</v>
      </c>
    </row>
    <row r="27" spans="1:26" x14ac:dyDescent="0.3">
      <c r="A27" s="2" t="s">
        <v>95</v>
      </c>
      <c r="B27" s="1">
        <v>45154</v>
      </c>
      <c r="C27" s="2" t="s">
        <v>96</v>
      </c>
      <c r="D27" s="2" t="s">
        <v>25</v>
      </c>
      <c r="E27">
        <v>14081</v>
      </c>
      <c r="F27">
        <v>23.8</v>
      </c>
      <c r="G27">
        <v>36</v>
      </c>
      <c r="H27" s="2" t="s">
        <v>26</v>
      </c>
      <c r="I27" s="2" t="s">
        <v>36</v>
      </c>
      <c r="J27" s="2" t="s">
        <v>37</v>
      </c>
      <c r="K27">
        <v>106067</v>
      </c>
      <c r="L27" s="2" t="s">
        <v>33</v>
      </c>
      <c r="M27">
        <v>0.3</v>
      </c>
      <c r="N27">
        <v>0.71</v>
      </c>
      <c r="O27">
        <v>4585.71</v>
      </c>
      <c r="P27">
        <v>0</v>
      </c>
      <c r="Q27">
        <v>31</v>
      </c>
      <c r="R27">
        <v>10053.833999999999</v>
      </c>
      <c r="S27">
        <v>24134.833999999999</v>
      </c>
      <c r="T27">
        <v>-9495.2900000000009</v>
      </c>
      <c r="U27">
        <v>0</v>
      </c>
      <c r="V27" s="2" t="s">
        <v>2059</v>
      </c>
      <c r="W27" s="2" t="s">
        <v>2062</v>
      </c>
      <c r="X27">
        <v>27927.316699999999</v>
      </c>
      <c r="Y27">
        <v>-0.67433349904126139</v>
      </c>
      <c r="Z27" s="2" t="s">
        <v>2061</v>
      </c>
    </row>
    <row r="28" spans="1:26" x14ac:dyDescent="0.3">
      <c r="A28" s="2" t="s">
        <v>97</v>
      </c>
      <c r="B28" s="1">
        <v>44883</v>
      </c>
      <c r="C28" s="2" t="s">
        <v>98</v>
      </c>
      <c r="D28" s="2" t="s">
        <v>56</v>
      </c>
      <c r="E28">
        <v>25063</v>
      </c>
      <c r="F28">
        <v>20.7</v>
      </c>
      <c r="G28">
        <v>36</v>
      </c>
      <c r="H28" s="2" t="s">
        <v>19</v>
      </c>
      <c r="I28" s="2" t="s">
        <v>41</v>
      </c>
      <c r="J28" s="2" t="s">
        <v>32</v>
      </c>
      <c r="K28">
        <v>148094</v>
      </c>
      <c r="L28" s="2" t="s">
        <v>29</v>
      </c>
      <c r="M28">
        <v>0.41</v>
      </c>
      <c r="N28">
        <v>0.72</v>
      </c>
      <c r="O28">
        <v>30251.040000000001</v>
      </c>
      <c r="P28">
        <v>0</v>
      </c>
      <c r="Q28">
        <v>40</v>
      </c>
      <c r="R28">
        <v>15564.123</v>
      </c>
      <c r="S28">
        <v>40627.123</v>
      </c>
      <c r="T28">
        <v>5188.0400000000009</v>
      </c>
      <c r="U28">
        <v>0</v>
      </c>
      <c r="V28" s="2" t="s">
        <v>2056</v>
      </c>
      <c r="W28" s="2" t="s">
        <v>2062</v>
      </c>
      <c r="X28">
        <v>43233.675000000003</v>
      </c>
      <c r="Y28">
        <v>0.20699996010054666</v>
      </c>
      <c r="Z28" s="2" t="s">
        <v>2058</v>
      </c>
    </row>
    <row r="29" spans="1:26" x14ac:dyDescent="0.3">
      <c r="A29" s="2" t="s">
        <v>99</v>
      </c>
      <c r="B29" s="1">
        <v>45154</v>
      </c>
      <c r="C29" s="2" t="s">
        <v>100</v>
      </c>
      <c r="D29" s="2" t="s">
        <v>76</v>
      </c>
      <c r="E29">
        <v>7819</v>
      </c>
      <c r="F29">
        <v>12.1</v>
      </c>
      <c r="G29">
        <v>36</v>
      </c>
      <c r="H29" s="2" t="s">
        <v>26</v>
      </c>
      <c r="I29" s="2" t="s">
        <v>20</v>
      </c>
      <c r="J29" s="2" t="s">
        <v>32</v>
      </c>
      <c r="K29">
        <v>55307</v>
      </c>
      <c r="L29" s="2" t="s">
        <v>22</v>
      </c>
      <c r="M29">
        <v>0.12</v>
      </c>
      <c r="N29">
        <v>0.85</v>
      </c>
      <c r="O29">
        <v>722.43</v>
      </c>
      <c r="P29">
        <v>0</v>
      </c>
      <c r="Q29">
        <v>31</v>
      </c>
      <c r="R29">
        <v>2838.297</v>
      </c>
      <c r="S29">
        <v>10657.297</v>
      </c>
      <c r="T29">
        <v>-7096.57</v>
      </c>
      <c r="U29">
        <v>0</v>
      </c>
      <c r="V29" s="2" t="s">
        <v>2059</v>
      </c>
      <c r="W29" s="2" t="s">
        <v>2057</v>
      </c>
      <c r="X29">
        <v>7884.1583000000001</v>
      </c>
      <c r="Y29">
        <v>-0.90760583194781941</v>
      </c>
      <c r="Z29" s="2" t="s">
        <v>2058</v>
      </c>
    </row>
    <row r="30" spans="1:26" x14ac:dyDescent="0.3">
      <c r="A30" s="2" t="s">
        <v>101</v>
      </c>
      <c r="B30" s="1">
        <v>44759</v>
      </c>
      <c r="C30" s="2" t="s">
        <v>102</v>
      </c>
      <c r="D30" s="2" t="s">
        <v>53</v>
      </c>
      <c r="E30">
        <v>26712</v>
      </c>
      <c r="F30">
        <v>13.2</v>
      </c>
      <c r="G30">
        <v>60</v>
      </c>
      <c r="H30" s="2" t="s">
        <v>26</v>
      </c>
      <c r="I30" s="2" t="s">
        <v>57</v>
      </c>
      <c r="J30" s="2" t="s">
        <v>32</v>
      </c>
      <c r="K30">
        <v>126371</v>
      </c>
      <c r="L30" s="2" t="s">
        <v>33</v>
      </c>
      <c r="M30">
        <v>0.38</v>
      </c>
      <c r="N30">
        <v>0.78</v>
      </c>
      <c r="O30">
        <v>10402.379999999999</v>
      </c>
      <c r="P30">
        <v>0</v>
      </c>
      <c r="Q30">
        <v>44</v>
      </c>
      <c r="R30">
        <v>17629.919999999998</v>
      </c>
      <c r="S30">
        <v>44341.919999999998</v>
      </c>
      <c r="T30">
        <v>-16309.62</v>
      </c>
      <c r="U30">
        <v>0</v>
      </c>
      <c r="V30" s="2" t="s">
        <v>2059</v>
      </c>
      <c r="W30" s="2" t="s">
        <v>2057</v>
      </c>
      <c r="X30">
        <v>29383.200000000001</v>
      </c>
      <c r="Y30">
        <v>-0.61057277628032347</v>
      </c>
      <c r="Z30" s="2" t="s">
        <v>2061</v>
      </c>
    </row>
    <row r="31" spans="1:26" x14ac:dyDescent="0.3">
      <c r="A31" s="2" t="s">
        <v>103</v>
      </c>
      <c r="B31" s="1">
        <v>45028</v>
      </c>
      <c r="C31" s="2" t="s">
        <v>104</v>
      </c>
      <c r="D31" s="2" t="s">
        <v>76</v>
      </c>
      <c r="E31">
        <v>25762</v>
      </c>
      <c r="F31">
        <v>16</v>
      </c>
      <c r="G31">
        <v>36</v>
      </c>
      <c r="H31" s="2" t="s">
        <v>19</v>
      </c>
      <c r="I31" s="2" t="s">
        <v>20</v>
      </c>
      <c r="J31" s="2" t="s">
        <v>32</v>
      </c>
      <c r="K31">
        <v>41064</v>
      </c>
      <c r="L31" s="2" t="s">
        <v>22</v>
      </c>
      <c r="M31">
        <v>0.36</v>
      </c>
      <c r="N31">
        <v>0.78</v>
      </c>
      <c r="O31">
        <v>29883.919999999998</v>
      </c>
      <c r="P31">
        <v>0</v>
      </c>
      <c r="Q31">
        <v>35</v>
      </c>
      <c r="R31">
        <v>12365.76</v>
      </c>
      <c r="S31">
        <v>38127.760000000002</v>
      </c>
      <c r="T31">
        <v>4121.9199999999983</v>
      </c>
      <c r="U31">
        <v>0</v>
      </c>
      <c r="V31" s="2" t="s">
        <v>2056</v>
      </c>
      <c r="W31" s="2" t="s">
        <v>2057</v>
      </c>
      <c r="X31">
        <v>34349.333299999998</v>
      </c>
      <c r="Y31">
        <v>0.15999999999999992</v>
      </c>
      <c r="Z31" s="2" t="s">
        <v>2061</v>
      </c>
    </row>
    <row r="32" spans="1:26" x14ac:dyDescent="0.3">
      <c r="A32" s="2" t="s">
        <v>105</v>
      </c>
      <c r="B32" s="1">
        <v>44843</v>
      </c>
      <c r="C32" s="2" t="s">
        <v>106</v>
      </c>
      <c r="D32" s="2" t="s">
        <v>50</v>
      </c>
      <c r="E32">
        <v>12046</v>
      </c>
      <c r="F32">
        <v>21.6</v>
      </c>
      <c r="G32">
        <v>36</v>
      </c>
      <c r="H32" s="2" t="s">
        <v>19</v>
      </c>
      <c r="I32" s="2" t="s">
        <v>27</v>
      </c>
      <c r="J32" s="2" t="s">
        <v>28</v>
      </c>
      <c r="K32">
        <v>106848</v>
      </c>
      <c r="L32" s="2" t="s">
        <v>29</v>
      </c>
      <c r="M32">
        <v>0.19</v>
      </c>
      <c r="N32">
        <v>0.7</v>
      </c>
      <c r="O32">
        <v>14647.94</v>
      </c>
      <c r="P32">
        <v>0</v>
      </c>
      <c r="Q32">
        <v>41</v>
      </c>
      <c r="R32">
        <v>7805.8080000000009</v>
      </c>
      <c r="S32">
        <v>19851.808000000001</v>
      </c>
      <c r="T32">
        <v>2601.9400000000005</v>
      </c>
      <c r="U32">
        <v>0</v>
      </c>
      <c r="V32" s="2" t="s">
        <v>2056</v>
      </c>
      <c r="W32" s="2" t="s">
        <v>2060</v>
      </c>
      <c r="X32">
        <v>21682.799999999999</v>
      </c>
      <c r="Y32">
        <v>0.21600033206043504</v>
      </c>
      <c r="Z32" s="2" t="s">
        <v>2061</v>
      </c>
    </row>
    <row r="33" spans="1:26" x14ac:dyDescent="0.3">
      <c r="A33" s="2" t="s">
        <v>107</v>
      </c>
      <c r="B33" s="1">
        <v>44217</v>
      </c>
      <c r="C33" s="2" t="s">
        <v>108</v>
      </c>
      <c r="D33" s="2" t="s">
        <v>50</v>
      </c>
      <c r="E33">
        <v>32463</v>
      </c>
      <c r="F33">
        <v>6.4</v>
      </c>
      <c r="G33">
        <v>36</v>
      </c>
      <c r="H33" s="2" t="s">
        <v>19</v>
      </c>
      <c r="I33" s="2" t="s">
        <v>27</v>
      </c>
      <c r="J33" s="2" t="s">
        <v>32</v>
      </c>
      <c r="K33">
        <v>67548</v>
      </c>
      <c r="L33" s="2" t="s">
        <v>22</v>
      </c>
      <c r="M33">
        <v>0.37</v>
      </c>
      <c r="N33">
        <v>0.74</v>
      </c>
      <c r="O33">
        <v>34540.629999999997</v>
      </c>
      <c r="P33">
        <v>0</v>
      </c>
      <c r="Q33">
        <v>61</v>
      </c>
      <c r="R33">
        <v>6232.8960000000006</v>
      </c>
      <c r="S33">
        <v>38695.896000000001</v>
      </c>
      <c r="T33">
        <v>2077.6299999999974</v>
      </c>
      <c r="U33">
        <v>0</v>
      </c>
      <c r="V33" s="2" t="s">
        <v>2056</v>
      </c>
      <c r="W33" s="2" t="s">
        <v>2060</v>
      </c>
      <c r="X33">
        <v>17313.603599999999</v>
      </c>
      <c r="Y33">
        <v>6.3999938391399364E-2</v>
      </c>
      <c r="Z33" s="2" t="s">
        <v>2061</v>
      </c>
    </row>
    <row r="34" spans="1:26" x14ac:dyDescent="0.3">
      <c r="A34" s="2" t="s">
        <v>109</v>
      </c>
      <c r="B34" s="1">
        <v>45037</v>
      </c>
      <c r="C34" s="2" t="s">
        <v>110</v>
      </c>
      <c r="D34" s="2" t="s">
        <v>40</v>
      </c>
      <c r="E34">
        <v>29769</v>
      </c>
      <c r="F34">
        <v>13.5</v>
      </c>
      <c r="G34">
        <v>60</v>
      </c>
      <c r="H34" s="2" t="s">
        <v>26</v>
      </c>
      <c r="I34" s="2" t="s">
        <v>20</v>
      </c>
      <c r="J34" s="2" t="s">
        <v>32</v>
      </c>
      <c r="K34">
        <v>66945</v>
      </c>
      <c r="L34" s="2" t="s">
        <v>29</v>
      </c>
      <c r="M34">
        <v>0.48</v>
      </c>
      <c r="N34">
        <v>0.84</v>
      </c>
      <c r="O34">
        <v>1763.22</v>
      </c>
      <c r="P34">
        <v>0</v>
      </c>
      <c r="Q34">
        <v>34</v>
      </c>
      <c r="R34">
        <v>20094.075000000001</v>
      </c>
      <c r="S34">
        <v>49863.074999999997</v>
      </c>
      <c r="T34">
        <v>-28005.78</v>
      </c>
      <c r="U34">
        <v>0</v>
      </c>
      <c r="V34" s="2" t="s">
        <v>2059</v>
      </c>
      <c r="W34" s="2" t="s">
        <v>2057</v>
      </c>
      <c r="X34">
        <v>33490.125</v>
      </c>
      <c r="Y34">
        <v>-0.94076992844905771</v>
      </c>
      <c r="Z34" s="2" t="s">
        <v>2058</v>
      </c>
    </row>
    <row r="35" spans="1:26" x14ac:dyDescent="0.3">
      <c r="A35" s="2" t="s">
        <v>111</v>
      </c>
      <c r="B35" s="1">
        <v>44363</v>
      </c>
      <c r="C35" s="2" t="s">
        <v>112</v>
      </c>
      <c r="D35" s="2" t="s">
        <v>72</v>
      </c>
      <c r="E35">
        <v>24150</v>
      </c>
      <c r="F35">
        <v>6.7</v>
      </c>
      <c r="G35">
        <v>60</v>
      </c>
      <c r="H35" s="2" t="s">
        <v>19</v>
      </c>
      <c r="I35" s="2" t="s">
        <v>73</v>
      </c>
      <c r="J35" s="2" t="s">
        <v>28</v>
      </c>
      <c r="K35">
        <v>77937</v>
      </c>
      <c r="L35" s="2" t="s">
        <v>22</v>
      </c>
      <c r="M35">
        <v>0.12</v>
      </c>
      <c r="N35">
        <v>0.87</v>
      </c>
      <c r="O35">
        <v>25768.05</v>
      </c>
      <c r="P35">
        <v>0</v>
      </c>
      <c r="Q35">
        <v>57</v>
      </c>
      <c r="R35">
        <v>8090.25</v>
      </c>
      <c r="S35">
        <v>32240.25</v>
      </c>
      <c r="T35">
        <v>1618.0499999999993</v>
      </c>
      <c r="U35">
        <v>0</v>
      </c>
      <c r="V35" s="2" t="s">
        <v>2056</v>
      </c>
      <c r="W35" s="2" t="s">
        <v>2064</v>
      </c>
      <c r="X35">
        <v>13483.75</v>
      </c>
      <c r="Y35">
        <v>6.6999999999999976E-2</v>
      </c>
      <c r="Z35" s="2" t="s">
        <v>2058</v>
      </c>
    </row>
    <row r="36" spans="1:26" x14ac:dyDescent="0.3">
      <c r="A36" s="2" t="s">
        <v>113</v>
      </c>
      <c r="B36" s="1">
        <v>44584</v>
      </c>
      <c r="C36" s="2" t="s">
        <v>114</v>
      </c>
      <c r="D36" s="2" t="s">
        <v>53</v>
      </c>
      <c r="E36">
        <v>3711</v>
      </c>
      <c r="F36">
        <v>15.3</v>
      </c>
      <c r="G36">
        <v>60</v>
      </c>
      <c r="H36" s="2" t="s">
        <v>81</v>
      </c>
      <c r="I36" s="2" t="s">
        <v>27</v>
      </c>
      <c r="J36" s="2" t="s">
        <v>32</v>
      </c>
      <c r="K36">
        <v>36476</v>
      </c>
      <c r="L36" s="2" t="s">
        <v>22</v>
      </c>
      <c r="M36">
        <v>0.23</v>
      </c>
      <c r="N36">
        <v>0.81</v>
      </c>
      <c r="O36">
        <v>648.73</v>
      </c>
      <c r="P36">
        <v>938.22</v>
      </c>
      <c r="Q36">
        <v>49</v>
      </c>
      <c r="R36">
        <v>2838.9150000000004</v>
      </c>
      <c r="S36">
        <v>6549.9150000000009</v>
      </c>
      <c r="T36">
        <v>-2124.0500000000002</v>
      </c>
      <c r="U36">
        <v>1</v>
      </c>
      <c r="V36" s="2" t="s">
        <v>2063</v>
      </c>
      <c r="W36" s="2" t="s">
        <v>2060</v>
      </c>
      <c r="X36">
        <v>4731.5249999999996</v>
      </c>
      <c r="Y36">
        <v>-0.57236593909997313</v>
      </c>
      <c r="Z36" s="2" t="s">
        <v>2058</v>
      </c>
    </row>
    <row r="37" spans="1:26" x14ac:dyDescent="0.3">
      <c r="A37" s="2" t="s">
        <v>115</v>
      </c>
      <c r="B37" s="1">
        <v>44797</v>
      </c>
      <c r="C37" s="2" t="s">
        <v>116</v>
      </c>
      <c r="D37" s="2" t="s">
        <v>50</v>
      </c>
      <c r="E37">
        <v>5853</v>
      </c>
      <c r="F37">
        <v>23</v>
      </c>
      <c r="G37">
        <v>60</v>
      </c>
      <c r="H37" s="2" t="s">
        <v>19</v>
      </c>
      <c r="I37" s="2" t="s">
        <v>27</v>
      </c>
      <c r="J37" s="2" t="s">
        <v>37</v>
      </c>
      <c r="K37">
        <v>81756</v>
      </c>
      <c r="L37" s="2" t="s">
        <v>29</v>
      </c>
      <c r="M37">
        <v>0.28000000000000003</v>
      </c>
      <c r="N37">
        <v>0.92</v>
      </c>
      <c r="O37">
        <v>7199.19</v>
      </c>
      <c r="P37">
        <v>0</v>
      </c>
      <c r="Q37">
        <v>42</v>
      </c>
      <c r="R37">
        <v>6730.9500000000007</v>
      </c>
      <c r="S37">
        <v>12583.95</v>
      </c>
      <c r="T37">
        <v>1346.1899999999996</v>
      </c>
      <c r="U37">
        <v>0</v>
      </c>
      <c r="V37" s="2" t="s">
        <v>2056</v>
      </c>
      <c r="W37" s="2" t="s">
        <v>2060</v>
      </c>
      <c r="X37">
        <v>11218.25</v>
      </c>
      <c r="Y37">
        <v>0.22999999999999993</v>
      </c>
      <c r="Z37" s="2" t="s">
        <v>2058</v>
      </c>
    </row>
    <row r="38" spans="1:26" x14ac:dyDescent="0.3">
      <c r="A38" s="2" t="s">
        <v>117</v>
      </c>
      <c r="B38" s="1">
        <v>44512</v>
      </c>
      <c r="C38" s="2" t="s">
        <v>118</v>
      </c>
      <c r="D38" s="2" t="s">
        <v>40</v>
      </c>
      <c r="E38">
        <v>30077</v>
      </c>
      <c r="F38">
        <v>20.6</v>
      </c>
      <c r="G38">
        <v>60</v>
      </c>
      <c r="H38" s="2" t="s">
        <v>19</v>
      </c>
      <c r="I38" s="2" t="s">
        <v>20</v>
      </c>
      <c r="J38" s="2" t="s">
        <v>37</v>
      </c>
      <c r="K38">
        <v>120101</v>
      </c>
      <c r="L38" s="2" t="s">
        <v>33</v>
      </c>
      <c r="M38">
        <v>0.46</v>
      </c>
      <c r="N38">
        <v>0.87</v>
      </c>
      <c r="O38">
        <v>36272.86</v>
      </c>
      <c r="P38">
        <v>0</v>
      </c>
      <c r="Q38">
        <v>52</v>
      </c>
      <c r="R38">
        <v>30979.310000000009</v>
      </c>
      <c r="S38">
        <v>61056.310000000012</v>
      </c>
      <c r="T38">
        <v>6195.8600000000006</v>
      </c>
      <c r="U38">
        <v>0</v>
      </c>
      <c r="V38" s="2" t="s">
        <v>2056</v>
      </c>
      <c r="W38" s="2" t="s">
        <v>2057</v>
      </c>
      <c r="X38">
        <v>51632.183299999997</v>
      </c>
      <c r="Y38">
        <v>0.20599993350400642</v>
      </c>
      <c r="Z38" s="2" t="s">
        <v>2058</v>
      </c>
    </row>
    <row r="39" spans="1:26" x14ac:dyDescent="0.3">
      <c r="A39" s="2" t="s">
        <v>119</v>
      </c>
      <c r="B39" s="1">
        <v>44210</v>
      </c>
      <c r="C39" s="2" t="s">
        <v>120</v>
      </c>
      <c r="D39" s="2" t="s">
        <v>56</v>
      </c>
      <c r="E39">
        <v>24863</v>
      </c>
      <c r="F39">
        <v>9.6</v>
      </c>
      <c r="G39">
        <v>60</v>
      </c>
      <c r="H39" s="2" t="s">
        <v>19</v>
      </c>
      <c r="I39" s="2" t="s">
        <v>36</v>
      </c>
      <c r="J39" s="2" t="s">
        <v>21</v>
      </c>
      <c r="K39">
        <v>32382</v>
      </c>
      <c r="L39" s="2" t="s">
        <v>33</v>
      </c>
      <c r="M39">
        <v>0.48</v>
      </c>
      <c r="N39">
        <v>0.75</v>
      </c>
      <c r="O39">
        <v>27249.85</v>
      </c>
      <c r="P39">
        <v>0</v>
      </c>
      <c r="Q39">
        <v>62</v>
      </c>
      <c r="R39">
        <v>11934.24</v>
      </c>
      <c r="S39">
        <v>36797.24</v>
      </c>
      <c r="T39">
        <v>2386.8499999999985</v>
      </c>
      <c r="U39">
        <v>0</v>
      </c>
      <c r="V39" s="2" t="s">
        <v>2056</v>
      </c>
      <c r="W39" s="2" t="s">
        <v>2062</v>
      </c>
      <c r="X39">
        <v>19890.400000000001</v>
      </c>
      <c r="Y39">
        <v>9.6000080440815608E-2</v>
      </c>
      <c r="Z39" s="2" t="s">
        <v>2058</v>
      </c>
    </row>
    <row r="40" spans="1:26" x14ac:dyDescent="0.3">
      <c r="A40" s="2" t="s">
        <v>121</v>
      </c>
      <c r="B40" s="1">
        <v>44438</v>
      </c>
      <c r="C40" s="2" t="s">
        <v>122</v>
      </c>
      <c r="D40" s="2" t="s">
        <v>53</v>
      </c>
      <c r="E40">
        <v>22792</v>
      </c>
      <c r="F40">
        <v>24.5</v>
      </c>
      <c r="G40">
        <v>60</v>
      </c>
      <c r="H40" s="2" t="s">
        <v>19</v>
      </c>
      <c r="I40" s="2" t="s">
        <v>73</v>
      </c>
      <c r="J40" s="2" t="s">
        <v>37</v>
      </c>
      <c r="K40">
        <v>79683</v>
      </c>
      <c r="L40" s="2" t="s">
        <v>33</v>
      </c>
      <c r="M40">
        <v>0.28000000000000003</v>
      </c>
      <c r="N40">
        <v>0.8</v>
      </c>
      <c r="O40">
        <v>28376.04</v>
      </c>
      <c r="P40">
        <v>0</v>
      </c>
      <c r="Q40">
        <v>54</v>
      </c>
      <c r="R40">
        <v>27920.2</v>
      </c>
      <c r="S40">
        <v>50712.2</v>
      </c>
      <c r="T40">
        <v>5584.0400000000009</v>
      </c>
      <c r="U40">
        <v>0</v>
      </c>
      <c r="V40" s="2" t="s">
        <v>2056</v>
      </c>
      <c r="W40" s="2" t="s">
        <v>2064</v>
      </c>
      <c r="X40">
        <v>46533.666700000002</v>
      </c>
      <c r="Y40">
        <v>0.24500000000000005</v>
      </c>
      <c r="Z40" s="2" t="s">
        <v>2061</v>
      </c>
    </row>
    <row r="41" spans="1:26" x14ac:dyDescent="0.3">
      <c r="A41" s="2" t="s">
        <v>123</v>
      </c>
      <c r="B41" s="1">
        <v>44973</v>
      </c>
      <c r="C41" s="2" t="s">
        <v>124</v>
      </c>
      <c r="D41" s="2" t="s">
        <v>40</v>
      </c>
      <c r="E41">
        <v>9942</v>
      </c>
      <c r="F41">
        <v>18.3</v>
      </c>
      <c r="G41">
        <v>36</v>
      </c>
      <c r="H41" s="2" t="s">
        <v>19</v>
      </c>
      <c r="I41" s="2" t="s">
        <v>84</v>
      </c>
      <c r="J41" s="2" t="s">
        <v>47</v>
      </c>
      <c r="K41">
        <v>117999</v>
      </c>
      <c r="L41" s="2" t="s">
        <v>22</v>
      </c>
      <c r="M41">
        <v>0.4</v>
      </c>
      <c r="N41">
        <v>0.92</v>
      </c>
      <c r="O41">
        <v>11761.39</v>
      </c>
      <c r="P41">
        <v>0</v>
      </c>
      <c r="Q41">
        <v>37</v>
      </c>
      <c r="R41">
        <v>5458.1580000000004</v>
      </c>
      <c r="S41">
        <v>15400.157999999999</v>
      </c>
      <c r="T41">
        <v>1819.3899999999994</v>
      </c>
      <c r="U41">
        <v>0</v>
      </c>
      <c r="V41" s="2" t="s">
        <v>2056</v>
      </c>
      <c r="W41" s="2" t="s">
        <v>2062</v>
      </c>
      <c r="X41">
        <v>15161.55</v>
      </c>
      <c r="Y41">
        <v>0.18300040233353443</v>
      </c>
      <c r="Z41" s="2" t="s">
        <v>2058</v>
      </c>
    </row>
    <row r="42" spans="1:26" x14ac:dyDescent="0.3">
      <c r="A42" s="2" t="s">
        <v>125</v>
      </c>
      <c r="B42" s="1">
        <v>44761</v>
      </c>
      <c r="C42" s="2" t="s">
        <v>126</v>
      </c>
      <c r="D42" s="2" t="s">
        <v>18</v>
      </c>
      <c r="E42">
        <v>2762</v>
      </c>
      <c r="F42">
        <v>5.2</v>
      </c>
      <c r="G42">
        <v>36</v>
      </c>
      <c r="H42" s="2" t="s">
        <v>26</v>
      </c>
      <c r="I42" s="2" t="s">
        <v>84</v>
      </c>
      <c r="J42" s="2" t="s">
        <v>47</v>
      </c>
      <c r="K42">
        <v>75276</v>
      </c>
      <c r="L42" s="2" t="s">
        <v>22</v>
      </c>
      <c r="M42">
        <v>0.31</v>
      </c>
      <c r="N42">
        <v>0.78</v>
      </c>
      <c r="O42">
        <v>1245.1099999999999</v>
      </c>
      <c r="P42">
        <v>0</v>
      </c>
      <c r="Q42">
        <v>44</v>
      </c>
      <c r="R42">
        <v>430.87200000000001</v>
      </c>
      <c r="S42">
        <v>3192.8719999999998</v>
      </c>
      <c r="T42">
        <v>-1516.89</v>
      </c>
      <c r="U42">
        <v>0</v>
      </c>
      <c r="V42" s="2" t="s">
        <v>2059</v>
      </c>
      <c r="W42" s="2" t="s">
        <v>2062</v>
      </c>
      <c r="X42">
        <v>1196.8695</v>
      </c>
      <c r="Y42">
        <v>-0.54919985517740766</v>
      </c>
      <c r="Z42" s="2" t="s">
        <v>2061</v>
      </c>
    </row>
    <row r="43" spans="1:26" x14ac:dyDescent="0.3">
      <c r="A43" s="2" t="s">
        <v>127</v>
      </c>
      <c r="B43" s="1">
        <v>45094</v>
      </c>
      <c r="C43" s="2" t="s">
        <v>128</v>
      </c>
      <c r="D43" s="2" t="s">
        <v>53</v>
      </c>
      <c r="E43">
        <v>32987</v>
      </c>
      <c r="F43">
        <v>10.1</v>
      </c>
      <c r="G43">
        <v>36</v>
      </c>
      <c r="H43" s="2" t="s">
        <v>19</v>
      </c>
      <c r="I43" s="2" t="s">
        <v>20</v>
      </c>
      <c r="J43" s="2" t="s">
        <v>47</v>
      </c>
      <c r="K43">
        <v>63402</v>
      </c>
      <c r="L43" s="2" t="s">
        <v>33</v>
      </c>
      <c r="M43">
        <v>0.32</v>
      </c>
      <c r="N43">
        <v>0.87</v>
      </c>
      <c r="O43">
        <v>36318.69</v>
      </c>
      <c r="P43">
        <v>0</v>
      </c>
      <c r="Q43">
        <v>33</v>
      </c>
      <c r="R43">
        <v>9995.0609999999997</v>
      </c>
      <c r="S43">
        <v>42982.061000000002</v>
      </c>
      <c r="T43">
        <v>3331.6900000000023</v>
      </c>
      <c r="U43">
        <v>0</v>
      </c>
      <c r="V43" s="2" t="s">
        <v>2056</v>
      </c>
      <c r="W43" s="2" t="s">
        <v>2057</v>
      </c>
      <c r="X43">
        <v>27764.058300000001</v>
      </c>
      <c r="Y43">
        <v>0.10100009094491777</v>
      </c>
      <c r="Z43" s="2" t="s">
        <v>2058</v>
      </c>
    </row>
    <row r="44" spans="1:26" x14ac:dyDescent="0.3">
      <c r="A44" s="2" t="s">
        <v>129</v>
      </c>
      <c r="B44" s="1">
        <v>44288</v>
      </c>
      <c r="C44" s="2" t="s">
        <v>130</v>
      </c>
      <c r="D44" s="2" t="s">
        <v>46</v>
      </c>
      <c r="E44">
        <v>16850</v>
      </c>
      <c r="F44">
        <v>10.199999999999999</v>
      </c>
      <c r="G44">
        <v>36</v>
      </c>
      <c r="H44" s="2" t="s">
        <v>19</v>
      </c>
      <c r="I44" s="2" t="s">
        <v>20</v>
      </c>
      <c r="J44" s="2" t="s">
        <v>28</v>
      </c>
      <c r="K44">
        <v>121881</v>
      </c>
      <c r="L44" s="2" t="s">
        <v>22</v>
      </c>
      <c r="M44">
        <v>0.21</v>
      </c>
      <c r="N44">
        <v>0.81</v>
      </c>
      <c r="O44">
        <v>18568.7</v>
      </c>
      <c r="P44">
        <v>0</v>
      </c>
      <c r="Q44">
        <v>59</v>
      </c>
      <c r="R44">
        <v>5156.1000000000004</v>
      </c>
      <c r="S44">
        <v>22006.1</v>
      </c>
      <c r="T44">
        <v>1718.7000000000007</v>
      </c>
      <c r="U44">
        <v>0</v>
      </c>
      <c r="V44" s="2" t="s">
        <v>2056</v>
      </c>
      <c r="W44" s="2" t="s">
        <v>2057</v>
      </c>
      <c r="X44">
        <v>14322.5</v>
      </c>
      <c r="Y44">
        <v>0.10200000000000005</v>
      </c>
      <c r="Z44" s="2" t="s">
        <v>2058</v>
      </c>
    </row>
    <row r="45" spans="1:26" x14ac:dyDescent="0.3">
      <c r="A45" s="2" t="s">
        <v>131</v>
      </c>
      <c r="B45" s="1">
        <v>45152</v>
      </c>
      <c r="C45" s="2" t="s">
        <v>132</v>
      </c>
      <c r="D45" s="2" t="s">
        <v>40</v>
      </c>
      <c r="E45">
        <v>13112</v>
      </c>
      <c r="F45">
        <v>6.4</v>
      </c>
      <c r="G45">
        <v>60</v>
      </c>
      <c r="H45" s="2" t="s">
        <v>19</v>
      </c>
      <c r="I45" s="2" t="s">
        <v>27</v>
      </c>
      <c r="J45" s="2" t="s">
        <v>37</v>
      </c>
      <c r="K45">
        <v>140300</v>
      </c>
      <c r="L45" s="2" t="s">
        <v>22</v>
      </c>
      <c r="M45">
        <v>0.19</v>
      </c>
      <c r="N45">
        <v>0.75</v>
      </c>
      <c r="O45">
        <v>13951.17</v>
      </c>
      <c r="P45">
        <v>0</v>
      </c>
      <c r="Q45">
        <v>31</v>
      </c>
      <c r="R45">
        <v>4195.84</v>
      </c>
      <c r="S45">
        <v>17307.84</v>
      </c>
      <c r="T45">
        <v>839.17000000000007</v>
      </c>
      <c r="U45">
        <v>0</v>
      </c>
      <c r="V45" s="2" t="s">
        <v>2056</v>
      </c>
      <c r="W45" s="2" t="s">
        <v>2060</v>
      </c>
      <c r="X45">
        <v>6993.0667000000003</v>
      </c>
      <c r="Y45">
        <v>6.4000152532031729E-2</v>
      </c>
      <c r="Z45" s="2" t="s">
        <v>2061</v>
      </c>
    </row>
    <row r="46" spans="1:26" x14ac:dyDescent="0.3">
      <c r="A46" s="2" t="s">
        <v>133</v>
      </c>
      <c r="B46" s="1">
        <v>44705</v>
      </c>
      <c r="C46" s="2" t="s">
        <v>134</v>
      </c>
      <c r="D46" s="2" t="s">
        <v>76</v>
      </c>
      <c r="E46">
        <v>25058</v>
      </c>
      <c r="F46">
        <v>24.2</v>
      </c>
      <c r="G46">
        <v>36</v>
      </c>
      <c r="H46" s="2" t="s">
        <v>26</v>
      </c>
      <c r="I46" s="2" t="s">
        <v>20</v>
      </c>
      <c r="J46" s="2" t="s">
        <v>47</v>
      </c>
      <c r="K46">
        <v>56946</v>
      </c>
      <c r="L46" s="2" t="s">
        <v>33</v>
      </c>
      <c r="M46">
        <v>0.22</v>
      </c>
      <c r="N46">
        <v>0.61</v>
      </c>
      <c r="O46">
        <v>9355.1299999999992</v>
      </c>
      <c r="P46">
        <v>0</v>
      </c>
      <c r="Q46">
        <v>45</v>
      </c>
      <c r="R46">
        <v>18192.108</v>
      </c>
      <c r="S46">
        <v>43250.108</v>
      </c>
      <c r="T46">
        <v>-15702.87</v>
      </c>
      <c r="U46">
        <v>0</v>
      </c>
      <c r="V46" s="2" t="s">
        <v>2059</v>
      </c>
      <c r="W46" s="2" t="s">
        <v>2057</v>
      </c>
      <c r="X46">
        <v>50533.633300000001</v>
      </c>
      <c r="Y46">
        <v>-0.62666094660387905</v>
      </c>
      <c r="Z46" s="2" t="s">
        <v>2061</v>
      </c>
    </row>
    <row r="47" spans="1:26" x14ac:dyDescent="0.3">
      <c r="A47" s="2" t="s">
        <v>135</v>
      </c>
      <c r="B47" s="1">
        <v>44972</v>
      </c>
      <c r="C47" s="2" t="s">
        <v>136</v>
      </c>
      <c r="D47" s="2" t="s">
        <v>46</v>
      </c>
      <c r="E47">
        <v>39890</v>
      </c>
      <c r="F47">
        <v>14.6</v>
      </c>
      <c r="G47">
        <v>36</v>
      </c>
      <c r="H47" s="2" t="s">
        <v>26</v>
      </c>
      <c r="I47" s="2" t="s">
        <v>84</v>
      </c>
      <c r="J47" s="2" t="s">
        <v>21</v>
      </c>
      <c r="K47">
        <v>109698</v>
      </c>
      <c r="L47" s="2" t="s">
        <v>29</v>
      </c>
      <c r="M47">
        <v>0.32</v>
      </c>
      <c r="N47">
        <v>0.69</v>
      </c>
      <c r="O47">
        <v>3304.32</v>
      </c>
      <c r="P47">
        <v>0</v>
      </c>
      <c r="Q47">
        <v>37</v>
      </c>
      <c r="R47">
        <v>17471.82</v>
      </c>
      <c r="S47">
        <v>57361.82</v>
      </c>
      <c r="T47">
        <v>-36585.68</v>
      </c>
      <c r="U47">
        <v>0</v>
      </c>
      <c r="V47" s="2" t="s">
        <v>2059</v>
      </c>
      <c r="W47" s="2" t="s">
        <v>2062</v>
      </c>
      <c r="X47">
        <v>48532.833299999998</v>
      </c>
      <c r="Y47">
        <v>-0.91716420155427425</v>
      </c>
      <c r="Z47" s="2" t="s">
        <v>2061</v>
      </c>
    </row>
    <row r="48" spans="1:26" x14ac:dyDescent="0.3">
      <c r="A48" s="2" t="s">
        <v>137</v>
      </c>
      <c r="B48" s="1">
        <v>44231</v>
      </c>
      <c r="C48" s="2" t="s">
        <v>138</v>
      </c>
      <c r="D48" s="2" t="s">
        <v>18</v>
      </c>
      <c r="E48">
        <v>1481</v>
      </c>
      <c r="F48">
        <v>22.9</v>
      </c>
      <c r="G48">
        <v>36</v>
      </c>
      <c r="H48" s="2" t="s">
        <v>19</v>
      </c>
      <c r="I48" s="2" t="s">
        <v>27</v>
      </c>
      <c r="J48" s="2" t="s">
        <v>28</v>
      </c>
      <c r="K48">
        <v>144690</v>
      </c>
      <c r="L48" s="2" t="s">
        <v>22</v>
      </c>
      <c r="M48">
        <v>0.11</v>
      </c>
      <c r="N48">
        <v>0.94</v>
      </c>
      <c r="O48">
        <v>1820.15</v>
      </c>
      <c r="P48">
        <v>0</v>
      </c>
      <c r="Q48">
        <v>61</v>
      </c>
      <c r="R48">
        <v>1017.447</v>
      </c>
      <c r="S48">
        <v>2498.4470000000001</v>
      </c>
      <c r="T48">
        <v>339.15000000000009</v>
      </c>
      <c r="U48">
        <v>0</v>
      </c>
      <c r="V48" s="2" t="s">
        <v>2056</v>
      </c>
      <c r="W48" s="2" t="s">
        <v>2060</v>
      </c>
      <c r="X48">
        <v>2826.2417</v>
      </c>
      <c r="Y48">
        <v>0.22900067521944639</v>
      </c>
      <c r="Z48" s="2" t="s">
        <v>2058</v>
      </c>
    </row>
    <row r="49" spans="1:26" x14ac:dyDescent="0.3">
      <c r="A49" s="2" t="s">
        <v>139</v>
      </c>
      <c r="B49" s="1">
        <v>44402</v>
      </c>
      <c r="C49" s="2" t="s">
        <v>140</v>
      </c>
      <c r="D49" s="2" t="s">
        <v>50</v>
      </c>
      <c r="E49">
        <v>33921</v>
      </c>
      <c r="F49">
        <v>11.4</v>
      </c>
      <c r="G49">
        <v>36</v>
      </c>
      <c r="H49" s="2" t="s">
        <v>26</v>
      </c>
      <c r="I49" s="2" t="s">
        <v>84</v>
      </c>
      <c r="J49" s="2" t="s">
        <v>21</v>
      </c>
      <c r="K49">
        <v>142309</v>
      </c>
      <c r="L49" s="2" t="s">
        <v>22</v>
      </c>
      <c r="M49">
        <v>0.46</v>
      </c>
      <c r="N49">
        <v>0.8</v>
      </c>
      <c r="O49">
        <v>14230.09</v>
      </c>
      <c r="P49">
        <v>0</v>
      </c>
      <c r="Q49">
        <v>55</v>
      </c>
      <c r="R49">
        <v>11600.982000000002</v>
      </c>
      <c r="S49">
        <v>45521.982000000004</v>
      </c>
      <c r="T49">
        <v>-19690.91</v>
      </c>
      <c r="U49">
        <v>0</v>
      </c>
      <c r="V49" s="2" t="s">
        <v>2059</v>
      </c>
      <c r="W49" s="2" t="s">
        <v>2062</v>
      </c>
      <c r="X49">
        <v>32224.95</v>
      </c>
      <c r="Y49">
        <v>-0.58049320479938682</v>
      </c>
      <c r="Z49" s="2" t="s">
        <v>2058</v>
      </c>
    </row>
    <row r="50" spans="1:26" x14ac:dyDescent="0.3">
      <c r="A50" s="2" t="s">
        <v>141</v>
      </c>
      <c r="B50" s="1">
        <v>45222</v>
      </c>
      <c r="C50" s="2" t="s">
        <v>142</v>
      </c>
      <c r="D50" s="2" t="s">
        <v>65</v>
      </c>
      <c r="E50">
        <v>2524</v>
      </c>
      <c r="F50">
        <v>7.5</v>
      </c>
      <c r="G50">
        <v>60</v>
      </c>
      <c r="H50" s="2" t="s">
        <v>19</v>
      </c>
      <c r="I50" s="2" t="s">
        <v>57</v>
      </c>
      <c r="J50" s="2" t="s">
        <v>37</v>
      </c>
      <c r="K50">
        <v>103933</v>
      </c>
      <c r="L50" s="2" t="s">
        <v>22</v>
      </c>
      <c r="M50">
        <v>0.16</v>
      </c>
      <c r="N50">
        <v>0.75</v>
      </c>
      <c r="O50">
        <v>2713.3</v>
      </c>
      <c r="P50">
        <v>0</v>
      </c>
      <c r="Q50">
        <v>28</v>
      </c>
      <c r="R50">
        <v>946.5</v>
      </c>
      <c r="S50">
        <v>3470.5</v>
      </c>
      <c r="T50">
        <v>189.30000000000018</v>
      </c>
      <c r="U50">
        <v>0</v>
      </c>
      <c r="V50" s="2" t="s">
        <v>2056</v>
      </c>
      <c r="W50" s="2" t="s">
        <v>2057</v>
      </c>
      <c r="X50">
        <v>1577.5</v>
      </c>
      <c r="Y50">
        <v>7.5000000000000067E-2</v>
      </c>
      <c r="Z50" s="2" t="s">
        <v>2061</v>
      </c>
    </row>
    <row r="51" spans="1:26" x14ac:dyDescent="0.3">
      <c r="A51" s="2" t="s">
        <v>143</v>
      </c>
      <c r="B51" s="1">
        <v>45218</v>
      </c>
      <c r="C51" s="2" t="s">
        <v>144</v>
      </c>
      <c r="D51" s="2" t="s">
        <v>40</v>
      </c>
      <c r="E51">
        <v>35888</v>
      </c>
      <c r="F51">
        <v>14.5</v>
      </c>
      <c r="G51">
        <v>60</v>
      </c>
      <c r="H51" s="2" t="s">
        <v>26</v>
      </c>
      <c r="I51" s="2" t="s">
        <v>57</v>
      </c>
      <c r="J51" s="2" t="s">
        <v>32</v>
      </c>
      <c r="K51">
        <v>52335</v>
      </c>
      <c r="L51" s="2" t="s">
        <v>22</v>
      </c>
      <c r="M51">
        <v>0.19</v>
      </c>
      <c r="N51">
        <v>0.92</v>
      </c>
      <c r="O51">
        <v>9756.7199999999993</v>
      </c>
      <c r="P51">
        <v>0</v>
      </c>
      <c r="Q51">
        <v>29</v>
      </c>
      <c r="R51">
        <v>26018.800000000003</v>
      </c>
      <c r="S51">
        <v>61906.8</v>
      </c>
      <c r="T51">
        <v>-26131.279999999999</v>
      </c>
      <c r="U51">
        <v>0</v>
      </c>
      <c r="V51" s="2" t="s">
        <v>2059</v>
      </c>
      <c r="W51" s="2" t="s">
        <v>2057</v>
      </c>
      <c r="X51">
        <v>43364.666700000002</v>
      </c>
      <c r="Y51">
        <v>-0.72813419527418632</v>
      </c>
      <c r="Z51" s="2" t="s">
        <v>2058</v>
      </c>
    </row>
    <row r="52" spans="1:26" x14ac:dyDescent="0.3">
      <c r="A52" s="2" t="s">
        <v>145</v>
      </c>
      <c r="B52" s="1">
        <v>44762</v>
      </c>
      <c r="C52" s="2" t="s">
        <v>146</v>
      </c>
      <c r="D52" s="2" t="s">
        <v>56</v>
      </c>
      <c r="E52">
        <v>16048</v>
      </c>
      <c r="F52">
        <v>7.3</v>
      </c>
      <c r="G52">
        <v>60</v>
      </c>
      <c r="H52" s="2" t="s">
        <v>19</v>
      </c>
      <c r="I52" s="2" t="s">
        <v>27</v>
      </c>
      <c r="J52" s="2" t="s">
        <v>21</v>
      </c>
      <c r="K52">
        <v>75095</v>
      </c>
      <c r="L52" s="2" t="s">
        <v>29</v>
      </c>
      <c r="M52">
        <v>0.31</v>
      </c>
      <c r="N52">
        <v>0.76</v>
      </c>
      <c r="O52">
        <v>17219.5</v>
      </c>
      <c r="P52">
        <v>0</v>
      </c>
      <c r="Q52">
        <v>43</v>
      </c>
      <c r="R52">
        <v>5857.5199999999995</v>
      </c>
      <c r="S52">
        <v>21905.52</v>
      </c>
      <c r="T52">
        <v>1171.5</v>
      </c>
      <c r="U52">
        <v>0</v>
      </c>
      <c r="V52" s="2" t="s">
        <v>2056</v>
      </c>
      <c r="W52" s="2" t="s">
        <v>2060</v>
      </c>
      <c r="X52">
        <v>9762.5332999999991</v>
      </c>
      <c r="Y52">
        <v>7.2999750747756734E-2</v>
      </c>
      <c r="Z52" s="2" t="s">
        <v>2061</v>
      </c>
    </row>
    <row r="53" spans="1:26" x14ac:dyDescent="0.3">
      <c r="A53" s="2" t="s">
        <v>147</v>
      </c>
      <c r="B53" s="1">
        <v>44899</v>
      </c>
      <c r="C53" s="2" t="s">
        <v>148</v>
      </c>
      <c r="D53" s="2" t="s">
        <v>40</v>
      </c>
      <c r="E53">
        <v>36111</v>
      </c>
      <c r="F53">
        <v>14.7</v>
      </c>
      <c r="G53">
        <v>36</v>
      </c>
      <c r="H53" s="2" t="s">
        <v>19</v>
      </c>
      <c r="I53" s="2" t="s">
        <v>20</v>
      </c>
      <c r="J53" s="2" t="s">
        <v>32</v>
      </c>
      <c r="K53">
        <v>109930</v>
      </c>
      <c r="L53" s="2" t="s">
        <v>33</v>
      </c>
      <c r="M53">
        <v>0.38</v>
      </c>
      <c r="N53">
        <v>0.74</v>
      </c>
      <c r="O53">
        <v>41419.32</v>
      </c>
      <c r="P53">
        <v>0</v>
      </c>
      <c r="Q53">
        <v>39</v>
      </c>
      <c r="R53">
        <v>15924.950999999995</v>
      </c>
      <c r="S53">
        <v>52035.950999999994</v>
      </c>
      <c r="T53">
        <v>5308.32</v>
      </c>
      <c r="U53">
        <v>0</v>
      </c>
      <c r="V53" s="2" t="s">
        <v>2056</v>
      </c>
      <c r="W53" s="2" t="s">
        <v>2057</v>
      </c>
      <c r="X53">
        <v>44235.974999999999</v>
      </c>
      <c r="Y53">
        <v>0.14700008307717868</v>
      </c>
      <c r="Z53" s="2" t="s">
        <v>2061</v>
      </c>
    </row>
    <row r="54" spans="1:26" x14ac:dyDescent="0.3">
      <c r="A54" s="2" t="s">
        <v>149</v>
      </c>
      <c r="B54" s="1">
        <v>44598</v>
      </c>
      <c r="C54" s="2" t="s">
        <v>150</v>
      </c>
      <c r="D54" s="2" t="s">
        <v>65</v>
      </c>
      <c r="E54">
        <v>38904</v>
      </c>
      <c r="F54">
        <v>23.4</v>
      </c>
      <c r="G54">
        <v>60</v>
      </c>
      <c r="H54" s="2" t="s">
        <v>81</v>
      </c>
      <c r="I54" s="2" t="s">
        <v>27</v>
      </c>
      <c r="J54" s="2" t="s">
        <v>28</v>
      </c>
      <c r="K54">
        <v>57197</v>
      </c>
      <c r="L54" s="2" t="s">
        <v>22</v>
      </c>
      <c r="M54">
        <v>0.14000000000000001</v>
      </c>
      <c r="N54">
        <v>0.84</v>
      </c>
      <c r="O54">
        <v>13773.37</v>
      </c>
      <c r="P54">
        <v>12116.05</v>
      </c>
      <c r="Q54">
        <v>49</v>
      </c>
      <c r="R54">
        <v>45517.68</v>
      </c>
      <c r="S54">
        <v>84421.68</v>
      </c>
      <c r="T54">
        <v>-13014.580000000002</v>
      </c>
      <c r="U54">
        <v>1</v>
      </c>
      <c r="V54" s="2" t="s">
        <v>2063</v>
      </c>
      <c r="W54" s="2" t="s">
        <v>2060</v>
      </c>
      <c r="X54">
        <v>75862.8</v>
      </c>
      <c r="Y54">
        <v>-0.33453063952292827</v>
      </c>
      <c r="Z54" s="2" t="s">
        <v>2058</v>
      </c>
    </row>
    <row r="55" spans="1:26" x14ac:dyDescent="0.3">
      <c r="A55" s="2" t="s">
        <v>151</v>
      </c>
      <c r="B55" s="1">
        <v>44926</v>
      </c>
      <c r="C55" s="2" t="s">
        <v>152</v>
      </c>
      <c r="D55" s="2" t="s">
        <v>18</v>
      </c>
      <c r="E55">
        <v>35008</v>
      </c>
      <c r="F55">
        <v>15.4</v>
      </c>
      <c r="G55">
        <v>36</v>
      </c>
      <c r="H55" s="2" t="s">
        <v>19</v>
      </c>
      <c r="I55" s="2" t="s">
        <v>84</v>
      </c>
      <c r="J55" s="2" t="s">
        <v>21</v>
      </c>
      <c r="K55">
        <v>52010</v>
      </c>
      <c r="L55" s="2" t="s">
        <v>33</v>
      </c>
      <c r="M55">
        <v>0.23</v>
      </c>
      <c r="N55">
        <v>0.82</v>
      </c>
      <c r="O55">
        <v>40399.230000000003</v>
      </c>
      <c r="P55">
        <v>0</v>
      </c>
      <c r="Q55">
        <v>38</v>
      </c>
      <c r="R55">
        <v>16173.696000000004</v>
      </c>
      <c r="S55">
        <v>51181.696000000004</v>
      </c>
      <c r="T55">
        <v>5391.2300000000032</v>
      </c>
      <c r="U55">
        <v>0</v>
      </c>
      <c r="V55" s="2" t="s">
        <v>2056</v>
      </c>
      <c r="W55" s="2" t="s">
        <v>2062</v>
      </c>
      <c r="X55">
        <v>44926.933299999997</v>
      </c>
      <c r="Y55">
        <v>0.15399994287020119</v>
      </c>
      <c r="Z55" s="2" t="s">
        <v>2058</v>
      </c>
    </row>
    <row r="56" spans="1:26" x14ac:dyDescent="0.3">
      <c r="A56" s="2" t="s">
        <v>153</v>
      </c>
      <c r="B56" s="1">
        <v>44358</v>
      </c>
      <c r="C56" s="2" t="s">
        <v>154</v>
      </c>
      <c r="D56" s="2" t="s">
        <v>18</v>
      </c>
      <c r="E56">
        <v>1060</v>
      </c>
      <c r="F56">
        <v>17.3</v>
      </c>
      <c r="G56">
        <v>60</v>
      </c>
      <c r="H56" s="2" t="s">
        <v>26</v>
      </c>
      <c r="I56" s="2" t="s">
        <v>57</v>
      </c>
      <c r="J56" s="2" t="s">
        <v>21</v>
      </c>
      <c r="K56">
        <v>54123</v>
      </c>
      <c r="L56" s="2" t="s">
        <v>22</v>
      </c>
      <c r="M56">
        <v>0.49</v>
      </c>
      <c r="N56">
        <v>0.59</v>
      </c>
      <c r="O56">
        <v>339.55</v>
      </c>
      <c r="P56">
        <v>0</v>
      </c>
      <c r="Q56">
        <v>57</v>
      </c>
      <c r="R56">
        <v>916.9</v>
      </c>
      <c r="S56">
        <v>1976.9</v>
      </c>
      <c r="T56">
        <v>-720.45</v>
      </c>
      <c r="U56">
        <v>0</v>
      </c>
      <c r="V56" s="2" t="s">
        <v>2059</v>
      </c>
      <c r="W56" s="2" t="s">
        <v>2057</v>
      </c>
      <c r="X56">
        <v>1528.1667</v>
      </c>
      <c r="Y56">
        <v>-0.67966981132075477</v>
      </c>
      <c r="Z56" s="2" t="s">
        <v>2058</v>
      </c>
    </row>
    <row r="57" spans="1:26" x14ac:dyDescent="0.3">
      <c r="A57" s="2" t="s">
        <v>155</v>
      </c>
      <c r="B57" s="1">
        <v>44398</v>
      </c>
      <c r="C57" s="2" t="s">
        <v>156</v>
      </c>
      <c r="D57" s="2" t="s">
        <v>46</v>
      </c>
      <c r="E57">
        <v>10130</v>
      </c>
      <c r="F57">
        <v>8.1</v>
      </c>
      <c r="G57">
        <v>60</v>
      </c>
      <c r="H57" s="2" t="s">
        <v>19</v>
      </c>
      <c r="I57" s="2" t="s">
        <v>27</v>
      </c>
      <c r="J57" s="2" t="s">
        <v>28</v>
      </c>
      <c r="K57">
        <v>117923</v>
      </c>
      <c r="L57" s="2" t="s">
        <v>29</v>
      </c>
      <c r="M57">
        <v>0.2</v>
      </c>
      <c r="N57">
        <v>0.71</v>
      </c>
      <c r="O57">
        <v>10950.53</v>
      </c>
      <c r="P57">
        <v>0</v>
      </c>
      <c r="Q57">
        <v>55</v>
      </c>
      <c r="R57">
        <v>4102.6499999999996</v>
      </c>
      <c r="S57">
        <v>14232.65</v>
      </c>
      <c r="T57">
        <v>820.53000000000065</v>
      </c>
      <c r="U57">
        <v>0</v>
      </c>
      <c r="V57" s="2" t="s">
        <v>2056</v>
      </c>
      <c r="W57" s="2" t="s">
        <v>2060</v>
      </c>
      <c r="X57">
        <v>6837.75</v>
      </c>
      <c r="Y57">
        <v>8.1000000000000058E-2</v>
      </c>
      <c r="Z57" s="2" t="s">
        <v>2061</v>
      </c>
    </row>
    <row r="58" spans="1:26" x14ac:dyDescent="0.3">
      <c r="A58" s="2" t="s">
        <v>157</v>
      </c>
      <c r="B58" s="1">
        <v>45192</v>
      </c>
      <c r="C58" s="2" t="s">
        <v>158</v>
      </c>
      <c r="D58" s="2" t="s">
        <v>53</v>
      </c>
      <c r="E58">
        <v>19023</v>
      </c>
      <c r="F58">
        <v>5.9</v>
      </c>
      <c r="G58">
        <v>60</v>
      </c>
      <c r="H58" s="2" t="s">
        <v>26</v>
      </c>
      <c r="I58" s="2" t="s">
        <v>20</v>
      </c>
      <c r="J58" s="2" t="s">
        <v>28</v>
      </c>
      <c r="K58">
        <v>32890</v>
      </c>
      <c r="L58" s="2" t="s">
        <v>33</v>
      </c>
      <c r="M58">
        <v>0.23</v>
      </c>
      <c r="N58">
        <v>0.71</v>
      </c>
      <c r="O58">
        <v>6787.88</v>
      </c>
      <c r="P58">
        <v>0</v>
      </c>
      <c r="Q58">
        <v>29</v>
      </c>
      <c r="R58">
        <v>5611.7850000000008</v>
      </c>
      <c r="S58">
        <v>24634.785</v>
      </c>
      <c r="T58">
        <v>-12235.119999999999</v>
      </c>
      <c r="U58">
        <v>0</v>
      </c>
      <c r="V58" s="2" t="s">
        <v>2059</v>
      </c>
      <c r="W58" s="2" t="s">
        <v>2057</v>
      </c>
      <c r="X58">
        <v>9352.9750000000004</v>
      </c>
      <c r="Y58">
        <v>-0.64317510382168952</v>
      </c>
      <c r="Z58" s="2" t="s">
        <v>2061</v>
      </c>
    </row>
    <row r="59" spans="1:26" x14ac:dyDescent="0.3">
      <c r="A59" s="2" t="s">
        <v>159</v>
      </c>
      <c r="B59" s="1">
        <v>44466</v>
      </c>
      <c r="C59" s="2" t="s">
        <v>160</v>
      </c>
      <c r="D59" s="2" t="s">
        <v>56</v>
      </c>
      <c r="E59">
        <v>14350</v>
      </c>
      <c r="F59">
        <v>7.2</v>
      </c>
      <c r="G59">
        <v>60</v>
      </c>
      <c r="H59" s="2" t="s">
        <v>81</v>
      </c>
      <c r="I59" s="2" t="s">
        <v>57</v>
      </c>
      <c r="J59" s="2" t="s">
        <v>47</v>
      </c>
      <c r="K59">
        <v>123305</v>
      </c>
      <c r="L59" s="2" t="s">
        <v>29</v>
      </c>
      <c r="M59">
        <v>0.43</v>
      </c>
      <c r="N59">
        <v>0.67</v>
      </c>
      <c r="O59">
        <v>5712.02</v>
      </c>
      <c r="P59">
        <v>3379.84</v>
      </c>
      <c r="Q59">
        <v>53</v>
      </c>
      <c r="R59">
        <v>5166</v>
      </c>
      <c r="S59">
        <v>19516</v>
      </c>
      <c r="T59">
        <v>-5258.1399999999994</v>
      </c>
      <c r="U59">
        <v>1</v>
      </c>
      <c r="V59" s="2" t="s">
        <v>2063</v>
      </c>
      <c r="W59" s="2" t="s">
        <v>2057</v>
      </c>
      <c r="X59">
        <v>8610</v>
      </c>
      <c r="Y59">
        <v>-0.36642090592334492</v>
      </c>
      <c r="Z59" s="2" t="s">
        <v>2058</v>
      </c>
    </row>
    <row r="60" spans="1:26" x14ac:dyDescent="0.3">
      <c r="A60" s="2" t="s">
        <v>161</v>
      </c>
      <c r="B60" s="1">
        <v>45012</v>
      </c>
      <c r="C60" s="2" t="s">
        <v>162</v>
      </c>
      <c r="D60" s="2" t="s">
        <v>46</v>
      </c>
      <c r="E60">
        <v>25354</v>
      </c>
      <c r="F60">
        <v>17</v>
      </c>
      <c r="G60">
        <v>60</v>
      </c>
      <c r="H60" s="2" t="s">
        <v>19</v>
      </c>
      <c r="I60" s="2" t="s">
        <v>41</v>
      </c>
      <c r="J60" s="2" t="s">
        <v>37</v>
      </c>
      <c r="K60">
        <v>139162</v>
      </c>
      <c r="L60" s="2" t="s">
        <v>22</v>
      </c>
      <c r="M60">
        <v>0.12</v>
      </c>
      <c r="N60">
        <v>0.73</v>
      </c>
      <c r="O60">
        <v>29664.18</v>
      </c>
      <c r="P60">
        <v>0</v>
      </c>
      <c r="Q60">
        <v>35</v>
      </c>
      <c r="R60">
        <v>21550.9</v>
      </c>
      <c r="S60">
        <v>46904.9</v>
      </c>
      <c r="T60">
        <v>4310.18</v>
      </c>
      <c r="U60">
        <v>0</v>
      </c>
      <c r="V60" s="2" t="s">
        <v>2056</v>
      </c>
      <c r="W60" s="2" t="s">
        <v>2062</v>
      </c>
      <c r="X60">
        <v>35918.166700000002</v>
      </c>
      <c r="Y60">
        <v>0.17</v>
      </c>
      <c r="Z60" s="2" t="s">
        <v>2061</v>
      </c>
    </row>
    <row r="61" spans="1:26" x14ac:dyDescent="0.3">
      <c r="A61" s="2" t="s">
        <v>163</v>
      </c>
      <c r="B61" s="1">
        <v>44652</v>
      </c>
      <c r="C61" s="2" t="s">
        <v>164</v>
      </c>
      <c r="D61" s="2" t="s">
        <v>56</v>
      </c>
      <c r="E61">
        <v>29145</v>
      </c>
      <c r="F61">
        <v>6.9</v>
      </c>
      <c r="G61">
        <v>36</v>
      </c>
      <c r="H61" s="2" t="s">
        <v>26</v>
      </c>
      <c r="I61" s="2" t="s">
        <v>41</v>
      </c>
      <c r="J61" s="2" t="s">
        <v>21</v>
      </c>
      <c r="K61">
        <v>38026</v>
      </c>
      <c r="L61" s="2" t="s">
        <v>29</v>
      </c>
      <c r="M61">
        <v>0.28999999999999998</v>
      </c>
      <c r="N61">
        <v>0.69</v>
      </c>
      <c r="O61">
        <v>4504.3900000000003</v>
      </c>
      <c r="P61">
        <v>0</v>
      </c>
      <c r="Q61">
        <v>47</v>
      </c>
      <c r="R61">
        <v>6033.0150000000003</v>
      </c>
      <c r="S61">
        <v>35178.014999999999</v>
      </c>
      <c r="T61">
        <v>-24640.61</v>
      </c>
      <c r="U61">
        <v>0</v>
      </c>
      <c r="V61" s="2" t="s">
        <v>2059</v>
      </c>
      <c r="W61" s="2" t="s">
        <v>2062</v>
      </c>
      <c r="X61">
        <v>16758.3763</v>
      </c>
      <c r="Y61">
        <v>-0.84544896208612119</v>
      </c>
      <c r="Z61" s="2" t="s">
        <v>2061</v>
      </c>
    </row>
    <row r="62" spans="1:26" x14ac:dyDescent="0.3">
      <c r="A62" s="2" t="s">
        <v>165</v>
      </c>
      <c r="B62" s="1">
        <v>45213</v>
      </c>
      <c r="C62" s="2" t="s">
        <v>166</v>
      </c>
      <c r="D62" s="2" t="s">
        <v>56</v>
      </c>
      <c r="E62">
        <v>35020</v>
      </c>
      <c r="F62">
        <v>12.5</v>
      </c>
      <c r="G62">
        <v>60</v>
      </c>
      <c r="H62" s="2" t="s">
        <v>26</v>
      </c>
      <c r="I62" s="2" t="s">
        <v>73</v>
      </c>
      <c r="J62" s="2" t="s">
        <v>21</v>
      </c>
      <c r="K62">
        <v>94925</v>
      </c>
      <c r="L62" s="2" t="s">
        <v>29</v>
      </c>
      <c r="M62">
        <v>0.25</v>
      </c>
      <c r="N62">
        <v>0.59</v>
      </c>
      <c r="O62">
        <v>11583.76</v>
      </c>
      <c r="P62">
        <v>0</v>
      </c>
      <c r="Q62">
        <v>29</v>
      </c>
      <c r="R62">
        <v>21887.5</v>
      </c>
      <c r="S62">
        <v>56907.5</v>
      </c>
      <c r="T62">
        <v>-23436.239999999998</v>
      </c>
      <c r="U62">
        <v>0</v>
      </c>
      <c r="V62" s="2" t="s">
        <v>2059</v>
      </c>
      <c r="W62" s="2" t="s">
        <v>2064</v>
      </c>
      <c r="X62">
        <v>36479.166700000002</v>
      </c>
      <c r="Y62">
        <v>-0.66922444317532837</v>
      </c>
      <c r="Z62" s="2" t="s">
        <v>2061</v>
      </c>
    </row>
    <row r="63" spans="1:26" x14ac:dyDescent="0.3">
      <c r="A63" s="2" t="s">
        <v>167</v>
      </c>
      <c r="B63" s="1">
        <v>44492</v>
      </c>
      <c r="C63" s="2" t="s">
        <v>168</v>
      </c>
      <c r="D63" s="2" t="s">
        <v>65</v>
      </c>
      <c r="E63">
        <v>21587</v>
      </c>
      <c r="F63">
        <v>16</v>
      </c>
      <c r="G63">
        <v>36</v>
      </c>
      <c r="H63" s="2" t="s">
        <v>26</v>
      </c>
      <c r="I63" s="2" t="s">
        <v>36</v>
      </c>
      <c r="J63" s="2" t="s">
        <v>28</v>
      </c>
      <c r="K63">
        <v>98842</v>
      </c>
      <c r="L63" s="2" t="s">
        <v>22</v>
      </c>
      <c r="M63">
        <v>0.23</v>
      </c>
      <c r="N63">
        <v>0.69</v>
      </c>
      <c r="O63">
        <v>5550.98</v>
      </c>
      <c r="P63">
        <v>0</v>
      </c>
      <c r="Q63">
        <v>52</v>
      </c>
      <c r="R63">
        <v>10361.76</v>
      </c>
      <c r="S63">
        <v>31948.760000000002</v>
      </c>
      <c r="T63">
        <v>-16036.02</v>
      </c>
      <c r="U63">
        <v>0</v>
      </c>
      <c r="V63" s="2" t="s">
        <v>2059</v>
      </c>
      <c r="W63" s="2" t="s">
        <v>2062</v>
      </c>
      <c r="X63">
        <v>28782.666700000002</v>
      </c>
      <c r="Y63">
        <v>-0.74285542224486967</v>
      </c>
      <c r="Z63" s="2" t="s">
        <v>2061</v>
      </c>
    </row>
    <row r="64" spans="1:26" x14ac:dyDescent="0.3">
      <c r="A64" s="2" t="s">
        <v>169</v>
      </c>
      <c r="B64" s="1">
        <v>44916</v>
      </c>
      <c r="C64" s="2" t="s">
        <v>170</v>
      </c>
      <c r="D64" s="2" t="s">
        <v>46</v>
      </c>
      <c r="E64">
        <v>10650</v>
      </c>
      <c r="F64">
        <v>12.8</v>
      </c>
      <c r="G64">
        <v>36</v>
      </c>
      <c r="H64" s="2" t="s">
        <v>19</v>
      </c>
      <c r="I64" s="2" t="s">
        <v>73</v>
      </c>
      <c r="J64" s="2" t="s">
        <v>28</v>
      </c>
      <c r="K64">
        <v>63665</v>
      </c>
      <c r="L64" s="2" t="s">
        <v>22</v>
      </c>
      <c r="M64">
        <v>0.21</v>
      </c>
      <c r="N64">
        <v>0.53</v>
      </c>
      <c r="O64">
        <v>12013.2</v>
      </c>
      <c r="P64">
        <v>0</v>
      </c>
      <c r="Q64">
        <v>38</v>
      </c>
      <c r="R64">
        <v>4089.6000000000004</v>
      </c>
      <c r="S64">
        <v>14739.6</v>
      </c>
      <c r="T64">
        <v>1363.2000000000007</v>
      </c>
      <c r="U64">
        <v>0</v>
      </c>
      <c r="V64" s="2" t="s">
        <v>2056</v>
      </c>
      <c r="W64" s="2" t="s">
        <v>2064</v>
      </c>
      <c r="X64">
        <v>11360</v>
      </c>
      <c r="Y64">
        <v>0.12800000000000006</v>
      </c>
      <c r="Z64" s="2" t="s">
        <v>2061</v>
      </c>
    </row>
    <row r="65" spans="1:26" x14ac:dyDescent="0.3">
      <c r="A65" s="2" t="s">
        <v>171</v>
      </c>
      <c r="B65" s="1">
        <v>44534</v>
      </c>
      <c r="C65" s="2" t="s">
        <v>172</v>
      </c>
      <c r="D65" s="2" t="s">
        <v>56</v>
      </c>
      <c r="E65">
        <v>20933</v>
      </c>
      <c r="F65">
        <v>8.3000000000000007</v>
      </c>
      <c r="G65">
        <v>36</v>
      </c>
      <c r="H65" s="2" t="s">
        <v>81</v>
      </c>
      <c r="I65" s="2" t="s">
        <v>57</v>
      </c>
      <c r="J65" s="2" t="s">
        <v>37</v>
      </c>
      <c r="K65">
        <v>39277</v>
      </c>
      <c r="L65" s="2" t="s">
        <v>33</v>
      </c>
      <c r="M65">
        <v>0.14000000000000001</v>
      </c>
      <c r="N65">
        <v>0.76</v>
      </c>
      <c r="O65">
        <v>2341.0500000000002</v>
      </c>
      <c r="P65">
        <v>2519.27</v>
      </c>
      <c r="Q65">
        <v>51</v>
      </c>
      <c r="R65">
        <v>5212.3170000000009</v>
      </c>
      <c r="S65">
        <v>26145.317000000003</v>
      </c>
      <c r="T65">
        <v>-16072.68</v>
      </c>
      <c r="U65">
        <v>1</v>
      </c>
      <c r="V65" s="2" t="s">
        <v>2063</v>
      </c>
      <c r="W65" s="2" t="s">
        <v>2057</v>
      </c>
      <c r="X65">
        <v>14478.6584</v>
      </c>
      <c r="Y65">
        <v>-0.76781541107342477</v>
      </c>
      <c r="Z65" s="2" t="s">
        <v>2061</v>
      </c>
    </row>
    <row r="66" spans="1:26" x14ac:dyDescent="0.3">
      <c r="A66" s="2" t="s">
        <v>173</v>
      </c>
      <c r="B66" s="1">
        <v>45075</v>
      </c>
      <c r="C66" s="2" t="s">
        <v>174</v>
      </c>
      <c r="D66" s="2" t="s">
        <v>25</v>
      </c>
      <c r="E66">
        <v>21581</v>
      </c>
      <c r="F66">
        <v>10.5</v>
      </c>
      <c r="G66">
        <v>36</v>
      </c>
      <c r="H66" s="2" t="s">
        <v>19</v>
      </c>
      <c r="I66" s="2" t="s">
        <v>57</v>
      </c>
      <c r="J66" s="2" t="s">
        <v>28</v>
      </c>
      <c r="K66">
        <v>72239</v>
      </c>
      <c r="L66" s="2" t="s">
        <v>22</v>
      </c>
      <c r="M66">
        <v>0.23</v>
      </c>
      <c r="N66">
        <v>0.88</v>
      </c>
      <c r="O66">
        <v>23847</v>
      </c>
      <c r="P66">
        <v>0</v>
      </c>
      <c r="Q66">
        <v>33</v>
      </c>
      <c r="R66">
        <v>6798.0150000000003</v>
      </c>
      <c r="S66">
        <v>28379.014999999999</v>
      </c>
      <c r="T66">
        <v>2266</v>
      </c>
      <c r="U66">
        <v>0</v>
      </c>
      <c r="V66" s="2" t="s">
        <v>2056</v>
      </c>
      <c r="W66" s="2" t="s">
        <v>2057</v>
      </c>
      <c r="X66">
        <v>18883.375</v>
      </c>
      <c r="Y66">
        <v>0.10499976831472128</v>
      </c>
      <c r="Z66" s="2" t="s">
        <v>2058</v>
      </c>
    </row>
    <row r="67" spans="1:26" x14ac:dyDescent="0.3">
      <c r="A67" s="2" t="s">
        <v>175</v>
      </c>
      <c r="B67" s="1">
        <v>45273</v>
      </c>
      <c r="C67" s="2" t="s">
        <v>176</v>
      </c>
      <c r="D67" s="2" t="s">
        <v>65</v>
      </c>
      <c r="E67">
        <v>24393</v>
      </c>
      <c r="F67">
        <v>23.6</v>
      </c>
      <c r="G67">
        <v>36</v>
      </c>
      <c r="H67" s="2" t="s">
        <v>19</v>
      </c>
      <c r="I67" s="2" t="s">
        <v>36</v>
      </c>
      <c r="J67" s="2" t="s">
        <v>32</v>
      </c>
      <c r="K67">
        <v>77664</v>
      </c>
      <c r="L67" s="2" t="s">
        <v>33</v>
      </c>
      <c r="M67">
        <v>0.12</v>
      </c>
      <c r="N67">
        <v>0.83</v>
      </c>
      <c r="O67">
        <v>30149.75</v>
      </c>
      <c r="P67">
        <v>0</v>
      </c>
      <c r="Q67">
        <v>27</v>
      </c>
      <c r="R67">
        <v>17270.244000000002</v>
      </c>
      <c r="S67">
        <v>41663.244000000006</v>
      </c>
      <c r="T67">
        <v>5756.75</v>
      </c>
      <c r="U67">
        <v>0</v>
      </c>
      <c r="V67" s="2" t="s">
        <v>2056</v>
      </c>
      <c r="W67" s="2" t="s">
        <v>2062</v>
      </c>
      <c r="X67">
        <v>47972.9</v>
      </c>
      <c r="Y67">
        <v>0.23600008199073505</v>
      </c>
      <c r="Z67" s="2" t="s">
        <v>2058</v>
      </c>
    </row>
    <row r="68" spans="1:26" x14ac:dyDescent="0.3">
      <c r="A68" s="2" t="s">
        <v>177</v>
      </c>
      <c r="B68" s="1">
        <v>44988</v>
      </c>
      <c r="C68" s="2" t="s">
        <v>178</v>
      </c>
      <c r="D68" s="2" t="s">
        <v>18</v>
      </c>
      <c r="E68">
        <v>24051</v>
      </c>
      <c r="F68">
        <v>18.5</v>
      </c>
      <c r="G68">
        <v>60</v>
      </c>
      <c r="H68" s="2" t="s">
        <v>81</v>
      </c>
      <c r="I68" s="2" t="s">
        <v>20</v>
      </c>
      <c r="J68" s="2" t="s">
        <v>32</v>
      </c>
      <c r="K68">
        <v>78008</v>
      </c>
      <c r="L68" s="2" t="s">
        <v>29</v>
      </c>
      <c r="M68">
        <v>0.41</v>
      </c>
      <c r="N68">
        <v>0.66</v>
      </c>
      <c r="O68">
        <v>2509.5100000000002</v>
      </c>
      <c r="P68">
        <v>11762.86</v>
      </c>
      <c r="Q68">
        <v>36</v>
      </c>
      <c r="R68">
        <v>22247.175000000003</v>
      </c>
      <c r="S68">
        <v>46298.175000000003</v>
      </c>
      <c r="T68">
        <v>-9778.6299999999992</v>
      </c>
      <c r="U68">
        <v>1</v>
      </c>
      <c r="V68" s="2" t="s">
        <v>2063</v>
      </c>
      <c r="W68" s="2" t="s">
        <v>2057</v>
      </c>
      <c r="X68">
        <v>37078.625</v>
      </c>
      <c r="Y68">
        <v>-0.4065789364267598</v>
      </c>
      <c r="Z68" s="2" t="s">
        <v>2058</v>
      </c>
    </row>
    <row r="69" spans="1:26" x14ac:dyDescent="0.3">
      <c r="A69" s="2" t="s">
        <v>179</v>
      </c>
      <c r="B69" s="1">
        <v>44413</v>
      </c>
      <c r="C69" s="2" t="s">
        <v>180</v>
      </c>
      <c r="D69" s="2" t="s">
        <v>65</v>
      </c>
      <c r="E69">
        <v>27212</v>
      </c>
      <c r="F69">
        <v>14.9</v>
      </c>
      <c r="G69">
        <v>60</v>
      </c>
      <c r="H69" s="2" t="s">
        <v>26</v>
      </c>
      <c r="I69" s="2" t="s">
        <v>73</v>
      </c>
      <c r="J69" s="2" t="s">
        <v>32</v>
      </c>
      <c r="K69">
        <v>44683</v>
      </c>
      <c r="L69" s="2" t="s">
        <v>29</v>
      </c>
      <c r="M69">
        <v>0.26</v>
      </c>
      <c r="N69">
        <v>0.54</v>
      </c>
      <c r="O69">
        <v>2820.6</v>
      </c>
      <c r="P69">
        <v>0</v>
      </c>
      <c r="Q69">
        <v>55</v>
      </c>
      <c r="R69">
        <v>20272.939999999999</v>
      </c>
      <c r="S69">
        <v>47484.94</v>
      </c>
      <c r="T69">
        <v>-24391.4</v>
      </c>
      <c r="U69">
        <v>0</v>
      </c>
      <c r="V69" s="2" t="s">
        <v>2059</v>
      </c>
      <c r="W69" s="2" t="s">
        <v>2064</v>
      </c>
      <c r="X69">
        <v>33788.2333</v>
      </c>
      <c r="Y69">
        <v>-0.8963471997648097</v>
      </c>
      <c r="Z69" s="2" t="s">
        <v>2061</v>
      </c>
    </row>
    <row r="70" spans="1:26" x14ac:dyDescent="0.3">
      <c r="A70" s="2" t="s">
        <v>181</v>
      </c>
      <c r="B70" s="1">
        <v>44960</v>
      </c>
      <c r="C70" s="2" t="s">
        <v>182</v>
      </c>
      <c r="D70" s="2" t="s">
        <v>76</v>
      </c>
      <c r="E70">
        <v>5090</v>
      </c>
      <c r="F70">
        <v>5.3</v>
      </c>
      <c r="G70">
        <v>60</v>
      </c>
      <c r="H70" s="2" t="s">
        <v>19</v>
      </c>
      <c r="I70" s="2" t="s">
        <v>73</v>
      </c>
      <c r="J70" s="2" t="s">
        <v>32</v>
      </c>
      <c r="K70">
        <v>30670</v>
      </c>
      <c r="L70" s="2" t="s">
        <v>33</v>
      </c>
      <c r="M70">
        <v>0.28000000000000003</v>
      </c>
      <c r="N70">
        <v>0.59</v>
      </c>
      <c r="O70">
        <v>5359.77</v>
      </c>
      <c r="P70">
        <v>0</v>
      </c>
      <c r="Q70">
        <v>37</v>
      </c>
      <c r="R70">
        <v>1348.85</v>
      </c>
      <c r="S70">
        <v>6438.85</v>
      </c>
      <c r="T70">
        <v>269.77000000000044</v>
      </c>
      <c r="U70">
        <v>0</v>
      </c>
      <c r="V70" s="2" t="s">
        <v>2056</v>
      </c>
      <c r="W70" s="2" t="s">
        <v>2064</v>
      </c>
      <c r="X70">
        <v>2248.0832999999998</v>
      </c>
      <c r="Y70">
        <v>5.3000000000000089E-2</v>
      </c>
      <c r="Z70" s="2" t="s">
        <v>2061</v>
      </c>
    </row>
    <row r="71" spans="1:26" x14ac:dyDescent="0.3">
      <c r="A71" s="2" t="s">
        <v>183</v>
      </c>
      <c r="B71" s="1">
        <v>44384</v>
      </c>
      <c r="C71" s="2" t="s">
        <v>184</v>
      </c>
      <c r="D71" s="2" t="s">
        <v>76</v>
      </c>
      <c r="E71">
        <v>7960</v>
      </c>
      <c r="F71">
        <v>24.8</v>
      </c>
      <c r="G71">
        <v>60</v>
      </c>
      <c r="H71" s="2" t="s">
        <v>19</v>
      </c>
      <c r="I71" s="2" t="s">
        <v>27</v>
      </c>
      <c r="J71" s="2" t="s">
        <v>37</v>
      </c>
      <c r="K71">
        <v>119211</v>
      </c>
      <c r="L71" s="2" t="s">
        <v>22</v>
      </c>
      <c r="M71">
        <v>0.46</v>
      </c>
      <c r="N71">
        <v>0.75</v>
      </c>
      <c r="O71">
        <v>9934.08</v>
      </c>
      <c r="P71">
        <v>0</v>
      </c>
      <c r="Q71">
        <v>56</v>
      </c>
      <c r="R71">
        <v>9870.4</v>
      </c>
      <c r="S71">
        <v>17830.400000000001</v>
      </c>
      <c r="T71">
        <v>1974.08</v>
      </c>
      <c r="U71">
        <v>0</v>
      </c>
      <c r="V71" s="2" t="s">
        <v>2056</v>
      </c>
      <c r="W71" s="2" t="s">
        <v>2060</v>
      </c>
      <c r="X71">
        <v>16450.666700000002</v>
      </c>
      <c r="Y71">
        <v>0.248</v>
      </c>
      <c r="Z71" s="2" t="s">
        <v>2058</v>
      </c>
    </row>
    <row r="72" spans="1:26" x14ac:dyDescent="0.3">
      <c r="A72" s="2" t="s">
        <v>185</v>
      </c>
      <c r="B72" s="1">
        <v>44576</v>
      </c>
      <c r="C72" s="2" t="s">
        <v>186</v>
      </c>
      <c r="D72" s="2" t="s">
        <v>56</v>
      </c>
      <c r="E72">
        <v>36772</v>
      </c>
      <c r="F72">
        <v>18.399999999999999</v>
      </c>
      <c r="G72">
        <v>36</v>
      </c>
      <c r="H72" s="2" t="s">
        <v>19</v>
      </c>
      <c r="I72" s="2" t="s">
        <v>73</v>
      </c>
      <c r="J72" s="2" t="s">
        <v>21</v>
      </c>
      <c r="K72">
        <v>47889</v>
      </c>
      <c r="L72" s="2" t="s">
        <v>22</v>
      </c>
      <c r="M72">
        <v>0.36</v>
      </c>
      <c r="N72">
        <v>0.59</v>
      </c>
      <c r="O72">
        <v>43538.05</v>
      </c>
      <c r="P72">
        <v>0</v>
      </c>
      <c r="Q72">
        <v>50</v>
      </c>
      <c r="R72">
        <v>20298.143999999997</v>
      </c>
      <c r="S72">
        <v>57070.144</v>
      </c>
      <c r="T72">
        <v>6766.0500000000029</v>
      </c>
      <c r="U72">
        <v>0</v>
      </c>
      <c r="V72" s="2" t="s">
        <v>2056</v>
      </c>
      <c r="W72" s="2" t="s">
        <v>2064</v>
      </c>
      <c r="X72">
        <v>56383.7333</v>
      </c>
      <c r="Y72">
        <v>0.18400005438920927</v>
      </c>
      <c r="Z72" s="2" t="s">
        <v>2061</v>
      </c>
    </row>
    <row r="73" spans="1:26" x14ac:dyDescent="0.3">
      <c r="A73" s="2" t="s">
        <v>187</v>
      </c>
      <c r="B73" s="1">
        <v>44689</v>
      </c>
      <c r="C73" s="2" t="s">
        <v>188</v>
      </c>
      <c r="D73" s="2" t="s">
        <v>46</v>
      </c>
      <c r="E73">
        <v>22520</v>
      </c>
      <c r="F73">
        <v>11.3</v>
      </c>
      <c r="G73">
        <v>60</v>
      </c>
      <c r="H73" s="2" t="s">
        <v>19</v>
      </c>
      <c r="I73" s="2" t="s">
        <v>57</v>
      </c>
      <c r="J73" s="2" t="s">
        <v>32</v>
      </c>
      <c r="K73">
        <v>85612</v>
      </c>
      <c r="L73" s="2" t="s">
        <v>29</v>
      </c>
      <c r="M73">
        <v>0.1</v>
      </c>
      <c r="N73">
        <v>0.74</v>
      </c>
      <c r="O73">
        <v>25064.76</v>
      </c>
      <c r="P73">
        <v>0</v>
      </c>
      <c r="Q73">
        <v>46</v>
      </c>
      <c r="R73">
        <v>12723.800000000001</v>
      </c>
      <c r="S73">
        <v>35243.800000000003</v>
      </c>
      <c r="T73">
        <v>2544.7599999999984</v>
      </c>
      <c r="U73">
        <v>0</v>
      </c>
      <c r="V73" s="2" t="s">
        <v>2056</v>
      </c>
      <c r="W73" s="2" t="s">
        <v>2057</v>
      </c>
      <c r="X73">
        <v>21206.333299999998</v>
      </c>
      <c r="Y73">
        <v>0.11299999999999993</v>
      </c>
      <c r="Z73" s="2" t="s">
        <v>2061</v>
      </c>
    </row>
    <row r="74" spans="1:26" x14ac:dyDescent="0.3">
      <c r="A74" s="2" t="s">
        <v>189</v>
      </c>
      <c r="B74" s="1">
        <v>45261</v>
      </c>
      <c r="C74" s="2" t="s">
        <v>190</v>
      </c>
      <c r="D74" s="2" t="s">
        <v>18</v>
      </c>
      <c r="E74">
        <v>37408</v>
      </c>
      <c r="F74">
        <v>22.6</v>
      </c>
      <c r="G74">
        <v>60</v>
      </c>
      <c r="H74" s="2" t="s">
        <v>19</v>
      </c>
      <c r="I74" s="2" t="s">
        <v>20</v>
      </c>
      <c r="J74" s="2" t="s">
        <v>28</v>
      </c>
      <c r="K74">
        <v>74535</v>
      </c>
      <c r="L74" s="2" t="s">
        <v>33</v>
      </c>
      <c r="M74">
        <v>0.48</v>
      </c>
      <c r="N74">
        <v>0.6</v>
      </c>
      <c r="O74">
        <v>45862.21</v>
      </c>
      <c r="P74">
        <v>0</v>
      </c>
      <c r="Q74">
        <v>27</v>
      </c>
      <c r="R74">
        <v>42271.040000000001</v>
      </c>
      <c r="S74">
        <v>79679.040000000008</v>
      </c>
      <c r="T74">
        <v>8454.2099999999991</v>
      </c>
      <c r="U74">
        <v>0</v>
      </c>
      <c r="V74" s="2" t="s">
        <v>2056</v>
      </c>
      <c r="W74" s="2" t="s">
        <v>2057</v>
      </c>
      <c r="X74">
        <v>70451.733300000007</v>
      </c>
      <c r="Y74">
        <v>0.22600005346449956</v>
      </c>
      <c r="Z74" s="2" t="s">
        <v>2058</v>
      </c>
    </row>
    <row r="75" spans="1:26" x14ac:dyDescent="0.3">
      <c r="A75" s="2" t="s">
        <v>191</v>
      </c>
      <c r="B75" s="1">
        <v>44211</v>
      </c>
      <c r="C75" s="2" t="s">
        <v>192</v>
      </c>
      <c r="D75" s="2" t="s">
        <v>65</v>
      </c>
      <c r="E75">
        <v>29470</v>
      </c>
      <c r="F75">
        <v>10.199999999999999</v>
      </c>
      <c r="G75">
        <v>36</v>
      </c>
      <c r="H75" s="2" t="s">
        <v>26</v>
      </c>
      <c r="I75" s="2" t="s">
        <v>73</v>
      </c>
      <c r="J75" s="2" t="s">
        <v>32</v>
      </c>
      <c r="K75">
        <v>108542</v>
      </c>
      <c r="L75" s="2" t="s">
        <v>29</v>
      </c>
      <c r="M75">
        <v>0.19</v>
      </c>
      <c r="N75">
        <v>0.88</v>
      </c>
      <c r="O75">
        <v>10081.43</v>
      </c>
      <c r="P75">
        <v>0</v>
      </c>
      <c r="Q75">
        <v>62</v>
      </c>
      <c r="R75">
        <v>9017.82</v>
      </c>
      <c r="S75">
        <v>38487.82</v>
      </c>
      <c r="T75">
        <v>-19388.57</v>
      </c>
      <c r="U75">
        <v>0</v>
      </c>
      <c r="V75" s="2" t="s">
        <v>2059</v>
      </c>
      <c r="W75" s="2" t="s">
        <v>2064</v>
      </c>
      <c r="X75">
        <v>25049.5</v>
      </c>
      <c r="Y75">
        <v>-0.6579087207329487</v>
      </c>
      <c r="Z75" s="2" t="s">
        <v>2058</v>
      </c>
    </row>
    <row r="76" spans="1:26" x14ac:dyDescent="0.3">
      <c r="A76" s="2" t="s">
        <v>193</v>
      </c>
      <c r="B76" s="1">
        <v>44261</v>
      </c>
      <c r="C76" s="2" t="s">
        <v>194</v>
      </c>
      <c r="D76" s="2" t="s">
        <v>46</v>
      </c>
      <c r="E76">
        <v>21491</v>
      </c>
      <c r="F76">
        <v>15.9</v>
      </c>
      <c r="G76">
        <v>36</v>
      </c>
      <c r="H76" s="2" t="s">
        <v>19</v>
      </c>
      <c r="I76" s="2" t="s">
        <v>27</v>
      </c>
      <c r="J76" s="2" t="s">
        <v>37</v>
      </c>
      <c r="K76">
        <v>84319</v>
      </c>
      <c r="L76" s="2" t="s">
        <v>29</v>
      </c>
      <c r="M76">
        <v>0.14000000000000001</v>
      </c>
      <c r="N76">
        <v>0.68</v>
      </c>
      <c r="O76">
        <v>24908.07</v>
      </c>
      <c r="P76">
        <v>0</v>
      </c>
      <c r="Q76">
        <v>60</v>
      </c>
      <c r="R76">
        <v>10251.207</v>
      </c>
      <c r="S76">
        <v>31742.207000000002</v>
      </c>
      <c r="T76">
        <v>3417.0699999999997</v>
      </c>
      <c r="U76">
        <v>0</v>
      </c>
      <c r="V76" s="2" t="s">
        <v>2056</v>
      </c>
      <c r="W76" s="2" t="s">
        <v>2060</v>
      </c>
      <c r="X76">
        <v>28475.575000000001</v>
      </c>
      <c r="Y76">
        <v>0.15900004653110603</v>
      </c>
      <c r="Z76" s="2" t="s">
        <v>2061</v>
      </c>
    </row>
    <row r="77" spans="1:26" x14ac:dyDescent="0.3">
      <c r="A77" s="2" t="s">
        <v>195</v>
      </c>
      <c r="B77" s="1">
        <v>44717</v>
      </c>
      <c r="C77" s="2" t="s">
        <v>196</v>
      </c>
      <c r="D77" s="2" t="s">
        <v>65</v>
      </c>
      <c r="E77">
        <v>2341</v>
      </c>
      <c r="F77">
        <v>17.7</v>
      </c>
      <c r="G77">
        <v>60</v>
      </c>
      <c r="H77" s="2" t="s">
        <v>26</v>
      </c>
      <c r="I77" s="2" t="s">
        <v>73</v>
      </c>
      <c r="J77" s="2" t="s">
        <v>28</v>
      </c>
      <c r="K77">
        <v>144072</v>
      </c>
      <c r="L77" s="2" t="s">
        <v>22</v>
      </c>
      <c r="M77">
        <v>0.41</v>
      </c>
      <c r="N77">
        <v>0.61</v>
      </c>
      <c r="O77">
        <v>714.53</v>
      </c>
      <c r="P77">
        <v>0</v>
      </c>
      <c r="Q77">
        <v>45</v>
      </c>
      <c r="R77">
        <v>2071.7849999999999</v>
      </c>
      <c r="S77">
        <v>4412.7849999999999</v>
      </c>
      <c r="T77">
        <v>-1626.47</v>
      </c>
      <c r="U77">
        <v>0</v>
      </c>
      <c r="V77" s="2" t="s">
        <v>2059</v>
      </c>
      <c r="W77" s="2" t="s">
        <v>2064</v>
      </c>
      <c r="X77">
        <v>3452.9749999999999</v>
      </c>
      <c r="Y77">
        <v>-0.69477573686458782</v>
      </c>
      <c r="Z77" s="2" t="s">
        <v>2058</v>
      </c>
    </row>
    <row r="78" spans="1:26" x14ac:dyDescent="0.3">
      <c r="A78" s="2" t="s">
        <v>197</v>
      </c>
      <c r="B78" s="1">
        <v>44844</v>
      </c>
      <c r="C78" s="2" t="s">
        <v>198</v>
      </c>
      <c r="D78" s="2" t="s">
        <v>65</v>
      </c>
      <c r="E78">
        <v>25791</v>
      </c>
      <c r="F78">
        <v>9.4</v>
      </c>
      <c r="G78">
        <v>60</v>
      </c>
      <c r="H78" s="2" t="s">
        <v>26</v>
      </c>
      <c r="I78" s="2" t="s">
        <v>27</v>
      </c>
      <c r="J78" s="2" t="s">
        <v>32</v>
      </c>
      <c r="K78">
        <v>122067</v>
      </c>
      <c r="L78" s="2" t="s">
        <v>33</v>
      </c>
      <c r="M78">
        <v>0.3</v>
      </c>
      <c r="N78">
        <v>0.87</v>
      </c>
      <c r="O78">
        <v>7712.63</v>
      </c>
      <c r="P78">
        <v>0</v>
      </c>
      <c r="Q78">
        <v>41</v>
      </c>
      <c r="R78">
        <v>12121.770000000002</v>
      </c>
      <c r="S78">
        <v>37912.770000000004</v>
      </c>
      <c r="T78">
        <v>-18078.37</v>
      </c>
      <c r="U78">
        <v>0</v>
      </c>
      <c r="V78" s="2" t="s">
        <v>2059</v>
      </c>
      <c r="W78" s="2" t="s">
        <v>2060</v>
      </c>
      <c r="X78">
        <v>20202.95</v>
      </c>
      <c r="Y78">
        <v>-0.70095653522546619</v>
      </c>
      <c r="Z78" s="2" t="s">
        <v>2058</v>
      </c>
    </row>
    <row r="79" spans="1:26" x14ac:dyDescent="0.3">
      <c r="A79" s="2" t="s">
        <v>199</v>
      </c>
      <c r="B79" s="1">
        <v>45283</v>
      </c>
      <c r="C79" s="2" t="s">
        <v>200</v>
      </c>
      <c r="D79" s="2" t="s">
        <v>25</v>
      </c>
      <c r="E79">
        <v>1338</v>
      </c>
      <c r="F79">
        <v>24.6</v>
      </c>
      <c r="G79">
        <v>36</v>
      </c>
      <c r="H79" s="2" t="s">
        <v>19</v>
      </c>
      <c r="I79" s="2" t="s">
        <v>20</v>
      </c>
      <c r="J79" s="2" t="s">
        <v>21</v>
      </c>
      <c r="K79">
        <v>51639</v>
      </c>
      <c r="L79" s="2" t="s">
        <v>29</v>
      </c>
      <c r="M79">
        <v>0.27</v>
      </c>
      <c r="N79">
        <v>0.65</v>
      </c>
      <c r="O79">
        <v>1667.15</v>
      </c>
      <c r="P79">
        <v>0</v>
      </c>
      <c r="Q79">
        <v>26</v>
      </c>
      <c r="R79">
        <v>987.44400000000007</v>
      </c>
      <c r="S79">
        <v>2325.444</v>
      </c>
      <c r="T79">
        <v>329.15000000000009</v>
      </c>
      <c r="U79">
        <v>0</v>
      </c>
      <c r="V79" s="2" t="s">
        <v>2056</v>
      </c>
      <c r="W79" s="2" t="s">
        <v>2057</v>
      </c>
      <c r="X79">
        <v>2742.9</v>
      </c>
      <c r="Y79">
        <v>0.24600149476831099</v>
      </c>
      <c r="Z79" s="2" t="s">
        <v>2061</v>
      </c>
    </row>
    <row r="80" spans="1:26" x14ac:dyDescent="0.3">
      <c r="A80" s="2" t="s">
        <v>201</v>
      </c>
      <c r="B80" s="1">
        <v>44789</v>
      </c>
      <c r="C80" s="2" t="s">
        <v>202</v>
      </c>
      <c r="D80" s="2" t="s">
        <v>76</v>
      </c>
      <c r="E80">
        <v>6895</v>
      </c>
      <c r="F80">
        <v>20</v>
      </c>
      <c r="G80">
        <v>60</v>
      </c>
      <c r="H80" s="2" t="s">
        <v>19</v>
      </c>
      <c r="I80" s="2" t="s">
        <v>36</v>
      </c>
      <c r="J80" s="2" t="s">
        <v>28</v>
      </c>
      <c r="K80">
        <v>94712</v>
      </c>
      <c r="L80" s="2" t="s">
        <v>22</v>
      </c>
      <c r="M80">
        <v>0.2</v>
      </c>
      <c r="N80">
        <v>0.55000000000000004</v>
      </c>
      <c r="O80">
        <v>8274</v>
      </c>
      <c r="P80">
        <v>0</v>
      </c>
      <c r="Q80">
        <v>43</v>
      </c>
      <c r="R80">
        <v>6895</v>
      </c>
      <c r="S80">
        <v>13790</v>
      </c>
      <c r="T80">
        <v>1379</v>
      </c>
      <c r="U80">
        <v>0</v>
      </c>
      <c r="V80" s="2" t="s">
        <v>2056</v>
      </c>
      <c r="W80" s="2" t="s">
        <v>2062</v>
      </c>
      <c r="X80">
        <v>11491.6667</v>
      </c>
      <c r="Y80">
        <v>0.2</v>
      </c>
      <c r="Z80" s="2" t="s">
        <v>2061</v>
      </c>
    </row>
    <row r="81" spans="1:26" x14ac:dyDescent="0.3">
      <c r="A81" s="2" t="s">
        <v>203</v>
      </c>
      <c r="B81" s="1">
        <v>44588</v>
      </c>
      <c r="C81" s="2" t="s">
        <v>204</v>
      </c>
      <c r="D81" s="2" t="s">
        <v>65</v>
      </c>
      <c r="E81">
        <v>13254</v>
      </c>
      <c r="F81">
        <v>16.2</v>
      </c>
      <c r="G81">
        <v>60</v>
      </c>
      <c r="H81" s="2" t="s">
        <v>19</v>
      </c>
      <c r="I81" s="2" t="s">
        <v>73</v>
      </c>
      <c r="J81" s="2" t="s">
        <v>28</v>
      </c>
      <c r="K81">
        <v>46633</v>
      </c>
      <c r="L81" s="2" t="s">
        <v>29</v>
      </c>
      <c r="M81">
        <v>0.32</v>
      </c>
      <c r="N81">
        <v>0.76</v>
      </c>
      <c r="O81">
        <v>15401.15</v>
      </c>
      <c r="P81">
        <v>0</v>
      </c>
      <c r="Q81">
        <v>49</v>
      </c>
      <c r="R81">
        <v>10735.739999999998</v>
      </c>
      <c r="S81">
        <v>23989.739999999998</v>
      </c>
      <c r="T81">
        <v>2147.1499999999996</v>
      </c>
      <c r="U81">
        <v>0</v>
      </c>
      <c r="V81" s="2" t="s">
        <v>2056</v>
      </c>
      <c r="W81" s="2" t="s">
        <v>2064</v>
      </c>
      <c r="X81">
        <v>17892.900000000001</v>
      </c>
      <c r="Y81">
        <v>0.16200015089784214</v>
      </c>
      <c r="Z81" s="2" t="s">
        <v>2061</v>
      </c>
    </row>
    <row r="82" spans="1:26" x14ac:dyDescent="0.3">
      <c r="A82" s="2" t="s">
        <v>205</v>
      </c>
      <c r="B82" s="1">
        <v>44615</v>
      </c>
      <c r="C82" s="2" t="s">
        <v>206</v>
      </c>
      <c r="D82" s="2" t="s">
        <v>25</v>
      </c>
      <c r="E82">
        <v>12344</v>
      </c>
      <c r="F82">
        <v>8.6</v>
      </c>
      <c r="G82">
        <v>60</v>
      </c>
      <c r="H82" s="2" t="s">
        <v>19</v>
      </c>
      <c r="I82" s="2" t="s">
        <v>20</v>
      </c>
      <c r="J82" s="2" t="s">
        <v>21</v>
      </c>
      <c r="K82">
        <v>64660</v>
      </c>
      <c r="L82" s="2" t="s">
        <v>29</v>
      </c>
      <c r="M82">
        <v>0.21</v>
      </c>
      <c r="N82">
        <v>0.76</v>
      </c>
      <c r="O82">
        <v>13405.58</v>
      </c>
      <c r="P82">
        <v>0</v>
      </c>
      <c r="Q82">
        <v>48</v>
      </c>
      <c r="R82">
        <v>5307.9199999999992</v>
      </c>
      <c r="S82">
        <v>17651.919999999998</v>
      </c>
      <c r="T82">
        <v>1061.58</v>
      </c>
      <c r="U82">
        <v>0</v>
      </c>
      <c r="V82" s="2" t="s">
        <v>2056</v>
      </c>
      <c r="W82" s="2" t="s">
        <v>2057</v>
      </c>
      <c r="X82">
        <v>8846.5332999999991</v>
      </c>
      <c r="Y82">
        <v>8.5999675955929999E-2</v>
      </c>
      <c r="Z82" s="2" t="s">
        <v>2061</v>
      </c>
    </row>
    <row r="83" spans="1:26" x14ac:dyDescent="0.3">
      <c r="A83" s="2" t="s">
        <v>207</v>
      </c>
      <c r="B83" s="1">
        <v>44485</v>
      </c>
      <c r="C83" s="2" t="s">
        <v>208</v>
      </c>
      <c r="D83" s="2" t="s">
        <v>76</v>
      </c>
      <c r="E83">
        <v>2750</v>
      </c>
      <c r="F83">
        <v>6.1</v>
      </c>
      <c r="G83">
        <v>60</v>
      </c>
      <c r="H83" s="2" t="s">
        <v>26</v>
      </c>
      <c r="I83" s="2" t="s">
        <v>73</v>
      </c>
      <c r="J83" s="2" t="s">
        <v>28</v>
      </c>
      <c r="K83">
        <v>98975</v>
      </c>
      <c r="L83" s="2" t="s">
        <v>22</v>
      </c>
      <c r="M83">
        <v>0.46</v>
      </c>
      <c r="N83">
        <v>0.82</v>
      </c>
      <c r="O83">
        <v>176.92</v>
      </c>
      <c r="P83">
        <v>0</v>
      </c>
      <c r="Q83">
        <v>53</v>
      </c>
      <c r="R83">
        <v>838.75</v>
      </c>
      <c r="S83">
        <v>3588.75</v>
      </c>
      <c r="T83">
        <v>-2573.08</v>
      </c>
      <c r="U83">
        <v>0</v>
      </c>
      <c r="V83" s="2" t="s">
        <v>2059</v>
      </c>
      <c r="W83" s="2" t="s">
        <v>2064</v>
      </c>
      <c r="X83">
        <v>1397.9167</v>
      </c>
      <c r="Y83">
        <v>-0.93566545454545447</v>
      </c>
      <c r="Z83" s="2" t="s">
        <v>2058</v>
      </c>
    </row>
    <row r="84" spans="1:26" x14ac:dyDescent="0.3">
      <c r="A84" s="2" t="s">
        <v>209</v>
      </c>
      <c r="B84" s="1">
        <v>44575</v>
      </c>
      <c r="C84" s="2" t="s">
        <v>210</v>
      </c>
      <c r="D84" s="2" t="s">
        <v>25</v>
      </c>
      <c r="E84">
        <v>3421</v>
      </c>
      <c r="F84">
        <v>11.4</v>
      </c>
      <c r="G84">
        <v>36</v>
      </c>
      <c r="H84" s="2" t="s">
        <v>19</v>
      </c>
      <c r="I84" s="2" t="s">
        <v>84</v>
      </c>
      <c r="J84" s="2" t="s">
        <v>32</v>
      </c>
      <c r="K84">
        <v>62172</v>
      </c>
      <c r="L84" s="2" t="s">
        <v>22</v>
      </c>
      <c r="M84">
        <v>0.19</v>
      </c>
      <c r="N84">
        <v>0.61</v>
      </c>
      <c r="O84">
        <v>3810.99</v>
      </c>
      <c r="P84">
        <v>0</v>
      </c>
      <c r="Q84">
        <v>50</v>
      </c>
      <c r="R84">
        <v>1169.9820000000002</v>
      </c>
      <c r="S84">
        <v>4590.982</v>
      </c>
      <c r="T84">
        <v>389.98999999999978</v>
      </c>
      <c r="U84">
        <v>0</v>
      </c>
      <c r="V84" s="2" t="s">
        <v>2056</v>
      </c>
      <c r="W84" s="2" t="s">
        <v>2062</v>
      </c>
      <c r="X84">
        <v>3249.95</v>
      </c>
      <c r="Y84">
        <v>0.11399883075124226</v>
      </c>
      <c r="Z84" s="2" t="s">
        <v>2061</v>
      </c>
    </row>
    <row r="85" spans="1:26" x14ac:dyDescent="0.3">
      <c r="A85" s="2" t="s">
        <v>211</v>
      </c>
      <c r="B85" s="1">
        <v>44427</v>
      </c>
      <c r="C85" s="2" t="s">
        <v>212</v>
      </c>
      <c r="D85" s="2" t="s">
        <v>46</v>
      </c>
      <c r="E85">
        <v>6319</v>
      </c>
      <c r="F85">
        <v>20.100000000000001</v>
      </c>
      <c r="G85">
        <v>36</v>
      </c>
      <c r="H85" s="2" t="s">
        <v>26</v>
      </c>
      <c r="I85" s="2" t="s">
        <v>36</v>
      </c>
      <c r="J85" s="2" t="s">
        <v>28</v>
      </c>
      <c r="K85">
        <v>89197</v>
      </c>
      <c r="L85" s="2" t="s">
        <v>33</v>
      </c>
      <c r="M85">
        <v>0.45</v>
      </c>
      <c r="N85">
        <v>0.7</v>
      </c>
      <c r="O85">
        <v>1650.44</v>
      </c>
      <c r="P85">
        <v>0</v>
      </c>
      <c r="Q85">
        <v>55</v>
      </c>
      <c r="R85">
        <v>3810.3570000000004</v>
      </c>
      <c r="S85">
        <v>10129.357</v>
      </c>
      <c r="T85">
        <v>-4668.5599999999995</v>
      </c>
      <c r="U85">
        <v>0</v>
      </c>
      <c r="V85" s="2" t="s">
        <v>2059</v>
      </c>
      <c r="W85" s="2" t="s">
        <v>2062</v>
      </c>
      <c r="X85">
        <v>10584.325000000001</v>
      </c>
      <c r="Y85">
        <v>-0.73881310333913586</v>
      </c>
      <c r="Z85" s="2" t="s">
        <v>2058</v>
      </c>
    </row>
    <row r="86" spans="1:26" x14ac:dyDescent="0.3">
      <c r="A86" s="2" t="s">
        <v>213</v>
      </c>
      <c r="B86" s="1">
        <v>45214</v>
      </c>
      <c r="C86" s="2" t="s">
        <v>214</v>
      </c>
      <c r="D86" s="2" t="s">
        <v>53</v>
      </c>
      <c r="E86">
        <v>16896</v>
      </c>
      <c r="F86">
        <v>10.4</v>
      </c>
      <c r="G86">
        <v>36</v>
      </c>
      <c r="H86" s="2" t="s">
        <v>19</v>
      </c>
      <c r="I86" s="2" t="s">
        <v>57</v>
      </c>
      <c r="J86" s="2" t="s">
        <v>32</v>
      </c>
      <c r="K86">
        <v>131158</v>
      </c>
      <c r="L86" s="2" t="s">
        <v>29</v>
      </c>
      <c r="M86">
        <v>0.32</v>
      </c>
      <c r="N86">
        <v>0.63</v>
      </c>
      <c r="O86">
        <v>18653.18</v>
      </c>
      <c r="P86">
        <v>0</v>
      </c>
      <c r="Q86">
        <v>29</v>
      </c>
      <c r="R86">
        <v>5271.5519999999997</v>
      </c>
      <c r="S86">
        <v>22167.552</v>
      </c>
      <c r="T86">
        <v>1757.1800000000003</v>
      </c>
      <c r="U86">
        <v>0</v>
      </c>
      <c r="V86" s="2" t="s">
        <v>2056</v>
      </c>
      <c r="W86" s="2" t="s">
        <v>2057</v>
      </c>
      <c r="X86">
        <v>14643.2</v>
      </c>
      <c r="Y86">
        <v>0.10399976325757578</v>
      </c>
      <c r="Z86" s="2" t="s">
        <v>2061</v>
      </c>
    </row>
    <row r="87" spans="1:26" x14ac:dyDescent="0.3">
      <c r="A87" s="2" t="s">
        <v>215</v>
      </c>
      <c r="B87" s="1">
        <v>44237</v>
      </c>
      <c r="C87" s="2" t="s">
        <v>216</v>
      </c>
      <c r="D87" s="2" t="s">
        <v>76</v>
      </c>
      <c r="E87">
        <v>12918</v>
      </c>
      <c r="F87">
        <v>15.8</v>
      </c>
      <c r="G87">
        <v>60</v>
      </c>
      <c r="H87" s="2" t="s">
        <v>19</v>
      </c>
      <c r="I87" s="2" t="s">
        <v>27</v>
      </c>
      <c r="J87" s="2" t="s">
        <v>21</v>
      </c>
      <c r="K87">
        <v>88847</v>
      </c>
      <c r="L87" s="2" t="s">
        <v>33</v>
      </c>
      <c r="M87">
        <v>0.43</v>
      </c>
      <c r="N87">
        <v>0.54</v>
      </c>
      <c r="O87">
        <v>14959.04</v>
      </c>
      <c r="P87">
        <v>0</v>
      </c>
      <c r="Q87">
        <v>61</v>
      </c>
      <c r="R87">
        <v>10205.220000000001</v>
      </c>
      <c r="S87">
        <v>23123.22</v>
      </c>
      <c r="T87">
        <v>2041.0400000000009</v>
      </c>
      <c r="U87">
        <v>0</v>
      </c>
      <c r="V87" s="2" t="s">
        <v>2056</v>
      </c>
      <c r="W87" s="2" t="s">
        <v>2060</v>
      </c>
      <c r="X87">
        <v>17008.7</v>
      </c>
      <c r="Y87">
        <v>0.15799969035454411</v>
      </c>
      <c r="Z87" s="2" t="s">
        <v>2058</v>
      </c>
    </row>
    <row r="88" spans="1:26" x14ac:dyDescent="0.3">
      <c r="A88" s="2" t="s">
        <v>217</v>
      </c>
      <c r="B88" s="1">
        <v>45248</v>
      </c>
      <c r="C88" s="2" t="s">
        <v>218</v>
      </c>
      <c r="D88" s="2" t="s">
        <v>50</v>
      </c>
      <c r="E88">
        <v>26064</v>
      </c>
      <c r="F88">
        <v>19.600000000000001</v>
      </c>
      <c r="G88">
        <v>60</v>
      </c>
      <c r="H88" s="2" t="s">
        <v>19</v>
      </c>
      <c r="I88" s="2" t="s">
        <v>20</v>
      </c>
      <c r="J88" s="2" t="s">
        <v>47</v>
      </c>
      <c r="K88">
        <v>41577</v>
      </c>
      <c r="L88" s="2" t="s">
        <v>22</v>
      </c>
      <c r="M88">
        <v>0.39</v>
      </c>
      <c r="N88">
        <v>0.89</v>
      </c>
      <c r="O88">
        <v>31172.54</v>
      </c>
      <c r="P88">
        <v>0</v>
      </c>
      <c r="Q88">
        <v>28</v>
      </c>
      <c r="R88">
        <v>25542.720000000001</v>
      </c>
      <c r="S88">
        <v>51606.720000000001</v>
      </c>
      <c r="T88">
        <v>5108.5400000000009</v>
      </c>
      <c r="U88">
        <v>0</v>
      </c>
      <c r="V88" s="2" t="s">
        <v>2056</v>
      </c>
      <c r="W88" s="2" t="s">
        <v>2057</v>
      </c>
      <c r="X88">
        <v>42571.199999999997</v>
      </c>
      <c r="Y88">
        <v>0.19599984653161451</v>
      </c>
      <c r="Z88" s="2" t="s">
        <v>2058</v>
      </c>
    </row>
    <row r="89" spans="1:26" x14ac:dyDescent="0.3">
      <c r="A89" s="2" t="s">
        <v>219</v>
      </c>
      <c r="B89" s="1">
        <v>44331</v>
      </c>
      <c r="C89" s="2" t="s">
        <v>220</v>
      </c>
      <c r="D89" s="2" t="s">
        <v>53</v>
      </c>
      <c r="E89">
        <v>28935</v>
      </c>
      <c r="F89">
        <v>7.2</v>
      </c>
      <c r="G89">
        <v>60</v>
      </c>
      <c r="H89" s="2" t="s">
        <v>19</v>
      </c>
      <c r="I89" s="2" t="s">
        <v>20</v>
      </c>
      <c r="J89" s="2" t="s">
        <v>21</v>
      </c>
      <c r="K89">
        <v>107299</v>
      </c>
      <c r="L89" s="2" t="s">
        <v>22</v>
      </c>
      <c r="M89">
        <v>0.38</v>
      </c>
      <c r="N89">
        <v>0.83</v>
      </c>
      <c r="O89">
        <v>31018.32</v>
      </c>
      <c r="P89">
        <v>0</v>
      </c>
      <c r="Q89">
        <v>58</v>
      </c>
      <c r="R89">
        <v>10416.6</v>
      </c>
      <c r="S89">
        <v>39351.599999999999</v>
      </c>
      <c r="T89">
        <v>2083.3199999999997</v>
      </c>
      <c r="U89">
        <v>0</v>
      </c>
      <c r="V89" s="2" t="s">
        <v>2056</v>
      </c>
      <c r="W89" s="2" t="s">
        <v>2057</v>
      </c>
      <c r="X89">
        <v>17361</v>
      </c>
      <c r="Y89">
        <v>7.1999999999999995E-2</v>
      </c>
      <c r="Z89" s="2" t="s">
        <v>2058</v>
      </c>
    </row>
    <row r="90" spans="1:26" x14ac:dyDescent="0.3">
      <c r="A90" s="2" t="s">
        <v>221</v>
      </c>
      <c r="B90" s="1">
        <v>44397</v>
      </c>
      <c r="C90" s="2" t="s">
        <v>222</v>
      </c>
      <c r="D90" s="2" t="s">
        <v>46</v>
      </c>
      <c r="E90">
        <v>38641</v>
      </c>
      <c r="F90">
        <v>18.7</v>
      </c>
      <c r="G90">
        <v>60</v>
      </c>
      <c r="H90" s="2" t="s">
        <v>19</v>
      </c>
      <c r="I90" s="2" t="s">
        <v>73</v>
      </c>
      <c r="J90" s="2" t="s">
        <v>32</v>
      </c>
      <c r="K90">
        <v>50176</v>
      </c>
      <c r="L90" s="2" t="s">
        <v>29</v>
      </c>
      <c r="M90">
        <v>0.23</v>
      </c>
      <c r="N90">
        <v>0.64</v>
      </c>
      <c r="O90">
        <v>45866.87</v>
      </c>
      <c r="P90">
        <v>0</v>
      </c>
      <c r="Q90">
        <v>55</v>
      </c>
      <c r="R90">
        <v>36129.334999999999</v>
      </c>
      <c r="S90">
        <v>74770.334999999992</v>
      </c>
      <c r="T90">
        <v>7225.8700000000026</v>
      </c>
      <c r="U90">
        <v>0</v>
      </c>
      <c r="V90" s="2" t="s">
        <v>2056</v>
      </c>
      <c r="W90" s="2" t="s">
        <v>2064</v>
      </c>
      <c r="X90">
        <v>60215.558299999997</v>
      </c>
      <c r="Y90">
        <v>0.18700007763774237</v>
      </c>
      <c r="Z90" s="2" t="s">
        <v>2061</v>
      </c>
    </row>
    <row r="91" spans="1:26" x14ac:dyDescent="0.3">
      <c r="A91" s="2" t="s">
        <v>223</v>
      </c>
      <c r="B91" s="1">
        <v>44976</v>
      </c>
      <c r="C91" s="2" t="s">
        <v>224</v>
      </c>
      <c r="D91" s="2" t="s">
        <v>65</v>
      </c>
      <c r="E91">
        <v>30711</v>
      </c>
      <c r="F91">
        <v>6.8</v>
      </c>
      <c r="G91">
        <v>60</v>
      </c>
      <c r="H91" s="2" t="s">
        <v>19</v>
      </c>
      <c r="I91" s="2" t="s">
        <v>27</v>
      </c>
      <c r="J91" s="2" t="s">
        <v>37</v>
      </c>
      <c r="K91">
        <v>74386</v>
      </c>
      <c r="L91" s="2" t="s">
        <v>33</v>
      </c>
      <c r="M91">
        <v>0.19</v>
      </c>
      <c r="N91">
        <v>0.77</v>
      </c>
      <c r="O91">
        <v>32799.35</v>
      </c>
      <c r="P91">
        <v>0</v>
      </c>
      <c r="Q91">
        <v>37</v>
      </c>
      <c r="R91">
        <v>10441.74</v>
      </c>
      <c r="S91">
        <v>41152.74</v>
      </c>
      <c r="T91">
        <v>2088.3499999999985</v>
      </c>
      <c r="U91">
        <v>0</v>
      </c>
      <c r="V91" s="2" t="s">
        <v>2056</v>
      </c>
      <c r="W91" s="2" t="s">
        <v>2060</v>
      </c>
      <c r="X91">
        <v>17402.900000000001</v>
      </c>
      <c r="Y91">
        <v>6.800006512324569E-2</v>
      </c>
      <c r="Z91" s="2" t="s">
        <v>2061</v>
      </c>
    </row>
    <row r="92" spans="1:26" x14ac:dyDescent="0.3">
      <c r="A92" s="2" t="s">
        <v>225</v>
      </c>
      <c r="B92" s="1">
        <v>45126</v>
      </c>
      <c r="C92" s="2" t="s">
        <v>226</v>
      </c>
      <c r="D92" s="2" t="s">
        <v>18</v>
      </c>
      <c r="E92">
        <v>5806</v>
      </c>
      <c r="F92">
        <v>24.3</v>
      </c>
      <c r="G92">
        <v>36</v>
      </c>
      <c r="H92" s="2" t="s">
        <v>81</v>
      </c>
      <c r="I92" s="2" t="s">
        <v>84</v>
      </c>
      <c r="J92" s="2" t="s">
        <v>21</v>
      </c>
      <c r="K92">
        <v>93972</v>
      </c>
      <c r="L92" s="2" t="s">
        <v>33</v>
      </c>
      <c r="M92">
        <v>0.18</v>
      </c>
      <c r="N92">
        <v>0.59</v>
      </c>
      <c r="O92">
        <v>2191.11</v>
      </c>
      <c r="P92">
        <v>417.13</v>
      </c>
      <c r="Q92">
        <v>32</v>
      </c>
      <c r="R92">
        <v>4232.5740000000005</v>
      </c>
      <c r="S92">
        <v>10038.574000000001</v>
      </c>
      <c r="T92">
        <v>-3197.7599999999998</v>
      </c>
      <c r="U92">
        <v>1</v>
      </c>
      <c r="V92" s="2" t="s">
        <v>2063</v>
      </c>
      <c r="W92" s="2" t="s">
        <v>2062</v>
      </c>
      <c r="X92">
        <v>11757.15</v>
      </c>
      <c r="Y92">
        <v>-0.55076817085773333</v>
      </c>
      <c r="Z92" s="2" t="s">
        <v>2061</v>
      </c>
    </row>
    <row r="93" spans="1:26" x14ac:dyDescent="0.3">
      <c r="A93" s="2" t="s">
        <v>227</v>
      </c>
      <c r="B93" s="1">
        <v>45253</v>
      </c>
      <c r="C93" s="2" t="s">
        <v>228</v>
      </c>
      <c r="D93" s="2" t="s">
        <v>46</v>
      </c>
      <c r="E93">
        <v>13182</v>
      </c>
      <c r="F93">
        <v>14.8</v>
      </c>
      <c r="G93">
        <v>60</v>
      </c>
      <c r="H93" s="2" t="s">
        <v>26</v>
      </c>
      <c r="I93" s="2" t="s">
        <v>57</v>
      </c>
      <c r="J93" s="2" t="s">
        <v>37</v>
      </c>
      <c r="K93">
        <v>119791</v>
      </c>
      <c r="L93" s="2" t="s">
        <v>29</v>
      </c>
      <c r="M93">
        <v>0.44</v>
      </c>
      <c r="N93">
        <v>0.9</v>
      </c>
      <c r="O93">
        <v>3017.58</v>
      </c>
      <c r="P93">
        <v>0</v>
      </c>
      <c r="Q93">
        <v>27</v>
      </c>
      <c r="R93">
        <v>9754.68</v>
      </c>
      <c r="S93">
        <v>22936.68</v>
      </c>
      <c r="T93">
        <v>-10164.42</v>
      </c>
      <c r="U93">
        <v>0</v>
      </c>
      <c r="V93" s="2" t="s">
        <v>2059</v>
      </c>
      <c r="W93" s="2" t="s">
        <v>2057</v>
      </c>
      <c r="X93">
        <v>16257.8</v>
      </c>
      <c r="Y93">
        <v>-0.77108329540282206</v>
      </c>
      <c r="Z93" s="2" t="s">
        <v>2058</v>
      </c>
    </row>
    <row r="94" spans="1:26" x14ac:dyDescent="0.3">
      <c r="A94" s="2" t="s">
        <v>229</v>
      </c>
      <c r="B94" s="1">
        <v>45268</v>
      </c>
      <c r="C94" s="2" t="s">
        <v>230</v>
      </c>
      <c r="D94" s="2" t="s">
        <v>25</v>
      </c>
      <c r="E94">
        <v>23297</v>
      </c>
      <c r="F94">
        <v>8</v>
      </c>
      <c r="G94">
        <v>60</v>
      </c>
      <c r="H94" s="2" t="s">
        <v>19</v>
      </c>
      <c r="I94" s="2" t="s">
        <v>20</v>
      </c>
      <c r="J94" s="2" t="s">
        <v>37</v>
      </c>
      <c r="K94">
        <v>71003</v>
      </c>
      <c r="L94" s="2" t="s">
        <v>29</v>
      </c>
      <c r="M94">
        <v>0.43</v>
      </c>
      <c r="N94">
        <v>0.55000000000000004</v>
      </c>
      <c r="O94">
        <v>25160.76</v>
      </c>
      <c r="P94">
        <v>0</v>
      </c>
      <c r="Q94">
        <v>27</v>
      </c>
      <c r="R94">
        <v>9318.8000000000011</v>
      </c>
      <c r="S94">
        <v>32615.800000000003</v>
      </c>
      <c r="T94">
        <v>1863.7599999999984</v>
      </c>
      <c r="U94">
        <v>0</v>
      </c>
      <c r="V94" s="2" t="s">
        <v>2056</v>
      </c>
      <c r="W94" s="2" t="s">
        <v>2057</v>
      </c>
      <c r="X94">
        <v>15531.3333</v>
      </c>
      <c r="Y94">
        <v>7.9999999999999932E-2</v>
      </c>
      <c r="Z94" s="2" t="s">
        <v>2058</v>
      </c>
    </row>
    <row r="95" spans="1:26" x14ac:dyDescent="0.3">
      <c r="A95" s="2" t="s">
        <v>231</v>
      </c>
      <c r="B95" s="1">
        <v>44699</v>
      </c>
      <c r="C95" s="2" t="s">
        <v>232</v>
      </c>
      <c r="D95" s="2" t="s">
        <v>25</v>
      </c>
      <c r="E95">
        <v>20541</v>
      </c>
      <c r="F95">
        <v>11.8</v>
      </c>
      <c r="G95">
        <v>36</v>
      </c>
      <c r="H95" s="2" t="s">
        <v>19</v>
      </c>
      <c r="I95" s="2" t="s">
        <v>73</v>
      </c>
      <c r="J95" s="2" t="s">
        <v>32</v>
      </c>
      <c r="K95">
        <v>49996</v>
      </c>
      <c r="L95" s="2" t="s">
        <v>33</v>
      </c>
      <c r="M95">
        <v>0.28000000000000003</v>
      </c>
      <c r="N95">
        <v>0.5</v>
      </c>
      <c r="O95">
        <v>22964.84</v>
      </c>
      <c r="P95">
        <v>0</v>
      </c>
      <c r="Q95">
        <v>46</v>
      </c>
      <c r="R95">
        <v>7271.5140000000001</v>
      </c>
      <c r="S95">
        <v>27812.513999999999</v>
      </c>
      <c r="T95">
        <v>2423.84</v>
      </c>
      <c r="U95">
        <v>0</v>
      </c>
      <c r="V95" s="2" t="s">
        <v>2056</v>
      </c>
      <c r="W95" s="2" t="s">
        <v>2064</v>
      </c>
      <c r="X95">
        <v>20198.650000000001</v>
      </c>
      <c r="Y95">
        <v>0.11800009736624313</v>
      </c>
      <c r="Z95" s="2" t="s">
        <v>2061</v>
      </c>
    </row>
    <row r="96" spans="1:26" x14ac:dyDescent="0.3">
      <c r="A96" s="2" t="s">
        <v>233</v>
      </c>
      <c r="B96" s="1">
        <v>44603</v>
      </c>
      <c r="C96" s="2" t="s">
        <v>234</v>
      </c>
      <c r="D96" s="2" t="s">
        <v>25</v>
      </c>
      <c r="E96">
        <v>29921</v>
      </c>
      <c r="F96">
        <v>13.3</v>
      </c>
      <c r="G96">
        <v>60</v>
      </c>
      <c r="H96" s="2" t="s">
        <v>19</v>
      </c>
      <c r="I96" s="2" t="s">
        <v>20</v>
      </c>
      <c r="J96" s="2" t="s">
        <v>32</v>
      </c>
      <c r="K96">
        <v>130922</v>
      </c>
      <c r="L96" s="2" t="s">
        <v>22</v>
      </c>
      <c r="M96">
        <v>0.15</v>
      </c>
      <c r="N96">
        <v>0.73</v>
      </c>
      <c r="O96">
        <v>33900.49</v>
      </c>
      <c r="P96">
        <v>0</v>
      </c>
      <c r="Q96">
        <v>49</v>
      </c>
      <c r="R96">
        <v>19897.465</v>
      </c>
      <c r="S96">
        <v>49818.464999999997</v>
      </c>
      <c r="T96">
        <v>3979.489999999998</v>
      </c>
      <c r="U96">
        <v>0</v>
      </c>
      <c r="V96" s="2" t="s">
        <v>2056</v>
      </c>
      <c r="W96" s="2" t="s">
        <v>2057</v>
      </c>
      <c r="X96">
        <v>33162.441700000003</v>
      </c>
      <c r="Y96">
        <v>0.13299989973597132</v>
      </c>
      <c r="Z96" s="2" t="s">
        <v>2061</v>
      </c>
    </row>
    <row r="97" spans="1:26" x14ac:dyDescent="0.3">
      <c r="A97" s="2" t="s">
        <v>235</v>
      </c>
      <c r="B97" s="1">
        <v>45001</v>
      </c>
      <c r="C97" s="2" t="s">
        <v>236</v>
      </c>
      <c r="D97" s="2" t="s">
        <v>25</v>
      </c>
      <c r="E97">
        <v>17774</v>
      </c>
      <c r="F97">
        <v>20.2</v>
      </c>
      <c r="G97">
        <v>36</v>
      </c>
      <c r="H97" s="2" t="s">
        <v>19</v>
      </c>
      <c r="I97" s="2" t="s">
        <v>20</v>
      </c>
      <c r="J97" s="2" t="s">
        <v>47</v>
      </c>
      <c r="K97">
        <v>116598</v>
      </c>
      <c r="L97" s="2" t="s">
        <v>22</v>
      </c>
      <c r="M97">
        <v>0.25</v>
      </c>
      <c r="N97">
        <v>0.76</v>
      </c>
      <c r="O97">
        <v>21364.35</v>
      </c>
      <c r="P97">
        <v>0</v>
      </c>
      <c r="Q97">
        <v>36</v>
      </c>
      <c r="R97">
        <v>10771.044</v>
      </c>
      <c r="S97">
        <v>28545.044000000002</v>
      </c>
      <c r="T97">
        <v>3590.3499999999985</v>
      </c>
      <c r="U97">
        <v>0</v>
      </c>
      <c r="V97" s="2" t="s">
        <v>2056</v>
      </c>
      <c r="W97" s="2" t="s">
        <v>2057</v>
      </c>
      <c r="X97">
        <v>29919.566699999999</v>
      </c>
      <c r="Y97">
        <v>0.20200011252391126</v>
      </c>
      <c r="Z97" s="2" t="s">
        <v>2061</v>
      </c>
    </row>
    <row r="98" spans="1:26" x14ac:dyDescent="0.3">
      <c r="A98" s="2" t="s">
        <v>237</v>
      </c>
      <c r="B98" s="1">
        <v>44295</v>
      </c>
      <c r="C98" s="2" t="s">
        <v>238</v>
      </c>
      <c r="D98" s="2" t="s">
        <v>46</v>
      </c>
      <c r="E98">
        <v>38198</v>
      </c>
      <c r="F98">
        <v>19.899999999999999</v>
      </c>
      <c r="G98">
        <v>36</v>
      </c>
      <c r="H98" s="2" t="s">
        <v>19</v>
      </c>
      <c r="I98" s="2" t="s">
        <v>57</v>
      </c>
      <c r="J98" s="2" t="s">
        <v>28</v>
      </c>
      <c r="K98">
        <v>65931</v>
      </c>
      <c r="L98" s="2" t="s">
        <v>29</v>
      </c>
      <c r="M98">
        <v>0.35</v>
      </c>
      <c r="N98">
        <v>0.76</v>
      </c>
      <c r="O98">
        <v>45799.4</v>
      </c>
      <c r="P98">
        <v>0</v>
      </c>
      <c r="Q98">
        <v>59</v>
      </c>
      <c r="R98">
        <v>22804.205999999995</v>
      </c>
      <c r="S98">
        <v>61002.205999999991</v>
      </c>
      <c r="T98">
        <v>7601.4000000000015</v>
      </c>
      <c r="U98">
        <v>0</v>
      </c>
      <c r="V98" s="2" t="s">
        <v>2056</v>
      </c>
      <c r="W98" s="2" t="s">
        <v>2057</v>
      </c>
      <c r="X98">
        <v>63345.0167</v>
      </c>
      <c r="Y98">
        <v>0.1989999476412378</v>
      </c>
      <c r="Z98" s="2" t="s">
        <v>2061</v>
      </c>
    </row>
    <row r="99" spans="1:26" x14ac:dyDescent="0.3">
      <c r="A99" s="2" t="s">
        <v>239</v>
      </c>
      <c r="B99" s="1">
        <v>44880</v>
      </c>
      <c r="C99" s="2" t="s">
        <v>240</v>
      </c>
      <c r="D99" s="2" t="s">
        <v>18</v>
      </c>
      <c r="E99">
        <v>9820</v>
      </c>
      <c r="F99">
        <v>17.2</v>
      </c>
      <c r="G99">
        <v>36</v>
      </c>
      <c r="H99" s="2" t="s">
        <v>19</v>
      </c>
      <c r="I99" s="2" t="s">
        <v>57</v>
      </c>
      <c r="J99" s="2" t="s">
        <v>21</v>
      </c>
      <c r="K99">
        <v>65710</v>
      </c>
      <c r="L99" s="2" t="s">
        <v>33</v>
      </c>
      <c r="M99">
        <v>0.28000000000000003</v>
      </c>
      <c r="N99">
        <v>0.52</v>
      </c>
      <c r="O99">
        <v>11509.04</v>
      </c>
      <c r="P99">
        <v>0</v>
      </c>
      <c r="Q99">
        <v>40</v>
      </c>
      <c r="R99">
        <v>5067.12</v>
      </c>
      <c r="S99">
        <v>14887.119999999999</v>
      </c>
      <c r="T99">
        <v>1689.0400000000009</v>
      </c>
      <c r="U99">
        <v>0</v>
      </c>
      <c r="V99" s="2" t="s">
        <v>2056</v>
      </c>
      <c r="W99" s="2" t="s">
        <v>2057</v>
      </c>
      <c r="X99">
        <v>14075.3333</v>
      </c>
      <c r="Y99">
        <v>0.1720000000000001</v>
      </c>
      <c r="Z99" s="2" t="s">
        <v>2061</v>
      </c>
    </row>
    <row r="100" spans="1:26" x14ac:dyDescent="0.3">
      <c r="A100" s="2" t="s">
        <v>241</v>
      </c>
      <c r="B100" s="1">
        <v>44922</v>
      </c>
      <c r="C100" s="2" t="s">
        <v>242</v>
      </c>
      <c r="D100" s="2" t="s">
        <v>40</v>
      </c>
      <c r="E100">
        <v>25070</v>
      </c>
      <c r="F100">
        <v>7.1</v>
      </c>
      <c r="G100">
        <v>36</v>
      </c>
      <c r="H100" s="2" t="s">
        <v>19</v>
      </c>
      <c r="I100" s="2" t="s">
        <v>57</v>
      </c>
      <c r="J100" s="2" t="s">
        <v>32</v>
      </c>
      <c r="K100">
        <v>64693</v>
      </c>
      <c r="L100" s="2" t="s">
        <v>33</v>
      </c>
      <c r="M100">
        <v>0.41</v>
      </c>
      <c r="N100">
        <v>0.64</v>
      </c>
      <c r="O100">
        <v>26849.97</v>
      </c>
      <c r="P100">
        <v>0</v>
      </c>
      <c r="Q100">
        <v>38</v>
      </c>
      <c r="R100">
        <v>5339.91</v>
      </c>
      <c r="S100">
        <v>30409.91</v>
      </c>
      <c r="T100">
        <v>1779.9700000000012</v>
      </c>
      <c r="U100">
        <v>0</v>
      </c>
      <c r="V100" s="2" t="s">
        <v>2056</v>
      </c>
      <c r="W100" s="2" t="s">
        <v>2057</v>
      </c>
      <c r="X100">
        <v>14833.0841</v>
      </c>
      <c r="Y100">
        <v>7.1000000000000049E-2</v>
      </c>
      <c r="Z100" s="2" t="s">
        <v>2058</v>
      </c>
    </row>
    <row r="101" spans="1:26" x14ac:dyDescent="0.3">
      <c r="A101" s="2" t="s">
        <v>243</v>
      </c>
      <c r="B101" s="1">
        <v>45157</v>
      </c>
      <c r="C101" s="2" t="s">
        <v>244</v>
      </c>
      <c r="D101" s="2" t="s">
        <v>25</v>
      </c>
      <c r="E101">
        <v>5232</v>
      </c>
      <c r="F101">
        <v>8</v>
      </c>
      <c r="G101">
        <v>36</v>
      </c>
      <c r="H101" s="2" t="s">
        <v>19</v>
      </c>
      <c r="I101" s="2" t="s">
        <v>73</v>
      </c>
      <c r="J101" s="2" t="s">
        <v>21</v>
      </c>
      <c r="K101">
        <v>65740</v>
      </c>
      <c r="L101" s="2" t="s">
        <v>33</v>
      </c>
      <c r="M101">
        <v>0.5</v>
      </c>
      <c r="N101">
        <v>0.72</v>
      </c>
      <c r="O101">
        <v>5650.56</v>
      </c>
      <c r="P101">
        <v>0</v>
      </c>
      <c r="Q101">
        <v>31</v>
      </c>
      <c r="R101">
        <v>1255.68</v>
      </c>
      <c r="S101">
        <v>6487.68</v>
      </c>
      <c r="T101">
        <v>418.5600000000004</v>
      </c>
      <c r="U101">
        <v>0</v>
      </c>
      <c r="V101" s="2" t="s">
        <v>2056</v>
      </c>
      <c r="W101" s="2" t="s">
        <v>2064</v>
      </c>
      <c r="X101">
        <v>3488</v>
      </c>
      <c r="Y101">
        <v>8.0000000000000071E-2</v>
      </c>
      <c r="Z101" s="2" t="s">
        <v>2058</v>
      </c>
    </row>
    <row r="102" spans="1:26" x14ac:dyDescent="0.3">
      <c r="A102" s="2" t="s">
        <v>245</v>
      </c>
      <c r="B102" s="1">
        <v>44809</v>
      </c>
      <c r="C102" s="2" t="s">
        <v>246</v>
      </c>
      <c r="D102" s="2" t="s">
        <v>40</v>
      </c>
      <c r="E102">
        <v>12122</v>
      </c>
      <c r="F102">
        <v>6.9</v>
      </c>
      <c r="G102">
        <v>60</v>
      </c>
      <c r="H102" s="2" t="s">
        <v>19</v>
      </c>
      <c r="I102" s="2" t="s">
        <v>20</v>
      </c>
      <c r="J102" s="2" t="s">
        <v>37</v>
      </c>
      <c r="K102">
        <v>107241</v>
      </c>
      <c r="L102" s="2" t="s">
        <v>22</v>
      </c>
      <c r="M102">
        <v>0.18</v>
      </c>
      <c r="N102">
        <v>0.6</v>
      </c>
      <c r="O102">
        <v>12958.42</v>
      </c>
      <c r="P102">
        <v>0</v>
      </c>
      <c r="Q102">
        <v>42</v>
      </c>
      <c r="R102">
        <v>4182.09</v>
      </c>
      <c r="S102">
        <v>16304.09</v>
      </c>
      <c r="T102">
        <v>836.42000000000007</v>
      </c>
      <c r="U102">
        <v>0</v>
      </c>
      <c r="V102" s="2" t="s">
        <v>2056</v>
      </c>
      <c r="W102" s="2" t="s">
        <v>2057</v>
      </c>
      <c r="X102">
        <v>6970.15</v>
      </c>
      <c r="Y102">
        <v>6.9000164989275706E-2</v>
      </c>
      <c r="Z102" s="2" t="s">
        <v>2061</v>
      </c>
    </row>
    <row r="103" spans="1:26" x14ac:dyDescent="0.3">
      <c r="A103" s="2" t="s">
        <v>247</v>
      </c>
      <c r="B103" s="1">
        <v>44839</v>
      </c>
      <c r="C103" s="2" t="s">
        <v>248</v>
      </c>
      <c r="D103" s="2" t="s">
        <v>18</v>
      </c>
      <c r="E103">
        <v>16023</v>
      </c>
      <c r="F103">
        <v>16.5</v>
      </c>
      <c r="G103">
        <v>36</v>
      </c>
      <c r="H103" s="2" t="s">
        <v>19</v>
      </c>
      <c r="I103" s="2" t="s">
        <v>20</v>
      </c>
      <c r="J103" s="2" t="s">
        <v>28</v>
      </c>
      <c r="K103">
        <v>138944</v>
      </c>
      <c r="L103" s="2" t="s">
        <v>22</v>
      </c>
      <c r="M103">
        <v>0.28000000000000003</v>
      </c>
      <c r="N103">
        <v>0.89</v>
      </c>
      <c r="O103">
        <v>18666.8</v>
      </c>
      <c r="P103">
        <v>0</v>
      </c>
      <c r="Q103">
        <v>41</v>
      </c>
      <c r="R103">
        <v>7931.3849999999993</v>
      </c>
      <c r="S103">
        <v>23954.384999999998</v>
      </c>
      <c r="T103">
        <v>2643.7999999999993</v>
      </c>
      <c r="U103">
        <v>0</v>
      </c>
      <c r="V103" s="2" t="s">
        <v>2056</v>
      </c>
      <c r="W103" s="2" t="s">
        <v>2057</v>
      </c>
      <c r="X103">
        <v>22031.625</v>
      </c>
      <c r="Y103">
        <v>0.16500031205142604</v>
      </c>
      <c r="Z103" s="2" t="s">
        <v>2058</v>
      </c>
    </row>
    <row r="104" spans="1:26" x14ac:dyDescent="0.3">
      <c r="A104" s="2" t="s">
        <v>249</v>
      </c>
      <c r="B104" s="1">
        <v>45225</v>
      </c>
      <c r="C104" s="2" t="s">
        <v>250</v>
      </c>
      <c r="D104" s="2" t="s">
        <v>18</v>
      </c>
      <c r="E104">
        <v>9007</v>
      </c>
      <c r="F104">
        <v>22.5</v>
      </c>
      <c r="G104">
        <v>36</v>
      </c>
      <c r="H104" s="2" t="s">
        <v>26</v>
      </c>
      <c r="I104" s="2" t="s">
        <v>27</v>
      </c>
      <c r="J104" s="2" t="s">
        <v>47</v>
      </c>
      <c r="K104">
        <v>123583</v>
      </c>
      <c r="L104" s="2" t="s">
        <v>33</v>
      </c>
      <c r="M104">
        <v>0.27</v>
      </c>
      <c r="N104">
        <v>0.54</v>
      </c>
      <c r="O104">
        <v>2983.25</v>
      </c>
      <c r="P104">
        <v>0</v>
      </c>
      <c r="Q104">
        <v>28</v>
      </c>
      <c r="R104">
        <v>6079.7249999999995</v>
      </c>
      <c r="S104">
        <v>15086.724999999999</v>
      </c>
      <c r="T104">
        <v>-6023.75</v>
      </c>
      <c r="U104">
        <v>0</v>
      </c>
      <c r="V104" s="2" t="s">
        <v>2059</v>
      </c>
      <c r="W104" s="2" t="s">
        <v>2060</v>
      </c>
      <c r="X104">
        <v>16888.125</v>
      </c>
      <c r="Y104">
        <v>-0.66878538914177865</v>
      </c>
      <c r="Z104" s="2" t="s">
        <v>2061</v>
      </c>
    </row>
    <row r="105" spans="1:26" x14ac:dyDescent="0.3">
      <c r="A105" s="2" t="s">
        <v>251</v>
      </c>
      <c r="B105" s="1">
        <v>44699</v>
      </c>
      <c r="C105" s="2" t="s">
        <v>252</v>
      </c>
      <c r="D105" s="2" t="s">
        <v>53</v>
      </c>
      <c r="E105">
        <v>18905</v>
      </c>
      <c r="F105">
        <v>13.7</v>
      </c>
      <c r="G105">
        <v>60</v>
      </c>
      <c r="H105" s="2" t="s">
        <v>19</v>
      </c>
      <c r="I105" s="2" t="s">
        <v>20</v>
      </c>
      <c r="J105" s="2" t="s">
        <v>21</v>
      </c>
      <c r="K105">
        <v>106502</v>
      </c>
      <c r="L105" s="2" t="s">
        <v>33</v>
      </c>
      <c r="M105">
        <v>0.22</v>
      </c>
      <c r="N105">
        <v>0.72</v>
      </c>
      <c r="O105">
        <v>21494.98</v>
      </c>
      <c r="P105">
        <v>0</v>
      </c>
      <c r="Q105">
        <v>46</v>
      </c>
      <c r="R105">
        <v>12949.925000000001</v>
      </c>
      <c r="S105">
        <v>31854.925000000003</v>
      </c>
      <c r="T105">
        <v>2589.9799999999996</v>
      </c>
      <c r="U105">
        <v>0</v>
      </c>
      <c r="V105" s="2" t="s">
        <v>2056</v>
      </c>
      <c r="W105" s="2" t="s">
        <v>2057</v>
      </c>
      <c r="X105">
        <v>21583.208299999998</v>
      </c>
      <c r="Y105">
        <v>0.13699973551970376</v>
      </c>
      <c r="Z105" s="2" t="s">
        <v>2061</v>
      </c>
    </row>
    <row r="106" spans="1:26" x14ac:dyDescent="0.3">
      <c r="A106" s="2" t="s">
        <v>253</v>
      </c>
      <c r="B106" s="1">
        <v>44963</v>
      </c>
      <c r="C106" s="2" t="s">
        <v>254</v>
      </c>
      <c r="D106" s="2" t="s">
        <v>76</v>
      </c>
      <c r="E106">
        <v>30398</v>
      </c>
      <c r="F106">
        <v>8.1999999999999993</v>
      </c>
      <c r="G106">
        <v>60</v>
      </c>
      <c r="H106" s="2" t="s">
        <v>19</v>
      </c>
      <c r="I106" s="2" t="s">
        <v>27</v>
      </c>
      <c r="J106" s="2" t="s">
        <v>28</v>
      </c>
      <c r="K106">
        <v>47374</v>
      </c>
      <c r="L106" s="2" t="s">
        <v>29</v>
      </c>
      <c r="M106">
        <v>0.18</v>
      </c>
      <c r="N106">
        <v>0.81</v>
      </c>
      <c r="O106">
        <v>32890.639999999999</v>
      </c>
      <c r="P106">
        <v>0</v>
      </c>
      <c r="Q106">
        <v>37</v>
      </c>
      <c r="R106">
        <v>12463.18</v>
      </c>
      <c r="S106">
        <v>42861.18</v>
      </c>
      <c r="T106">
        <v>2492.6399999999994</v>
      </c>
      <c r="U106">
        <v>0</v>
      </c>
      <c r="V106" s="2" t="s">
        <v>2056</v>
      </c>
      <c r="W106" s="2" t="s">
        <v>2060</v>
      </c>
      <c r="X106">
        <v>20771.966700000001</v>
      </c>
      <c r="Y106">
        <v>8.2000131587604427E-2</v>
      </c>
      <c r="Z106" s="2" t="s">
        <v>2058</v>
      </c>
    </row>
    <row r="107" spans="1:26" x14ac:dyDescent="0.3">
      <c r="A107" s="2" t="s">
        <v>255</v>
      </c>
      <c r="B107" s="1">
        <v>44594</v>
      </c>
      <c r="C107" s="2" t="s">
        <v>256</v>
      </c>
      <c r="D107" s="2" t="s">
        <v>50</v>
      </c>
      <c r="E107">
        <v>35268</v>
      </c>
      <c r="F107">
        <v>16.2</v>
      </c>
      <c r="G107">
        <v>36</v>
      </c>
      <c r="H107" s="2" t="s">
        <v>26</v>
      </c>
      <c r="I107" s="2" t="s">
        <v>20</v>
      </c>
      <c r="J107" s="2" t="s">
        <v>47</v>
      </c>
      <c r="K107">
        <v>106674</v>
      </c>
      <c r="L107" s="2" t="s">
        <v>29</v>
      </c>
      <c r="M107">
        <v>0.13</v>
      </c>
      <c r="N107">
        <v>0.62</v>
      </c>
      <c r="O107">
        <v>14139.59</v>
      </c>
      <c r="P107">
        <v>0</v>
      </c>
      <c r="Q107">
        <v>49</v>
      </c>
      <c r="R107">
        <v>17140.248</v>
      </c>
      <c r="S107">
        <v>52408.248</v>
      </c>
      <c r="T107">
        <v>-21128.41</v>
      </c>
      <c r="U107">
        <v>0</v>
      </c>
      <c r="V107" s="2" t="s">
        <v>2059</v>
      </c>
      <c r="W107" s="2" t="s">
        <v>2057</v>
      </c>
      <c r="X107">
        <v>47611.8</v>
      </c>
      <c r="Y107">
        <v>-0.59908160372008623</v>
      </c>
      <c r="Z107" s="2" t="s">
        <v>2061</v>
      </c>
    </row>
    <row r="108" spans="1:26" x14ac:dyDescent="0.3">
      <c r="A108" s="2" t="s">
        <v>257</v>
      </c>
      <c r="B108" s="1">
        <v>45067</v>
      </c>
      <c r="C108" s="2" t="s">
        <v>258</v>
      </c>
      <c r="D108" s="2" t="s">
        <v>56</v>
      </c>
      <c r="E108">
        <v>7737</v>
      </c>
      <c r="F108">
        <v>21.2</v>
      </c>
      <c r="G108">
        <v>60</v>
      </c>
      <c r="H108" s="2" t="s">
        <v>81</v>
      </c>
      <c r="I108" s="2" t="s">
        <v>57</v>
      </c>
      <c r="J108" s="2" t="s">
        <v>21</v>
      </c>
      <c r="K108">
        <v>146500</v>
      </c>
      <c r="L108" s="2" t="s">
        <v>33</v>
      </c>
      <c r="M108">
        <v>0.45</v>
      </c>
      <c r="N108">
        <v>0.78</v>
      </c>
      <c r="O108">
        <v>2593.27</v>
      </c>
      <c r="P108">
        <v>2439.15</v>
      </c>
      <c r="Q108">
        <v>33</v>
      </c>
      <c r="R108">
        <v>8201.2199999999993</v>
      </c>
      <c r="S108">
        <v>15938.22</v>
      </c>
      <c r="T108">
        <v>-2704.58</v>
      </c>
      <c r="U108">
        <v>1</v>
      </c>
      <c r="V108" s="2" t="s">
        <v>2063</v>
      </c>
      <c r="W108" s="2" t="s">
        <v>2057</v>
      </c>
      <c r="X108">
        <v>13668.7</v>
      </c>
      <c r="Y108">
        <v>-0.34956443065787773</v>
      </c>
      <c r="Z108" s="2" t="s">
        <v>2058</v>
      </c>
    </row>
    <row r="109" spans="1:26" x14ac:dyDescent="0.3">
      <c r="A109" s="2" t="s">
        <v>259</v>
      </c>
      <c r="B109" s="1">
        <v>44991</v>
      </c>
      <c r="C109" s="2" t="s">
        <v>260</v>
      </c>
      <c r="D109" s="2" t="s">
        <v>50</v>
      </c>
      <c r="E109">
        <v>37062</v>
      </c>
      <c r="F109">
        <v>19.8</v>
      </c>
      <c r="G109">
        <v>60</v>
      </c>
      <c r="H109" s="2" t="s">
        <v>81</v>
      </c>
      <c r="I109" s="2" t="s">
        <v>20</v>
      </c>
      <c r="J109" s="2" t="s">
        <v>28</v>
      </c>
      <c r="K109">
        <v>111471</v>
      </c>
      <c r="L109" s="2" t="s">
        <v>33</v>
      </c>
      <c r="M109">
        <v>0.27</v>
      </c>
      <c r="N109">
        <v>0.87</v>
      </c>
      <c r="O109">
        <v>9479.8700000000008</v>
      </c>
      <c r="P109">
        <v>13222.79</v>
      </c>
      <c r="Q109">
        <v>36</v>
      </c>
      <c r="R109">
        <v>36691.379999999997</v>
      </c>
      <c r="S109">
        <v>73753.38</v>
      </c>
      <c r="T109">
        <v>-14359.339999999997</v>
      </c>
      <c r="U109">
        <v>1</v>
      </c>
      <c r="V109" s="2" t="s">
        <v>2063</v>
      </c>
      <c r="W109" s="2" t="s">
        <v>2057</v>
      </c>
      <c r="X109">
        <v>61152.3</v>
      </c>
      <c r="Y109">
        <v>-0.38744104473584795</v>
      </c>
      <c r="Z109" s="2" t="s">
        <v>2058</v>
      </c>
    </row>
    <row r="110" spans="1:26" x14ac:dyDescent="0.3">
      <c r="A110" s="2" t="s">
        <v>261</v>
      </c>
      <c r="B110" s="1">
        <v>44589</v>
      </c>
      <c r="C110" s="2" t="s">
        <v>262</v>
      </c>
      <c r="D110" s="2" t="s">
        <v>46</v>
      </c>
      <c r="E110">
        <v>26510</v>
      </c>
      <c r="F110">
        <v>22.6</v>
      </c>
      <c r="G110">
        <v>36</v>
      </c>
      <c r="H110" s="2" t="s">
        <v>26</v>
      </c>
      <c r="I110" s="2" t="s">
        <v>20</v>
      </c>
      <c r="J110" s="2" t="s">
        <v>32</v>
      </c>
      <c r="K110">
        <v>75913</v>
      </c>
      <c r="L110" s="2" t="s">
        <v>22</v>
      </c>
      <c r="M110">
        <v>0.3</v>
      </c>
      <c r="N110">
        <v>0.59</v>
      </c>
      <c r="O110">
        <v>11560.44</v>
      </c>
      <c r="P110">
        <v>0</v>
      </c>
      <c r="Q110">
        <v>49</v>
      </c>
      <c r="R110">
        <v>17973.780000000002</v>
      </c>
      <c r="S110">
        <v>44483.78</v>
      </c>
      <c r="T110">
        <v>-14949.56</v>
      </c>
      <c r="U110">
        <v>0</v>
      </c>
      <c r="V110" s="2" t="s">
        <v>2059</v>
      </c>
      <c r="W110" s="2" t="s">
        <v>2057</v>
      </c>
      <c r="X110">
        <v>49927.166700000002</v>
      </c>
      <c r="Y110">
        <v>-0.56392153904187092</v>
      </c>
      <c r="Z110" s="2" t="s">
        <v>2061</v>
      </c>
    </row>
    <row r="111" spans="1:26" x14ac:dyDescent="0.3">
      <c r="A111" s="2" t="s">
        <v>263</v>
      </c>
      <c r="B111" s="1">
        <v>44403</v>
      </c>
      <c r="C111" s="2" t="s">
        <v>264</v>
      </c>
      <c r="D111" s="2" t="s">
        <v>56</v>
      </c>
      <c r="E111">
        <v>20426</v>
      </c>
      <c r="F111">
        <v>10.6</v>
      </c>
      <c r="G111">
        <v>36</v>
      </c>
      <c r="H111" s="2" t="s">
        <v>19</v>
      </c>
      <c r="I111" s="2" t="s">
        <v>73</v>
      </c>
      <c r="J111" s="2" t="s">
        <v>21</v>
      </c>
      <c r="K111">
        <v>96025</v>
      </c>
      <c r="L111" s="2" t="s">
        <v>33</v>
      </c>
      <c r="M111">
        <v>0.47</v>
      </c>
      <c r="N111">
        <v>0.91</v>
      </c>
      <c r="O111">
        <v>22591.16</v>
      </c>
      <c r="P111">
        <v>0</v>
      </c>
      <c r="Q111">
        <v>55</v>
      </c>
      <c r="R111">
        <v>6495.4679999999998</v>
      </c>
      <c r="S111">
        <v>26921.468000000001</v>
      </c>
      <c r="T111">
        <v>2165.16</v>
      </c>
      <c r="U111">
        <v>0</v>
      </c>
      <c r="V111" s="2" t="s">
        <v>2056</v>
      </c>
      <c r="W111" s="2" t="s">
        <v>2064</v>
      </c>
      <c r="X111">
        <v>18042.966700000001</v>
      </c>
      <c r="Y111">
        <v>0.10600019582884558</v>
      </c>
      <c r="Z111" s="2" t="s">
        <v>2058</v>
      </c>
    </row>
    <row r="112" spans="1:26" x14ac:dyDescent="0.3">
      <c r="A112" s="2" t="s">
        <v>265</v>
      </c>
      <c r="B112" s="1">
        <v>45235</v>
      </c>
      <c r="C112" s="2" t="s">
        <v>266</v>
      </c>
      <c r="D112" s="2" t="s">
        <v>18</v>
      </c>
      <c r="E112">
        <v>38265</v>
      </c>
      <c r="F112">
        <v>8.9</v>
      </c>
      <c r="G112">
        <v>60</v>
      </c>
      <c r="H112" s="2" t="s">
        <v>26</v>
      </c>
      <c r="I112" s="2" t="s">
        <v>36</v>
      </c>
      <c r="J112" s="2" t="s">
        <v>28</v>
      </c>
      <c r="K112">
        <v>74516</v>
      </c>
      <c r="L112" s="2" t="s">
        <v>29</v>
      </c>
      <c r="M112">
        <v>0.41</v>
      </c>
      <c r="N112">
        <v>0.75</v>
      </c>
      <c r="O112">
        <v>8652.49</v>
      </c>
      <c r="P112">
        <v>0</v>
      </c>
      <c r="Q112">
        <v>28</v>
      </c>
      <c r="R112">
        <v>17027.924999999999</v>
      </c>
      <c r="S112">
        <v>55292.925000000003</v>
      </c>
      <c r="T112">
        <v>-29612.510000000002</v>
      </c>
      <c r="U112">
        <v>0</v>
      </c>
      <c r="V112" s="2" t="s">
        <v>2059</v>
      </c>
      <c r="W112" s="2" t="s">
        <v>2062</v>
      </c>
      <c r="X112">
        <v>28379.875</v>
      </c>
      <c r="Y112">
        <v>-0.77387978570495231</v>
      </c>
      <c r="Z112" s="2" t="s">
        <v>2058</v>
      </c>
    </row>
    <row r="113" spans="1:26" x14ac:dyDescent="0.3">
      <c r="A113" s="2" t="s">
        <v>267</v>
      </c>
      <c r="B113" s="1">
        <v>45088</v>
      </c>
      <c r="C113" s="2" t="s">
        <v>268</v>
      </c>
      <c r="D113" s="2" t="s">
        <v>50</v>
      </c>
      <c r="E113">
        <v>18850</v>
      </c>
      <c r="F113">
        <v>22.6</v>
      </c>
      <c r="G113">
        <v>36</v>
      </c>
      <c r="H113" s="2" t="s">
        <v>26</v>
      </c>
      <c r="I113" s="2" t="s">
        <v>20</v>
      </c>
      <c r="J113" s="2" t="s">
        <v>47</v>
      </c>
      <c r="K113">
        <v>117796</v>
      </c>
      <c r="L113" s="2" t="s">
        <v>22</v>
      </c>
      <c r="M113">
        <v>0.15</v>
      </c>
      <c r="N113">
        <v>0.63</v>
      </c>
      <c r="O113">
        <v>8480.84</v>
      </c>
      <c r="P113">
        <v>0</v>
      </c>
      <c r="Q113">
        <v>33</v>
      </c>
      <c r="R113">
        <v>12780.300000000001</v>
      </c>
      <c r="S113">
        <v>31630.300000000003</v>
      </c>
      <c r="T113">
        <v>-10369.16</v>
      </c>
      <c r="U113">
        <v>0</v>
      </c>
      <c r="V113" s="2" t="s">
        <v>2059</v>
      </c>
      <c r="W113" s="2" t="s">
        <v>2057</v>
      </c>
      <c r="X113">
        <v>35500.833299999998</v>
      </c>
      <c r="Y113">
        <v>-0.55008806366047747</v>
      </c>
      <c r="Z113" s="2" t="s">
        <v>2061</v>
      </c>
    </row>
    <row r="114" spans="1:26" x14ac:dyDescent="0.3">
      <c r="A114" s="2" t="s">
        <v>269</v>
      </c>
      <c r="B114" s="1">
        <v>45060</v>
      </c>
      <c r="C114" s="2" t="s">
        <v>270</v>
      </c>
      <c r="D114" s="2" t="s">
        <v>72</v>
      </c>
      <c r="E114">
        <v>1614</v>
      </c>
      <c r="F114">
        <v>18.2</v>
      </c>
      <c r="G114">
        <v>36</v>
      </c>
      <c r="H114" s="2" t="s">
        <v>19</v>
      </c>
      <c r="I114" s="2" t="s">
        <v>57</v>
      </c>
      <c r="J114" s="2" t="s">
        <v>28</v>
      </c>
      <c r="K114">
        <v>56069</v>
      </c>
      <c r="L114" s="2" t="s">
        <v>29</v>
      </c>
      <c r="M114">
        <v>0.33</v>
      </c>
      <c r="N114">
        <v>0.69</v>
      </c>
      <c r="O114">
        <v>1907.75</v>
      </c>
      <c r="P114">
        <v>0</v>
      </c>
      <c r="Q114">
        <v>34</v>
      </c>
      <c r="R114">
        <v>881.24400000000003</v>
      </c>
      <c r="S114">
        <v>2495.2440000000001</v>
      </c>
      <c r="T114">
        <v>293.75</v>
      </c>
      <c r="U114">
        <v>0</v>
      </c>
      <c r="V114" s="2" t="s">
        <v>2056</v>
      </c>
      <c r="W114" s="2" t="s">
        <v>2057</v>
      </c>
      <c r="X114">
        <v>2447.9</v>
      </c>
      <c r="Y114">
        <v>0.18200123915737298</v>
      </c>
      <c r="Z114" s="2" t="s">
        <v>2061</v>
      </c>
    </row>
    <row r="115" spans="1:26" x14ac:dyDescent="0.3">
      <c r="A115" s="2" t="s">
        <v>271</v>
      </c>
      <c r="B115" s="1">
        <v>44939</v>
      </c>
      <c r="C115" s="2" t="s">
        <v>272</v>
      </c>
      <c r="D115" s="2" t="s">
        <v>76</v>
      </c>
      <c r="E115">
        <v>22776</v>
      </c>
      <c r="F115">
        <v>11.2</v>
      </c>
      <c r="G115">
        <v>60</v>
      </c>
      <c r="H115" s="2" t="s">
        <v>19</v>
      </c>
      <c r="I115" s="2" t="s">
        <v>27</v>
      </c>
      <c r="J115" s="2" t="s">
        <v>32</v>
      </c>
      <c r="K115">
        <v>148333</v>
      </c>
      <c r="L115" s="2" t="s">
        <v>29</v>
      </c>
      <c r="M115">
        <v>0.28000000000000003</v>
      </c>
      <c r="N115">
        <v>0.64</v>
      </c>
      <c r="O115">
        <v>25326.91</v>
      </c>
      <c r="P115">
        <v>0</v>
      </c>
      <c r="Q115">
        <v>38</v>
      </c>
      <c r="R115">
        <v>12754.56</v>
      </c>
      <c r="S115">
        <v>35530.559999999998</v>
      </c>
      <c r="T115">
        <v>2550.91</v>
      </c>
      <c r="U115">
        <v>0</v>
      </c>
      <c r="V115" s="2" t="s">
        <v>2056</v>
      </c>
      <c r="W115" s="2" t="s">
        <v>2060</v>
      </c>
      <c r="X115">
        <v>21257.599999999999</v>
      </c>
      <c r="Y115">
        <v>0.11199991218826835</v>
      </c>
      <c r="Z115" s="2" t="s">
        <v>2061</v>
      </c>
    </row>
    <row r="116" spans="1:26" x14ac:dyDescent="0.3">
      <c r="A116" s="2" t="s">
        <v>273</v>
      </c>
      <c r="B116" s="1">
        <v>44760</v>
      </c>
      <c r="C116" s="2" t="s">
        <v>274</v>
      </c>
      <c r="D116" s="2" t="s">
        <v>50</v>
      </c>
      <c r="E116">
        <v>25077</v>
      </c>
      <c r="F116">
        <v>19.8</v>
      </c>
      <c r="G116">
        <v>36</v>
      </c>
      <c r="H116" s="2" t="s">
        <v>81</v>
      </c>
      <c r="I116" s="2" t="s">
        <v>73</v>
      </c>
      <c r="J116" s="2" t="s">
        <v>21</v>
      </c>
      <c r="K116">
        <v>86233</v>
      </c>
      <c r="L116" s="2" t="s">
        <v>22</v>
      </c>
      <c r="M116">
        <v>0.42</v>
      </c>
      <c r="N116">
        <v>0.83</v>
      </c>
      <c r="O116">
        <v>4314.95</v>
      </c>
      <c r="P116">
        <v>11970.48</v>
      </c>
      <c r="Q116">
        <v>44</v>
      </c>
      <c r="R116">
        <v>14895.737999999999</v>
      </c>
      <c r="S116">
        <v>39972.737999999998</v>
      </c>
      <c r="T116">
        <v>-8791.57</v>
      </c>
      <c r="U116">
        <v>1</v>
      </c>
      <c r="V116" s="2" t="s">
        <v>2063</v>
      </c>
      <c r="W116" s="2" t="s">
        <v>2064</v>
      </c>
      <c r="X116">
        <v>41377.050000000003</v>
      </c>
      <c r="Y116">
        <v>-0.35058300434661244</v>
      </c>
      <c r="Z116" s="2" t="s">
        <v>2058</v>
      </c>
    </row>
    <row r="117" spans="1:26" x14ac:dyDescent="0.3">
      <c r="A117" s="2" t="s">
        <v>275</v>
      </c>
      <c r="B117" s="1">
        <v>45217</v>
      </c>
      <c r="C117" s="2" t="s">
        <v>276</v>
      </c>
      <c r="D117" s="2" t="s">
        <v>76</v>
      </c>
      <c r="E117">
        <v>10374</v>
      </c>
      <c r="F117">
        <v>21.3</v>
      </c>
      <c r="G117">
        <v>36</v>
      </c>
      <c r="H117" s="2" t="s">
        <v>19</v>
      </c>
      <c r="I117" s="2" t="s">
        <v>84</v>
      </c>
      <c r="J117" s="2" t="s">
        <v>21</v>
      </c>
      <c r="K117">
        <v>114811</v>
      </c>
      <c r="L117" s="2" t="s">
        <v>29</v>
      </c>
      <c r="M117">
        <v>0.39</v>
      </c>
      <c r="N117">
        <v>0.86</v>
      </c>
      <c r="O117">
        <v>12583.66</v>
      </c>
      <c r="P117">
        <v>0</v>
      </c>
      <c r="Q117">
        <v>29</v>
      </c>
      <c r="R117">
        <v>6628.9860000000008</v>
      </c>
      <c r="S117">
        <v>17002.986000000001</v>
      </c>
      <c r="T117">
        <v>2209.66</v>
      </c>
      <c r="U117">
        <v>0</v>
      </c>
      <c r="V117" s="2" t="s">
        <v>2056</v>
      </c>
      <c r="W117" s="2" t="s">
        <v>2062</v>
      </c>
      <c r="X117">
        <v>18413.849999999999</v>
      </c>
      <c r="Y117">
        <v>0.21299980721033351</v>
      </c>
      <c r="Z117" s="2" t="s">
        <v>2058</v>
      </c>
    </row>
    <row r="118" spans="1:26" x14ac:dyDescent="0.3">
      <c r="A118" s="2" t="s">
        <v>277</v>
      </c>
      <c r="B118" s="1">
        <v>44292</v>
      </c>
      <c r="C118" s="2" t="s">
        <v>278</v>
      </c>
      <c r="D118" s="2" t="s">
        <v>40</v>
      </c>
      <c r="E118">
        <v>36435</v>
      </c>
      <c r="F118">
        <v>17.3</v>
      </c>
      <c r="G118">
        <v>36</v>
      </c>
      <c r="H118" s="2" t="s">
        <v>19</v>
      </c>
      <c r="I118" s="2" t="s">
        <v>20</v>
      </c>
      <c r="J118" s="2" t="s">
        <v>21</v>
      </c>
      <c r="K118">
        <v>89049</v>
      </c>
      <c r="L118" s="2" t="s">
        <v>33</v>
      </c>
      <c r="M118">
        <v>0.38</v>
      </c>
      <c r="N118">
        <v>0.87</v>
      </c>
      <c r="O118">
        <v>42738.26</v>
      </c>
      <c r="P118">
        <v>0</v>
      </c>
      <c r="Q118">
        <v>59</v>
      </c>
      <c r="R118">
        <v>18909.764999999999</v>
      </c>
      <c r="S118">
        <v>55344.764999999999</v>
      </c>
      <c r="T118">
        <v>6303.260000000002</v>
      </c>
      <c r="U118">
        <v>0</v>
      </c>
      <c r="V118" s="2" t="s">
        <v>2056</v>
      </c>
      <c r="W118" s="2" t="s">
        <v>2057</v>
      </c>
      <c r="X118">
        <v>52527.125</v>
      </c>
      <c r="Y118">
        <v>0.17300013723068483</v>
      </c>
      <c r="Z118" s="2" t="s">
        <v>2058</v>
      </c>
    </row>
    <row r="119" spans="1:26" x14ac:dyDescent="0.3">
      <c r="A119" s="2" t="s">
        <v>279</v>
      </c>
      <c r="B119" s="1">
        <v>44681</v>
      </c>
      <c r="C119" s="2" t="s">
        <v>280</v>
      </c>
      <c r="D119" s="2" t="s">
        <v>46</v>
      </c>
      <c r="E119">
        <v>31907</v>
      </c>
      <c r="F119">
        <v>18.8</v>
      </c>
      <c r="G119">
        <v>36</v>
      </c>
      <c r="H119" s="2" t="s">
        <v>19</v>
      </c>
      <c r="I119" s="2" t="s">
        <v>36</v>
      </c>
      <c r="J119" s="2" t="s">
        <v>32</v>
      </c>
      <c r="K119">
        <v>131820</v>
      </c>
      <c r="L119" s="2" t="s">
        <v>29</v>
      </c>
      <c r="M119">
        <v>0.24</v>
      </c>
      <c r="N119">
        <v>0.94</v>
      </c>
      <c r="O119">
        <v>37905.519999999997</v>
      </c>
      <c r="P119">
        <v>0</v>
      </c>
      <c r="Q119">
        <v>46</v>
      </c>
      <c r="R119">
        <v>17995.547999999999</v>
      </c>
      <c r="S119">
        <v>49902.547999999995</v>
      </c>
      <c r="T119">
        <v>5998.5199999999968</v>
      </c>
      <c r="U119">
        <v>0</v>
      </c>
      <c r="V119" s="2" t="s">
        <v>2056</v>
      </c>
      <c r="W119" s="2" t="s">
        <v>2062</v>
      </c>
      <c r="X119">
        <v>49987.633300000001</v>
      </c>
      <c r="Y119">
        <v>0.18800012536434002</v>
      </c>
      <c r="Z119" s="2" t="s">
        <v>2058</v>
      </c>
    </row>
    <row r="120" spans="1:26" x14ac:dyDescent="0.3">
      <c r="A120" s="2" t="s">
        <v>281</v>
      </c>
      <c r="B120" s="1">
        <v>44427</v>
      </c>
      <c r="C120" s="2" t="s">
        <v>282</v>
      </c>
      <c r="D120" s="2" t="s">
        <v>76</v>
      </c>
      <c r="E120">
        <v>14409</v>
      </c>
      <c r="F120">
        <v>12.5</v>
      </c>
      <c r="G120">
        <v>36</v>
      </c>
      <c r="H120" s="2" t="s">
        <v>19</v>
      </c>
      <c r="I120" s="2" t="s">
        <v>57</v>
      </c>
      <c r="J120" s="2" t="s">
        <v>47</v>
      </c>
      <c r="K120">
        <v>148028</v>
      </c>
      <c r="L120" s="2" t="s">
        <v>22</v>
      </c>
      <c r="M120">
        <v>0.42</v>
      </c>
      <c r="N120">
        <v>0.86</v>
      </c>
      <c r="O120">
        <v>16210.12</v>
      </c>
      <c r="P120">
        <v>0</v>
      </c>
      <c r="Q120">
        <v>55</v>
      </c>
      <c r="R120">
        <v>5403.375</v>
      </c>
      <c r="S120">
        <v>19812.375</v>
      </c>
      <c r="T120">
        <v>1801.1200000000008</v>
      </c>
      <c r="U120">
        <v>0</v>
      </c>
      <c r="V120" s="2" t="s">
        <v>2056</v>
      </c>
      <c r="W120" s="2" t="s">
        <v>2057</v>
      </c>
      <c r="X120">
        <v>15009.375</v>
      </c>
      <c r="Y120">
        <v>0.12499965299465618</v>
      </c>
      <c r="Z120" s="2" t="s">
        <v>2058</v>
      </c>
    </row>
    <row r="121" spans="1:26" x14ac:dyDescent="0.3">
      <c r="A121" s="2" t="s">
        <v>283</v>
      </c>
      <c r="B121" s="1">
        <v>44945</v>
      </c>
      <c r="C121" s="2" t="s">
        <v>284</v>
      </c>
      <c r="D121" s="2" t="s">
        <v>40</v>
      </c>
      <c r="E121">
        <v>17514</v>
      </c>
      <c r="F121">
        <v>15.8</v>
      </c>
      <c r="G121">
        <v>60</v>
      </c>
      <c r="H121" s="2" t="s">
        <v>19</v>
      </c>
      <c r="I121" s="2" t="s">
        <v>57</v>
      </c>
      <c r="J121" s="2" t="s">
        <v>21</v>
      </c>
      <c r="K121">
        <v>69178</v>
      </c>
      <c r="L121" s="2" t="s">
        <v>22</v>
      </c>
      <c r="M121">
        <v>0.12</v>
      </c>
      <c r="N121">
        <v>0.77</v>
      </c>
      <c r="O121">
        <v>20281.21</v>
      </c>
      <c r="P121">
        <v>0</v>
      </c>
      <c r="Q121">
        <v>38</v>
      </c>
      <c r="R121">
        <v>13836.06</v>
      </c>
      <c r="S121">
        <v>31350.059999999998</v>
      </c>
      <c r="T121">
        <v>2767.2099999999991</v>
      </c>
      <c r="U121">
        <v>0</v>
      </c>
      <c r="V121" s="2" t="s">
        <v>2056</v>
      </c>
      <c r="W121" s="2" t="s">
        <v>2057</v>
      </c>
      <c r="X121">
        <v>23060.1</v>
      </c>
      <c r="Y121">
        <v>0.15799988580564114</v>
      </c>
      <c r="Z121" s="2" t="s">
        <v>2061</v>
      </c>
    </row>
    <row r="122" spans="1:26" x14ac:dyDescent="0.3">
      <c r="A122" s="2" t="s">
        <v>285</v>
      </c>
      <c r="B122" s="1">
        <v>44737</v>
      </c>
      <c r="C122" s="2" t="s">
        <v>286</v>
      </c>
      <c r="D122" s="2" t="s">
        <v>25</v>
      </c>
      <c r="E122">
        <v>30866</v>
      </c>
      <c r="F122">
        <v>15.5</v>
      </c>
      <c r="G122">
        <v>60</v>
      </c>
      <c r="H122" s="2" t="s">
        <v>26</v>
      </c>
      <c r="I122" s="2" t="s">
        <v>84</v>
      </c>
      <c r="J122" s="2" t="s">
        <v>47</v>
      </c>
      <c r="K122">
        <v>62821</v>
      </c>
      <c r="L122" s="2" t="s">
        <v>22</v>
      </c>
      <c r="M122">
        <v>0.16</v>
      </c>
      <c r="N122">
        <v>0.65</v>
      </c>
      <c r="O122">
        <v>5435.42</v>
      </c>
      <c r="P122">
        <v>0</v>
      </c>
      <c r="Q122">
        <v>44</v>
      </c>
      <c r="R122">
        <v>23921.149999999998</v>
      </c>
      <c r="S122">
        <v>54787.149999999994</v>
      </c>
      <c r="T122">
        <v>-25430.58</v>
      </c>
      <c r="U122">
        <v>0</v>
      </c>
      <c r="V122" s="2" t="s">
        <v>2059</v>
      </c>
      <c r="W122" s="2" t="s">
        <v>2062</v>
      </c>
      <c r="X122">
        <v>39868.583299999998</v>
      </c>
      <c r="Y122">
        <v>-0.82390267608371681</v>
      </c>
      <c r="Z122" s="2" t="s">
        <v>2061</v>
      </c>
    </row>
    <row r="123" spans="1:26" x14ac:dyDescent="0.3">
      <c r="A123" s="2" t="s">
        <v>287</v>
      </c>
      <c r="B123" s="1">
        <v>45256</v>
      </c>
      <c r="C123" s="2" t="s">
        <v>288</v>
      </c>
      <c r="D123" s="2" t="s">
        <v>40</v>
      </c>
      <c r="E123">
        <v>3983</v>
      </c>
      <c r="F123">
        <v>22</v>
      </c>
      <c r="G123">
        <v>36</v>
      </c>
      <c r="H123" s="2" t="s">
        <v>26</v>
      </c>
      <c r="I123" s="2" t="s">
        <v>73</v>
      </c>
      <c r="J123" s="2" t="s">
        <v>28</v>
      </c>
      <c r="K123">
        <v>81727</v>
      </c>
      <c r="L123" s="2" t="s">
        <v>29</v>
      </c>
      <c r="M123">
        <v>0.23</v>
      </c>
      <c r="N123">
        <v>0.75</v>
      </c>
      <c r="O123">
        <v>294.36</v>
      </c>
      <c r="P123">
        <v>0</v>
      </c>
      <c r="Q123">
        <v>27</v>
      </c>
      <c r="R123">
        <v>2628.78</v>
      </c>
      <c r="S123">
        <v>6611.7800000000007</v>
      </c>
      <c r="T123">
        <v>-3688.64</v>
      </c>
      <c r="U123">
        <v>0</v>
      </c>
      <c r="V123" s="2" t="s">
        <v>2059</v>
      </c>
      <c r="W123" s="2" t="s">
        <v>2064</v>
      </c>
      <c r="X123">
        <v>7302.1666999999998</v>
      </c>
      <c r="Y123">
        <v>-0.92609590760733107</v>
      </c>
      <c r="Z123" s="2" t="s">
        <v>2061</v>
      </c>
    </row>
    <row r="124" spans="1:26" x14ac:dyDescent="0.3">
      <c r="A124" s="2" t="s">
        <v>289</v>
      </c>
      <c r="B124" s="1">
        <v>44721</v>
      </c>
      <c r="C124" s="2" t="s">
        <v>290</v>
      </c>
      <c r="D124" s="2" t="s">
        <v>46</v>
      </c>
      <c r="E124">
        <v>32705</v>
      </c>
      <c r="F124">
        <v>21.8</v>
      </c>
      <c r="G124">
        <v>60</v>
      </c>
      <c r="H124" s="2" t="s">
        <v>19</v>
      </c>
      <c r="I124" s="2" t="s">
        <v>73</v>
      </c>
      <c r="J124" s="2" t="s">
        <v>47</v>
      </c>
      <c r="K124">
        <v>90935</v>
      </c>
      <c r="L124" s="2" t="s">
        <v>33</v>
      </c>
      <c r="M124">
        <v>0.13</v>
      </c>
      <c r="N124">
        <v>0.52</v>
      </c>
      <c r="O124">
        <v>39834.69</v>
      </c>
      <c r="P124">
        <v>0</v>
      </c>
      <c r="Q124">
        <v>45</v>
      </c>
      <c r="R124">
        <v>35648.449999999997</v>
      </c>
      <c r="S124">
        <v>68353.45</v>
      </c>
      <c r="T124">
        <v>7129.6900000000023</v>
      </c>
      <c r="U124">
        <v>0</v>
      </c>
      <c r="V124" s="2" t="s">
        <v>2056</v>
      </c>
      <c r="W124" s="2" t="s">
        <v>2064</v>
      </c>
      <c r="X124">
        <v>59414.083299999998</v>
      </c>
      <c r="Y124">
        <v>0.21800000000000008</v>
      </c>
      <c r="Z124" s="2" t="s">
        <v>2061</v>
      </c>
    </row>
    <row r="125" spans="1:26" x14ac:dyDescent="0.3">
      <c r="A125" s="2" t="s">
        <v>291</v>
      </c>
      <c r="B125" s="1">
        <v>44774</v>
      </c>
      <c r="C125" s="2" t="s">
        <v>292</v>
      </c>
      <c r="D125" s="2" t="s">
        <v>53</v>
      </c>
      <c r="E125">
        <v>21662</v>
      </c>
      <c r="F125">
        <v>21.7</v>
      </c>
      <c r="G125">
        <v>36</v>
      </c>
      <c r="H125" s="2" t="s">
        <v>81</v>
      </c>
      <c r="I125" s="2" t="s">
        <v>27</v>
      </c>
      <c r="J125" s="2" t="s">
        <v>47</v>
      </c>
      <c r="K125">
        <v>46999</v>
      </c>
      <c r="L125" s="2" t="s">
        <v>22</v>
      </c>
      <c r="M125">
        <v>0.19</v>
      </c>
      <c r="N125">
        <v>0.84</v>
      </c>
      <c r="O125">
        <v>7336.37</v>
      </c>
      <c r="P125">
        <v>1820.32</v>
      </c>
      <c r="Q125">
        <v>43</v>
      </c>
      <c r="R125">
        <v>14101.962</v>
      </c>
      <c r="S125">
        <v>35763.962</v>
      </c>
      <c r="T125">
        <v>-12505.31</v>
      </c>
      <c r="U125">
        <v>1</v>
      </c>
      <c r="V125" s="2" t="s">
        <v>2063</v>
      </c>
      <c r="W125" s="2" t="s">
        <v>2060</v>
      </c>
      <c r="X125">
        <v>39172.116699999999</v>
      </c>
      <c r="Y125">
        <v>-0.57729249376788849</v>
      </c>
      <c r="Z125" s="2" t="s">
        <v>2058</v>
      </c>
    </row>
    <row r="126" spans="1:26" x14ac:dyDescent="0.3">
      <c r="A126" s="2" t="s">
        <v>293</v>
      </c>
      <c r="B126" s="1">
        <v>44878</v>
      </c>
      <c r="C126" s="2" t="s">
        <v>294</v>
      </c>
      <c r="D126" s="2" t="s">
        <v>25</v>
      </c>
      <c r="E126">
        <v>24510</v>
      </c>
      <c r="F126">
        <v>5.2</v>
      </c>
      <c r="G126">
        <v>36</v>
      </c>
      <c r="H126" s="2" t="s">
        <v>19</v>
      </c>
      <c r="I126" s="2" t="s">
        <v>73</v>
      </c>
      <c r="J126" s="2" t="s">
        <v>21</v>
      </c>
      <c r="K126">
        <v>92522</v>
      </c>
      <c r="L126" s="2" t="s">
        <v>33</v>
      </c>
      <c r="M126">
        <v>0.43</v>
      </c>
      <c r="N126">
        <v>0.7</v>
      </c>
      <c r="O126">
        <v>25784.52</v>
      </c>
      <c r="P126">
        <v>0</v>
      </c>
      <c r="Q126">
        <v>40</v>
      </c>
      <c r="R126">
        <v>3823.56</v>
      </c>
      <c r="S126">
        <v>28333.56</v>
      </c>
      <c r="T126">
        <v>1274.5200000000004</v>
      </c>
      <c r="U126">
        <v>0</v>
      </c>
      <c r="V126" s="2" t="s">
        <v>2056</v>
      </c>
      <c r="W126" s="2" t="s">
        <v>2064</v>
      </c>
      <c r="X126">
        <v>10621.025</v>
      </c>
      <c r="Y126">
        <v>5.2000000000000018E-2</v>
      </c>
      <c r="Z126" s="2" t="s">
        <v>2058</v>
      </c>
    </row>
    <row r="127" spans="1:26" x14ac:dyDescent="0.3">
      <c r="A127" s="2" t="s">
        <v>295</v>
      </c>
      <c r="B127" s="1">
        <v>44753</v>
      </c>
      <c r="C127" s="2" t="s">
        <v>296</v>
      </c>
      <c r="D127" s="2" t="s">
        <v>18</v>
      </c>
      <c r="E127">
        <v>13651</v>
      </c>
      <c r="F127">
        <v>20</v>
      </c>
      <c r="G127">
        <v>36</v>
      </c>
      <c r="H127" s="2" t="s">
        <v>19</v>
      </c>
      <c r="I127" s="2" t="s">
        <v>20</v>
      </c>
      <c r="J127" s="2" t="s">
        <v>37</v>
      </c>
      <c r="K127">
        <v>68712</v>
      </c>
      <c r="L127" s="2" t="s">
        <v>22</v>
      </c>
      <c r="M127">
        <v>0.48</v>
      </c>
      <c r="N127">
        <v>0.51</v>
      </c>
      <c r="O127">
        <v>16381.2</v>
      </c>
      <c r="P127">
        <v>0</v>
      </c>
      <c r="Q127">
        <v>44</v>
      </c>
      <c r="R127">
        <v>8190.5999999999995</v>
      </c>
      <c r="S127">
        <v>21841.599999999999</v>
      </c>
      <c r="T127">
        <v>2730.2000000000007</v>
      </c>
      <c r="U127">
        <v>0</v>
      </c>
      <c r="V127" s="2" t="s">
        <v>2056</v>
      </c>
      <c r="W127" s="2" t="s">
        <v>2057</v>
      </c>
      <c r="X127">
        <v>22751.666700000002</v>
      </c>
      <c r="Y127">
        <v>0.20000000000000007</v>
      </c>
      <c r="Z127" s="2" t="s">
        <v>2058</v>
      </c>
    </row>
    <row r="128" spans="1:26" x14ac:dyDescent="0.3">
      <c r="A128" s="2" t="s">
        <v>297</v>
      </c>
      <c r="B128" s="1">
        <v>45209</v>
      </c>
      <c r="C128" s="2" t="s">
        <v>298</v>
      </c>
      <c r="D128" s="2" t="s">
        <v>65</v>
      </c>
      <c r="E128">
        <v>29535</v>
      </c>
      <c r="F128">
        <v>20.2</v>
      </c>
      <c r="G128">
        <v>36</v>
      </c>
      <c r="H128" s="2" t="s">
        <v>26</v>
      </c>
      <c r="I128" s="2" t="s">
        <v>27</v>
      </c>
      <c r="J128" s="2" t="s">
        <v>37</v>
      </c>
      <c r="K128">
        <v>94551</v>
      </c>
      <c r="L128" s="2" t="s">
        <v>33</v>
      </c>
      <c r="M128">
        <v>0.22</v>
      </c>
      <c r="N128">
        <v>0.53</v>
      </c>
      <c r="O128">
        <v>7019.73</v>
      </c>
      <c r="P128">
        <v>0</v>
      </c>
      <c r="Q128">
        <v>29</v>
      </c>
      <c r="R128">
        <v>17898.21</v>
      </c>
      <c r="S128">
        <v>47433.21</v>
      </c>
      <c r="T128">
        <v>-22515.27</v>
      </c>
      <c r="U128">
        <v>0</v>
      </c>
      <c r="V128" s="2" t="s">
        <v>2059</v>
      </c>
      <c r="W128" s="2" t="s">
        <v>2060</v>
      </c>
      <c r="X128">
        <v>49717.25</v>
      </c>
      <c r="Y128">
        <v>-0.7623250380904012</v>
      </c>
      <c r="Z128" s="2" t="s">
        <v>2061</v>
      </c>
    </row>
    <row r="129" spans="1:26" x14ac:dyDescent="0.3">
      <c r="A129" s="2" t="s">
        <v>299</v>
      </c>
      <c r="B129" s="1">
        <v>44842</v>
      </c>
      <c r="C129" s="2" t="s">
        <v>300</v>
      </c>
      <c r="D129" s="2" t="s">
        <v>40</v>
      </c>
      <c r="E129">
        <v>7640</v>
      </c>
      <c r="F129">
        <v>18.600000000000001</v>
      </c>
      <c r="G129">
        <v>36</v>
      </c>
      <c r="H129" s="2" t="s">
        <v>26</v>
      </c>
      <c r="I129" s="2" t="s">
        <v>20</v>
      </c>
      <c r="J129" s="2" t="s">
        <v>32</v>
      </c>
      <c r="K129">
        <v>70172</v>
      </c>
      <c r="L129" s="2" t="s">
        <v>33</v>
      </c>
      <c r="M129">
        <v>0.21</v>
      </c>
      <c r="N129">
        <v>0.67</v>
      </c>
      <c r="O129">
        <v>1169.7</v>
      </c>
      <c r="P129">
        <v>0</v>
      </c>
      <c r="Q129">
        <v>41</v>
      </c>
      <c r="R129">
        <v>4263.12</v>
      </c>
      <c r="S129">
        <v>11903.119999999999</v>
      </c>
      <c r="T129">
        <v>-6470.3</v>
      </c>
      <c r="U129">
        <v>0</v>
      </c>
      <c r="V129" s="2" t="s">
        <v>2059</v>
      </c>
      <c r="W129" s="2" t="s">
        <v>2057</v>
      </c>
      <c r="X129">
        <v>11842</v>
      </c>
      <c r="Y129">
        <v>-0.84689790575916235</v>
      </c>
      <c r="Z129" s="2" t="s">
        <v>2061</v>
      </c>
    </row>
    <row r="130" spans="1:26" x14ac:dyDescent="0.3">
      <c r="A130" s="2" t="s">
        <v>301</v>
      </c>
      <c r="B130" s="1">
        <v>44992</v>
      </c>
      <c r="C130" s="2" t="s">
        <v>302</v>
      </c>
      <c r="D130" s="2" t="s">
        <v>40</v>
      </c>
      <c r="E130">
        <v>16317</v>
      </c>
      <c r="F130">
        <v>20.100000000000001</v>
      </c>
      <c r="G130">
        <v>60</v>
      </c>
      <c r="H130" s="2" t="s">
        <v>26</v>
      </c>
      <c r="I130" s="2" t="s">
        <v>84</v>
      </c>
      <c r="J130" s="2" t="s">
        <v>32</v>
      </c>
      <c r="K130">
        <v>63722</v>
      </c>
      <c r="L130" s="2" t="s">
        <v>33</v>
      </c>
      <c r="M130">
        <v>0.21</v>
      </c>
      <c r="N130">
        <v>0.76</v>
      </c>
      <c r="O130">
        <v>2517.8000000000002</v>
      </c>
      <c r="P130">
        <v>0</v>
      </c>
      <c r="Q130">
        <v>36</v>
      </c>
      <c r="R130">
        <v>16398.585000000003</v>
      </c>
      <c r="S130">
        <v>32715.585000000003</v>
      </c>
      <c r="T130">
        <v>-13799.2</v>
      </c>
      <c r="U130">
        <v>0</v>
      </c>
      <c r="V130" s="2" t="s">
        <v>2059</v>
      </c>
      <c r="W130" s="2" t="s">
        <v>2062</v>
      </c>
      <c r="X130">
        <v>27330.974999999999</v>
      </c>
      <c r="Y130">
        <v>-0.8456946742661029</v>
      </c>
      <c r="Z130" s="2" t="s">
        <v>2061</v>
      </c>
    </row>
    <row r="131" spans="1:26" x14ac:dyDescent="0.3">
      <c r="A131" s="2" t="s">
        <v>303</v>
      </c>
      <c r="B131" s="1">
        <v>45248</v>
      </c>
      <c r="C131" s="2" t="s">
        <v>304</v>
      </c>
      <c r="D131" s="2" t="s">
        <v>76</v>
      </c>
      <c r="E131">
        <v>8564</v>
      </c>
      <c r="F131">
        <v>21.8</v>
      </c>
      <c r="G131">
        <v>60</v>
      </c>
      <c r="H131" s="2" t="s">
        <v>81</v>
      </c>
      <c r="I131" s="2" t="s">
        <v>41</v>
      </c>
      <c r="J131" s="2" t="s">
        <v>37</v>
      </c>
      <c r="K131">
        <v>40625</v>
      </c>
      <c r="L131" s="2" t="s">
        <v>22</v>
      </c>
      <c r="M131">
        <v>0.21</v>
      </c>
      <c r="N131">
        <v>0.71</v>
      </c>
      <c r="O131">
        <v>3172.28</v>
      </c>
      <c r="P131">
        <v>2148.21</v>
      </c>
      <c r="Q131">
        <v>28</v>
      </c>
      <c r="R131">
        <v>9334.76</v>
      </c>
      <c r="S131">
        <v>17898.760000000002</v>
      </c>
      <c r="T131">
        <v>-3243.51</v>
      </c>
      <c r="U131">
        <v>1</v>
      </c>
      <c r="V131" s="2" t="s">
        <v>2063</v>
      </c>
      <c r="W131" s="2" t="s">
        <v>2062</v>
      </c>
      <c r="X131">
        <v>15557.933300000001</v>
      </c>
      <c r="Y131">
        <v>-0.37873773937412425</v>
      </c>
      <c r="Z131" s="2" t="s">
        <v>2061</v>
      </c>
    </row>
    <row r="132" spans="1:26" x14ac:dyDescent="0.3">
      <c r="A132" s="2" t="s">
        <v>305</v>
      </c>
      <c r="B132" s="1">
        <v>44386</v>
      </c>
      <c r="C132" s="2" t="s">
        <v>306</v>
      </c>
      <c r="D132" s="2" t="s">
        <v>18</v>
      </c>
      <c r="E132">
        <v>28345</v>
      </c>
      <c r="F132">
        <v>14.4</v>
      </c>
      <c r="G132">
        <v>36</v>
      </c>
      <c r="H132" s="2" t="s">
        <v>26</v>
      </c>
      <c r="I132" s="2" t="s">
        <v>57</v>
      </c>
      <c r="J132" s="2" t="s">
        <v>28</v>
      </c>
      <c r="K132">
        <v>97165</v>
      </c>
      <c r="L132" s="2" t="s">
        <v>29</v>
      </c>
      <c r="M132">
        <v>0.11</v>
      </c>
      <c r="N132">
        <v>0.78</v>
      </c>
      <c r="O132">
        <v>12054.06</v>
      </c>
      <c r="P132">
        <v>0</v>
      </c>
      <c r="Q132">
        <v>56</v>
      </c>
      <c r="R132">
        <v>12245.039999999999</v>
      </c>
      <c r="S132">
        <v>40590.04</v>
      </c>
      <c r="T132">
        <v>-16290.94</v>
      </c>
      <c r="U132">
        <v>0</v>
      </c>
      <c r="V132" s="2" t="s">
        <v>2059</v>
      </c>
      <c r="W132" s="2" t="s">
        <v>2057</v>
      </c>
      <c r="X132">
        <v>34014</v>
      </c>
      <c r="Y132">
        <v>-0.57473769624272364</v>
      </c>
      <c r="Z132" s="2" t="s">
        <v>2061</v>
      </c>
    </row>
    <row r="133" spans="1:26" x14ac:dyDescent="0.3">
      <c r="A133" s="2" t="s">
        <v>307</v>
      </c>
      <c r="B133" s="1">
        <v>44829</v>
      </c>
      <c r="C133" s="2" t="s">
        <v>308</v>
      </c>
      <c r="D133" s="2" t="s">
        <v>50</v>
      </c>
      <c r="E133">
        <v>29687</v>
      </c>
      <c r="F133">
        <v>15</v>
      </c>
      <c r="G133">
        <v>60</v>
      </c>
      <c r="H133" s="2" t="s">
        <v>81</v>
      </c>
      <c r="I133" s="2" t="s">
        <v>57</v>
      </c>
      <c r="J133" s="2" t="s">
        <v>21</v>
      </c>
      <c r="K133">
        <v>106509</v>
      </c>
      <c r="L133" s="2" t="s">
        <v>29</v>
      </c>
      <c r="M133">
        <v>0.47</v>
      </c>
      <c r="N133">
        <v>0.72</v>
      </c>
      <c r="O133">
        <v>7898.5</v>
      </c>
      <c r="P133">
        <v>6839.85</v>
      </c>
      <c r="Q133">
        <v>41</v>
      </c>
      <c r="R133">
        <v>22265.25</v>
      </c>
      <c r="S133">
        <v>51952.25</v>
      </c>
      <c r="T133">
        <v>-14948.65</v>
      </c>
      <c r="U133">
        <v>1</v>
      </c>
      <c r="V133" s="2" t="s">
        <v>2063</v>
      </c>
      <c r="W133" s="2" t="s">
        <v>2057</v>
      </c>
      <c r="X133">
        <v>37108.75</v>
      </c>
      <c r="Y133">
        <v>-0.50354195439081073</v>
      </c>
      <c r="Z133" s="2" t="s">
        <v>2058</v>
      </c>
    </row>
    <row r="134" spans="1:26" x14ac:dyDescent="0.3">
      <c r="A134" s="2" t="s">
        <v>309</v>
      </c>
      <c r="B134" s="1">
        <v>44824</v>
      </c>
      <c r="C134" s="2" t="s">
        <v>310</v>
      </c>
      <c r="D134" s="2" t="s">
        <v>72</v>
      </c>
      <c r="E134">
        <v>14737</v>
      </c>
      <c r="F134">
        <v>7.5</v>
      </c>
      <c r="G134">
        <v>36</v>
      </c>
      <c r="H134" s="2" t="s">
        <v>19</v>
      </c>
      <c r="I134" s="2" t="s">
        <v>20</v>
      </c>
      <c r="J134" s="2" t="s">
        <v>21</v>
      </c>
      <c r="K134">
        <v>36859</v>
      </c>
      <c r="L134" s="2" t="s">
        <v>29</v>
      </c>
      <c r="M134">
        <v>0.19</v>
      </c>
      <c r="N134">
        <v>0.8</v>
      </c>
      <c r="O134">
        <v>15842.28</v>
      </c>
      <c r="P134">
        <v>0</v>
      </c>
      <c r="Q134">
        <v>41</v>
      </c>
      <c r="R134">
        <v>3315.8250000000003</v>
      </c>
      <c r="S134">
        <v>18052.825000000001</v>
      </c>
      <c r="T134">
        <v>1105.2800000000007</v>
      </c>
      <c r="U134">
        <v>0</v>
      </c>
      <c r="V134" s="2" t="s">
        <v>2056</v>
      </c>
      <c r="W134" s="2" t="s">
        <v>2057</v>
      </c>
      <c r="X134">
        <v>9210.6252000000004</v>
      </c>
      <c r="Y134">
        <v>7.5000339282079165E-2</v>
      </c>
      <c r="Z134" s="2" t="s">
        <v>2061</v>
      </c>
    </row>
    <row r="135" spans="1:26" x14ac:dyDescent="0.3">
      <c r="A135" s="2" t="s">
        <v>311</v>
      </c>
      <c r="B135" s="1">
        <v>45169</v>
      </c>
      <c r="C135" s="2" t="s">
        <v>312</v>
      </c>
      <c r="D135" s="2" t="s">
        <v>56</v>
      </c>
      <c r="E135">
        <v>10323</v>
      </c>
      <c r="F135">
        <v>12.7</v>
      </c>
      <c r="G135">
        <v>60</v>
      </c>
      <c r="H135" s="2" t="s">
        <v>26</v>
      </c>
      <c r="I135" s="2" t="s">
        <v>20</v>
      </c>
      <c r="J135" s="2" t="s">
        <v>28</v>
      </c>
      <c r="K135">
        <v>71609</v>
      </c>
      <c r="L135" s="2" t="s">
        <v>33</v>
      </c>
      <c r="M135">
        <v>0.27</v>
      </c>
      <c r="N135">
        <v>0.6</v>
      </c>
      <c r="O135">
        <v>3378.2</v>
      </c>
      <c r="P135">
        <v>0</v>
      </c>
      <c r="Q135">
        <v>30</v>
      </c>
      <c r="R135">
        <v>6555.1049999999996</v>
      </c>
      <c r="S135">
        <v>16878.105</v>
      </c>
      <c r="T135">
        <v>-6944.8</v>
      </c>
      <c r="U135">
        <v>0</v>
      </c>
      <c r="V135" s="2" t="s">
        <v>2059</v>
      </c>
      <c r="W135" s="2" t="s">
        <v>2057</v>
      </c>
      <c r="X135">
        <v>10925.174999999999</v>
      </c>
      <c r="Y135">
        <v>-0.67275016952436306</v>
      </c>
      <c r="Z135" s="2" t="s">
        <v>2061</v>
      </c>
    </row>
    <row r="136" spans="1:26" x14ac:dyDescent="0.3">
      <c r="A136" s="2" t="s">
        <v>313</v>
      </c>
      <c r="B136" s="1">
        <v>44906</v>
      </c>
      <c r="C136" s="2" t="s">
        <v>314</v>
      </c>
      <c r="D136" s="2" t="s">
        <v>40</v>
      </c>
      <c r="E136">
        <v>16229</v>
      </c>
      <c r="F136">
        <v>17.899999999999999</v>
      </c>
      <c r="G136">
        <v>36</v>
      </c>
      <c r="H136" s="2" t="s">
        <v>315</v>
      </c>
      <c r="I136" s="2" t="s">
        <v>36</v>
      </c>
      <c r="J136" s="2" t="s">
        <v>28</v>
      </c>
      <c r="K136">
        <v>73307</v>
      </c>
      <c r="L136" s="2" t="s">
        <v>22</v>
      </c>
      <c r="M136">
        <v>0.1</v>
      </c>
      <c r="N136">
        <v>0.55000000000000004</v>
      </c>
      <c r="O136">
        <v>0</v>
      </c>
      <c r="P136">
        <v>0</v>
      </c>
      <c r="Q136">
        <v>39</v>
      </c>
      <c r="R136">
        <v>8714.973</v>
      </c>
      <c r="S136">
        <v>24943.972999999998</v>
      </c>
      <c r="T136">
        <v>-16229</v>
      </c>
      <c r="U136">
        <v>0</v>
      </c>
      <c r="V136" s="2" t="s">
        <v>2063</v>
      </c>
      <c r="W136" s="2" t="s">
        <v>2062</v>
      </c>
      <c r="X136">
        <v>24208.258300000001</v>
      </c>
      <c r="Y136">
        <v>-1</v>
      </c>
      <c r="Z136" s="2" t="s">
        <v>2061</v>
      </c>
    </row>
    <row r="137" spans="1:26" x14ac:dyDescent="0.3">
      <c r="A137" s="2" t="s">
        <v>316</v>
      </c>
      <c r="B137" s="1">
        <v>44845</v>
      </c>
      <c r="C137" s="2" t="s">
        <v>317</v>
      </c>
      <c r="D137" s="2" t="s">
        <v>50</v>
      </c>
      <c r="E137">
        <v>9502</v>
      </c>
      <c r="F137">
        <v>20.6</v>
      </c>
      <c r="G137">
        <v>60</v>
      </c>
      <c r="H137" s="2" t="s">
        <v>26</v>
      </c>
      <c r="I137" s="2" t="s">
        <v>20</v>
      </c>
      <c r="J137" s="2" t="s">
        <v>37</v>
      </c>
      <c r="K137">
        <v>140986</v>
      </c>
      <c r="L137" s="2" t="s">
        <v>33</v>
      </c>
      <c r="M137">
        <v>0.44</v>
      </c>
      <c r="N137">
        <v>0.77</v>
      </c>
      <c r="O137">
        <v>2503.27</v>
      </c>
      <c r="P137">
        <v>0</v>
      </c>
      <c r="Q137">
        <v>41</v>
      </c>
      <c r="R137">
        <v>9787.06</v>
      </c>
      <c r="S137">
        <v>19289.059999999998</v>
      </c>
      <c r="T137">
        <v>-6998.73</v>
      </c>
      <c r="U137">
        <v>0</v>
      </c>
      <c r="V137" s="2" t="s">
        <v>2059</v>
      </c>
      <c r="W137" s="2" t="s">
        <v>2057</v>
      </c>
      <c r="X137">
        <v>16311.7667</v>
      </c>
      <c r="Y137">
        <v>-0.73655335718796033</v>
      </c>
      <c r="Z137" s="2" t="s">
        <v>2058</v>
      </c>
    </row>
    <row r="138" spans="1:26" x14ac:dyDescent="0.3">
      <c r="A138" s="2" t="s">
        <v>318</v>
      </c>
      <c r="B138" s="1">
        <v>44514</v>
      </c>
      <c r="C138" s="2" t="s">
        <v>319</v>
      </c>
      <c r="D138" s="2" t="s">
        <v>72</v>
      </c>
      <c r="E138">
        <v>1545</v>
      </c>
      <c r="F138">
        <v>9.3000000000000007</v>
      </c>
      <c r="G138">
        <v>36</v>
      </c>
      <c r="H138" s="2" t="s">
        <v>19</v>
      </c>
      <c r="I138" s="2" t="s">
        <v>57</v>
      </c>
      <c r="J138" s="2" t="s">
        <v>32</v>
      </c>
      <c r="K138">
        <v>131582</v>
      </c>
      <c r="L138" s="2" t="s">
        <v>22</v>
      </c>
      <c r="M138">
        <v>0.39</v>
      </c>
      <c r="N138">
        <v>0.72</v>
      </c>
      <c r="O138">
        <v>1688.68</v>
      </c>
      <c r="P138">
        <v>0</v>
      </c>
      <c r="Q138">
        <v>52</v>
      </c>
      <c r="R138">
        <v>431.05500000000006</v>
      </c>
      <c r="S138">
        <v>1976.0550000000001</v>
      </c>
      <c r="T138">
        <v>143.68000000000006</v>
      </c>
      <c r="U138">
        <v>0</v>
      </c>
      <c r="V138" s="2" t="s">
        <v>2056</v>
      </c>
      <c r="W138" s="2" t="s">
        <v>2057</v>
      </c>
      <c r="X138">
        <v>1197.375</v>
      </c>
      <c r="Y138">
        <v>9.299676375404535E-2</v>
      </c>
      <c r="Z138" s="2" t="s">
        <v>2061</v>
      </c>
    </row>
    <row r="139" spans="1:26" x14ac:dyDescent="0.3">
      <c r="A139" s="2" t="s">
        <v>320</v>
      </c>
      <c r="B139" s="1">
        <v>44880</v>
      </c>
      <c r="C139" s="2" t="s">
        <v>321</v>
      </c>
      <c r="D139" s="2" t="s">
        <v>56</v>
      </c>
      <c r="E139">
        <v>38114</v>
      </c>
      <c r="F139">
        <v>7.8</v>
      </c>
      <c r="G139">
        <v>36</v>
      </c>
      <c r="H139" s="2" t="s">
        <v>19</v>
      </c>
      <c r="I139" s="2" t="s">
        <v>84</v>
      </c>
      <c r="J139" s="2" t="s">
        <v>28</v>
      </c>
      <c r="K139">
        <v>51839</v>
      </c>
      <c r="L139" s="2" t="s">
        <v>33</v>
      </c>
      <c r="M139">
        <v>0.48</v>
      </c>
      <c r="N139">
        <v>0.51</v>
      </c>
      <c r="O139">
        <v>41086.89</v>
      </c>
      <c r="P139">
        <v>0</v>
      </c>
      <c r="Q139">
        <v>40</v>
      </c>
      <c r="R139">
        <v>8918.6760000000013</v>
      </c>
      <c r="S139">
        <v>47032.675999999999</v>
      </c>
      <c r="T139">
        <v>2972.8899999999994</v>
      </c>
      <c r="U139">
        <v>0</v>
      </c>
      <c r="V139" s="2" t="s">
        <v>2056</v>
      </c>
      <c r="W139" s="2" t="s">
        <v>2062</v>
      </c>
      <c r="X139">
        <v>24774.100399999999</v>
      </c>
      <c r="Y139">
        <v>7.7999947525843508E-2</v>
      </c>
      <c r="Z139" s="2" t="s">
        <v>2058</v>
      </c>
    </row>
    <row r="140" spans="1:26" x14ac:dyDescent="0.3">
      <c r="A140" s="2" t="s">
        <v>322</v>
      </c>
      <c r="B140" s="1">
        <v>44860</v>
      </c>
      <c r="C140" s="2" t="s">
        <v>323</v>
      </c>
      <c r="D140" s="2" t="s">
        <v>65</v>
      </c>
      <c r="E140">
        <v>30430</v>
      </c>
      <c r="F140">
        <v>18.3</v>
      </c>
      <c r="G140">
        <v>60</v>
      </c>
      <c r="H140" s="2" t="s">
        <v>26</v>
      </c>
      <c r="I140" s="2" t="s">
        <v>36</v>
      </c>
      <c r="J140" s="2" t="s">
        <v>32</v>
      </c>
      <c r="K140">
        <v>57216</v>
      </c>
      <c r="L140" s="2" t="s">
        <v>22</v>
      </c>
      <c r="M140">
        <v>0.41</v>
      </c>
      <c r="N140">
        <v>0.67</v>
      </c>
      <c r="O140">
        <v>6884.79</v>
      </c>
      <c r="P140">
        <v>0</v>
      </c>
      <c r="Q140">
        <v>40</v>
      </c>
      <c r="R140">
        <v>27843.449999999997</v>
      </c>
      <c r="S140">
        <v>58273.45</v>
      </c>
      <c r="T140">
        <v>-23545.21</v>
      </c>
      <c r="U140">
        <v>0</v>
      </c>
      <c r="V140" s="2" t="s">
        <v>2059</v>
      </c>
      <c r="W140" s="2" t="s">
        <v>2062</v>
      </c>
      <c r="X140">
        <v>46405.75</v>
      </c>
      <c r="Y140">
        <v>-0.77374991784423264</v>
      </c>
      <c r="Z140" s="2" t="s">
        <v>2058</v>
      </c>
    </row>
    <row r="141" spans="1:26" x14ac:dyDescent="0.3">
      <c r="A141" s="2" t="s">
        <v>324</v>
      </c>
      <c r="B141" s="1">
        <v>44638</v>
      </c>
      <c r="C141" s="2" t="s">
        <v>325</v>
      </c>
      <c r="D141" s="2" t="s">
        <v>76</v>
      </c>
      <c r="E141">
        <v>10996</v>
      </c>
      <c r="F141">
        <v>5</v>
      </c>
      <c r="G141">
        <v>60</v>
      </c>
      <c r="H141" s="2" t="s">
        <v>19</v>
      </c>
      <c r="I141" s="2" t="s">
        <v>73</v>
      </c>
      <c r="J141" s="2" t="s">
        <v>47</v>
      </c>
      <c r="K141">
        <v>82953</v>
      </c>
      <c r="L141" s="2" t="s">
        <v>22</v>
      </c>
      <c r="M141">
        <v>0.23</v>
      </c>
      <c r="N141">
        <v>0.55000000000000004</v>
      </c>
      <c r="O141">
        <v>11545.8</v>
      </c>
      <c r="P141">
        <v>0</v>
      </c>
      <c r="Q141">
        <v>48</v>
      </c>
      <c r="R141">
        <v>2749</v>
      </c>
      <c r="S141">
        <v>13745</v>
      </c>
      <c r="T141">
        <v>549.79999999999927</v>
      </c>
      <c r="U141">
        <v>0</v>
      </c>
      <c r="V141" s="2" t="s">
        <v>2056</v>
      </c>
      <c r="W141" s="2" t="s">
        <v>2064</v>
      </c>
      <c r="X141">
        <v>4581.6666999999998</v>
      </c>
      <c r="Y141">
        <v>4.9999999999999933E-2</v>
      </c>
      <c r="Z141" s="2" t="s">
        <v>2061</v>
      </c>
    </row>
    <row r="142" spans="1:26" x14ac:dyDescent="0.3">
      <c r="A142" s="2" t="s">
        <v>326</v>
      </c>
      <c r="B142" s="1">
        <v>44760</v>
      </c>
      <c r="C142" s="2" t="s">
        <v>327</v>
      </c>
      <c r="D142" s="2" t="s">
        <v>50</v>
      </c>
      <c r="E142">
        <v>28788</v>
      </c>
      <c r="F142">
        <v>8.6</v>
      </c>
      <c r="G142">
        <v>36</v>
      </c>
      <c r="H142" s="2" t="s">
        <v>60</v>
      </c>
      <c r="I142" s="2" t="s">
        <v>73</v>
      </c>
      <c r="J142" s="2" t="s">
        <v>21</v>
      </c>
      <c r="K142">
        <v>114481</v>
      </c>
      <c r="L142" s="2" t="s">
        <v>22</v>
      </c>
      <c r="M142">
        <v>0.2</v>
      </c>
      <c r="N142">
        <v>0.74</v>
      </c>
      <c r="O142">
        <v>0</v>
      </c>
      <c r="P142">
        <v>0</v>
      </c>
      <c r="Q142">
        <v>44</v>
      </c>
      <c r="R142">
        <v>7427.3040000000001</v>
      </c>
      <c r="S142">
        <v>36215.304000000004</v>
      </c>
      <c r="T142">
        <v>-28788</v>
      </c>
      <c r="U142">
        <v>0</v>
      </c>
      <c r="V142" s="2" t="s">
        <v>2063</v>
      </c>
      <c r="W142" s="2" t="s">
        <v>2064</v>
      </c>
      <c r="X142">
        <v>20631.400099999999</v>
      </c>
      <c r="Y142">
        <v>-1</v>
      </c>
      <c r="Z142" s="2" t="s">
        <v>2061</v>
      </c>
    </row>
    <row r="143" spans="1:26" x14ac:dyDescent="0.3">
      <c r="A143" s="2" t="s">
        <v>328</v>
      </c>
      <c r="B143" s="1">
        <v>45148</v>
      </c>
      <c r="C143" s="2" t="s">
        <v>329</v>
      </c>
      <c r="D143" s="2" t="s">
        <v>76</v>
      </c>
      <c r="E143">
        <v>30969</v>
      </c>
      <c r="F143">
        <v>5.6</v>
      </c>
      <c r="G143">
        <v>60</v>
      </c>
      <c r="H143" s="2" t="s">
        <v>19</v>
      </c>
      <c r="I143" s="2" t="s">
        <v>27</v>
      </c>
      <c r="J143" s="2" t="s">
        <v>37</v>
      </c>
      <c r="K143">
        <v>90593</v>
      </c>
      <c r="L143" s="2" t="s">
        <v>33</v>
      </c>
      <c r="M143">
        <v>0.38</v>
      </c>
      <c r="N143">
        <v>0.68</v>
      </c>
      <c r="O143">
        <v>32703.26</v>
      </c>
      <c r="P143">
        <v>0</v>
      </c>
      <c r="Q143">
        <v>31</v>
      </c>
      <c r="R143">
        <v>8671.32</v>
      </c>
      <c r="S143">
        <v>39640.32</v>
      </c>
      <c r="T143">
        <v>1734.2599999999984</v>
      </c>
      <c r="U143">
        <v>0</v>
      </c>
      <c r="V143" s="2" t="s">
        <v>2056</v>
      </c>
      <c r="W143" s="2" t="s">
        <v>2060</v>
      </c>
      <c r="X143">
        <v>14452.2</v>
      </c>
      <c r="Y143">
        <v>5.5999870838580462E-2</v>
      </c>
      <c r="Z143" s="2" t="s">
        <v>2061</v>
      </c>
    </row>
    <row r="144" spans="1:26" x14ac:dyDescent="0.3">
      <c r="A144" s="2" t="s">
        <v>330</v>
      </c>
      <c r="B144" s="1">
        <v>44895</v>
      </c>
      <c r="C144" s="2" t="s">
        <v>331</v>
      </c>
      <c r="D144" s="2" t="s">
        <v>56</v>
      </c>
      <c r="E144">
        <v>14919</v>
      </c>
      <c r="F144">
        <v>8.3000000000000007</v>
      </c>
      <c r="G144">
        <v>36</v>
      </c>
      <c r="H144" s="2" t="s">
        <v>19</v>
      </c>
      <c r="I144" s="2" t="s">
        <v>41</v>
      </c>
      <c r="J144" s="2" t="s">
        <v>21</v>
      </c>
      <c r="K144">
        <v>102075</v>
      </c>
      <c r="L144" s="2" t="s">
        <v>29</v>
      </c>
      <c r="M144">
        <v>0.25</v>
      </c>
      <c r="N144">
        <v>0.78</v>
      </c>
      <c r="O144">
        <v>16157.28</v>
      </c>
      <c r="P144">
        <v>0</v>
      </c>
      <c r="Q144">
        <v>39</v>
      </c>
      <c r="R144">
        <v>3714.8310000000001</v>
      </c>
      <c r="S144">
        <v>18633.830999999998</v>
      </c>
      <c r="T144">
        <v>1238.2800000000007</v>
      </c>
      <c r="U144">
        <v>0</v>
      </c>
      <c r="V144" s="2" t="s">
        <v>2056</v>
      </c>
      <c r="W144" s="2" t="s">
        <v>2062</v>
      </c>
      <c r="X144">
        <v>10318.9751</v>
      </c>
      <c r="Y144">
        <v>8.3000201085863715E-2</v>
      </c>
      <c r="Z144" s="2" t="s">
        <v>2061</v>
      </c>
    </row>
    <row r="145" spans="1:26" x14ac:dyDescent="0.3">
      <c r="A145" s="2" t="s">
        <v>332</v>
      </c>
      <c r="B145" s="1">
        <v>44309</v>
      </c>
      <c r="C145" s="2" t="s">
        <v>333</v>
      </c>
      <c r="D145" s="2" t="s">
        <v>53</v>
      </c>
      <c r="E145">
        <v>4810</v>
      </c>
      <c r="F145">
        <v>8.6</v>
      </c>
      <c r="G145">
        <v>60</v>
      </c>
      <c r="H145" s="2" t="s">
        <v>81</v>
      </c>
      <c r="I145" s="2" t="s">
        <v>73</v>
      </c>
      <c r="J145" s="2" t="s">
        <v>37</v>
      </c>
      <c r="K145">
        <v>79522</v>
      </c>
      <c r="L145" s="2" t="s">
        <v>33</v>
      </c>
      <c r="M145">
        <v>0.33</v>
      </c>
      <c r="N145">
        <v>0.86</v>
      </c>
      <c r="O145">
        <v>1802.03</v>
      </c>
      <c r="P145">
        <v>798.06</v>
      </c>
      <c r="Q145">
        <v>58</v>
      </c>
      <c r="R145">
        <v>2068.3000000000002</v>
      </c>
      <c r="S145">
        <v>6878.3</v>
      </c>
      <c r="T145">
        <v>-2209.91</v>
      </c>
      <c r="U145">
        <v>1</v>
      </c>
      <c r="V145" s="2" t="s">
        <v>2063</v>
      </c>
      <c r="W145" s="2" t="s">
        <v>2064</v>
      </c>
      <c r="X145">
        <v>3447.1667000000002</v>
      </c>
      <c r="Y145">
        <v>-0.45944074844074839</v>
      </c>
      <c r="Z145" s="2" t="s">
        <v>2058</v>
      </c>
    </row>
    <row r="146" spans="1:26" x14ac:dyDescent="0.3">
      <c r="A146" s="2" t="s">
        <v>334</v>
      </c>
      <c r="B146" s="1">
        <v>44198</v>
      </c>
      <c r="C146" s="2" t="s">
        <v>335</v>
      </c>
      <c r="D146" s="2" t="s">
        <v>40</v>
      </c>
      <c r="E146">
        <v>31586</v>
      </c>
      <c r="F146">
        <v>12.8</v>
      </c>
      <c r="G146">
        <v>60</v>
      </c>
      <c r="H146" s="2" t="s">
        <v>19</v>
      </c>
      <c r="I146" s="2" t="s">
        <v>73</v>
      </c>
      <c r="J146" s="2" t="s">
        <v>47</v>
      </c>
      <c r="K146">
        <v>129161</v>
      </c>
      <c r="L146" s="2" t="s">
        <v>33</v>
      </c>
      <c r="M146">
        <v>0.1</v>
      </c>
      <c r="N146">
        <v>0.63</v>
      </c>
      <c r="O146">
        <v>35629.01</v>
      </c>
      <c r="P146">
        <v>0</v>
      </c>
      <c r="Q146">
        <v>62</v>
      </c>
      <c r="R146">
        <v>20215.04</v>
      </c>
      <c r="S146">
        <v>51801.04</v>
      </c>
      <c r="T146">
        <v>4043.010000000002</v>
      </c>
      <c r="U146">
        <v>0</v>
      </c>
      <c r="V146" s="2" t="s">
        <v>2056</v>
      </c>
      <c r="W146" s="2" t="s">
        <v>2064</v>
      </c>
      <c r="X146">
        <v>33691.7333</v>
      </c>
      <c r="Y146">
        <v>0.12800006331919211</v>
      </c>
      <c r="Z146" s="2" t="s">
        <v>2061</v>
      </c>
    </row>
    <row r="147" spans="1:26" x14ac:dyDescent="0.3">
      <c r="A147" s="2" t="s">
        <v>336</v>
      </c>
      <c r="B147" s="1">
        <v>44838</v>
      </c>
      <c r="C147" s="2" t="s">
        <v>337</v>
      </c>
      <c r="D147" s="2" t="s">
        <v>25</v>
      </c>
      <c r="E147">
        <v>17371</v>
      </c>
      <c r="F147">
        <v>13</v>
      </c>
      <c r="G147">
        <v>36</v>
      </c>
      <c r="H147" s="2" t="s">
        <v>19</v>
      </c>
      <c r="I147" s="2" t="s">
        <v>20</v>
      </c>
      <c r="J147" s="2" t="s">
        <v>21</v>
      </c>
      <c r="K147">
        <v>34886</v>
      </c>
      <c r="L147" s="2" t="s">
        <v>22</v>
      </c>
      <c r="M147">
        <v>0.12</v>
      </c>
      <c r="N147">
        <v>0.93</v>
      </c>
      <c r="O147">
        <v>19629.23</v>
      </c>
      <c r="P147">
        <v>0</v>
      </c>
      <c r="Q147">
        <v>41</v>
      </c>
      <c r="R147">
        <v>6774.69</v>
      </c>
      <c r="S147">
        <v>24145.69</v>
      </c>
      <c r="T147">
        <v>2258.2299999999996</v>
      </c>
      <c r="U147">
        <v>0</v>
      </c>
      <c r="V147" s="2" t="s">
        <v>2056</v>
      </c>
      <c r="W147" s="2" t="s">
        <v>2057</v>
      </c>
      <c r="X147">
        <v>18818.583299999998</v>
      </c>
      <c r="Y147">
        <v>0.12999999999999998</v>
      </c>
      <c r="Z147" s="2" t="s">
        <v>2058</v>
      </c>
    </row>
    <row r="148" spans="1:26" x14ac:dyDescent="0.3">
      <c r="A148" s="2" t="s">
        <v>338</v>
      </c>
      <c r="B148" s="1">
        <v>44416</v>
      </c>
      <c r="C148" s="2" t="s">
        <v>339</v>
      </c>
      <c r="D148" s="2" t="s">
        <v>72</v>
      </c>
      <c r="E148">
        <v>30629</v>
      </c>
      <c r="F148">
        <v>22.5</v>
      </c>
      <c r="G148">
        <v>60</v>
      </c>
      <c r="H148" s="2" t="s">
        <v>26</v>
      </c>
      <c r="I148" s="2" t="s">
        <v>20</v>
      </c>
      <c r="J148" s="2" t="s">
        <v>47</v>
      </c>
      <c r="K148">
        <v>141249</v>
      </c>
      <c r="L148" s="2" t="s">
        <v>22</v>
      </c>
      <c r="M148">
        <v>0.31</v>
      </c>
      <c r="N148">
        <v>0.74</v>
      </c>
      <c r="O148">
        <v>3262.78</v>
      </c>
      <c r="P148">
        <v>0</v>
      </c>
      <c r="Q148">
        <v>55</v>
      </c>
      <c r="R148">
        <v>34457.625</v>
      </c>
      <c r="S148">
        <v>65086.625</v>
      </c>
      <c r="T148">
        <v>-27366.22</v>
      </c>
      <c r="U148">
        <v>0</v>
      </c>
      <c r="V148" s="2" t="s">
        <v>2059</v>
      </c>
      <c r="W148" s="2" t="s">
        <v>2057</v>
      </c>
      <c r="X148">
        <v>57429.375</v>
      </c>
      <c r="Y148">
        <v>-0.89347415847726019</v>
      </c>
      <c r="Z148" s="2" t="s">
        <v>2061</v>
      </c>
    </row>
    <row r="149" spans="1:26" x14ac:dyDescent="0.3">
      <c r="A149" s="2" t="s">
        <v>340</v>
      </c>
      <c r="B149" s="1">
        <v>45051</v>
      </c>
      <c r="C149" s="2" t="s">
        <v>341</v>
      </c>
      <c r="D149" s="2" t="s">
        <v>18</v>
      </c>
      <c r="E149">
        <v>9436</v>
      </c>
      <c r="F149">
        <v>15.2</v>
      </c>
      <c r="G149">
        <v>60</v>
      </c>
      <c r="H149" s="2" t="s">
        <v>26</v>
      </c>
      <c r="I149" s="2" t="s">
        <v>73</v>
      </c>
      <c r="J149" s="2" t="s">
        <v>37</v>
      </c>
      <c r="K149">
        <v>37485</v>
      </c>
      <c r="L149" s="2" t="s">
        <v>29</v>
      </c>
      <c r="M149">
        <v>0.33</v>
      </c>
      <c r="N149">
        <v>0.78</v>
      </c>
      <c r="O149">
        <v>2248.61</v>
      </c>
      <c r="P149">
        <v>0</v>
      </c>
      <c r="Q149">
        <v>34</v>
      </c>
      <c r="R149">
        <v>7171.36</v>
      </c>
      <c r="S149">
        <v>16607.36</v>
      </c>
      <c r="T149">
        <v>-7187.3899999999994</v>
      </c>
      <c r="U149">
        <v>0</v>
      </c>
      <c r="V149" s="2" t="s">
        <v>2059</v>
      </c>
      <c r="W149" s="2" t="s">
        <v>2064</v>
      </c>
      <c r="X149">
        <v>11952.2667</v>
      </c>
      <c r="Y149">
        <v>-0.76169881305637976</v>
      </c>
      <c r="Z149" s="2" t="s">
        <v>2061</v>
      </c>
    </row>
    <row r="150" spans="1:26" x14ac:dyDescent="0.3">
      <c r="A150" s="2" t="s">
        <v>342</v>
      </c>
      <c r="B150" s="1">
        <v>44581</v>
      </c>
      <c r="C150" s="2" t="s">
        <v>343</v>
      </c>
      <c r="D150" s="2" t="s">
        <v>46</v>
      </c>
      <c r="E150">
        <v>13984</v>
      </c>
      <c r="F150">
        <v>19.5</v>
      </c>
      <c r="G150">
        <v>36</v>
      </c>
      <c r="H150" s="2" t="s">
        <v>19</v>
      </c>
      <c r="I150" s="2" t="s">
        <v>36</v>
      </c>
      <c r="J150" s="2" t="s">
        <v>28</v>
      </c>
      <c r="K150">
        <v>61455</v>
      </c>
      <c r="L150" s="2" t="s">
        <v>29</v>
      </c>
      <c r="M150">
        <v>0.4</v>
      </c>
      <c r="N150">
        <v>0.81</v>
      </c>
      <c r="O150">
        <v>16710.88</v>
      </c>
      <c r="P150">
        <v>0</v>
      </c>
      <c r="Q150">
        <v>49</v>
      </c>
      <c r="R150">
        <v>8180.64</v>
      </c>
      <c r="S150">
        <v>22164.639999999999</v>
      </c>
      <c r="T150">
        <v>2726.880000000001</v>
      </c>
      <c r="U150">
        <v>0</v>
      </c>
      <c r="V150" s="2" t="s">
        <v>2056</v>
      </c>
      <c r="W150" s="2" t="s">
        <v>2062</v>
      </c>
      <c r="X150">
        <v>22724</v>
      </c>
      <c r="Y150">
        <v>0.19500000000000006</v>
      </c>
      <c r="Z150" s="2" t="s">
        <v>2058</v>
      </c>
    </row>
    <row r="151" spans="1:26" x14ac:dyDescent="0.3">
      <c r="A151" s="2" t="s">
        <v>344</v>
      </c>
      <c r="B151" s="1">
        <v>45273</v>
      </c>
      <c r="C151" s="2" t="s">
        <v>345</v>
      </c>
      <c r="D151" s="2" t="s">
        <v>40</v>
      </c>
      <c r="E151">
        <v>34039</v>
      </c>
      <c r="F151">
        <v>7.1</v>
      </c>
      <c r="G151">
        <v>60</v>
      </c>
      <c r="H151" s="2" t="s">
        <v>60</v>
      </c>
      <c r="I151" s="2" t="s">
        <v>84</v>
      </c>
      <c r="J151" s="2" t="s">
        <v>21</v>
      </c>
      <c r="K151">
        <v>141984</v>
      </c>
      <c r="L151" s="2" t="s">
        <v>22</v>
      </c>
      <c r="M151">
        <v>0.15</v>
      </c>
      <c r="N151">
        <v>0.8</v>
      </c>
      <c r="O151">
        <v>0</v>
      </c>
      <c r="P151">
        <v>0</v>
      </c>
      <c r="Q151">
        <v>27</v>
      </c>
      <c r="R151">
        <v>12083.844999999999</v>
      </c>
      <c r="S151">
        <v>46122.845000000001</v>
      </c>
      <c r="T151">
        <v>-34039</v>
      </c>
      <c r="U151">
        <v>0</v>
      </c>
      <c r="V151" s="2" t="s">
        <v>2063</v>
      </c>
      <c r="W151" s="2" t="s">
        <v>2062</v>
      </c>
      <c r="X151">
        <v>20139.741699999999</v>
      </c>
      <c r="Y151">
        <v>-1</v>
      </c>
      <c r="Z151" s="2" t="s">
        <v>2061</v>
      </c>
    </row>
    <row r="152" spans="1:26" x14ac:dyDescent="0.3">
      <c r="A152" s="2" t="s">
        <v>346</v>
      </c>
      <c r="B152" s="1">
        <v>44926</v>
      </c>
      <c r="C152" s="2" t="s">
        <v>347</v>
      </c>
      <c r="D152" s="2" t="s">
        <v>25</v>
      </c>
      <c r="E152">
        <v>20895</v>
      </c>
      <c r="F152">
        <v>9.5</v>
      </c>
      <c r="G152">
        <v>36</v>
      </c>
      <c r="H152" s="2" t="s">
        <v>19</v>
      </c>
      <c r="I152" s="2" t="s">
        <v>41</v>
      </c>
      <c r="J152" s="2" t="s">
        <v>47</v>
      </c>
      <c r="K152">
        <v>46767</v>
      </c>
      <c r="L152" s="2" t="s">
        <v>29</v>
      </c>
      <c r="M152">
        <v>0.31</v>
      </c>
      <c r="N152">
        <v>0.73</v>
      </c>
      <c r="O152">
        <v>22880.02</v>
      </c>
      <c r="P152">
        <v>0</v>
      </c>
      <c r="Q152">
        <v>38</v>
      </c>
      <c r="R152">
        <v>5955.0750000000007</v>
      </c>
      <c r="S152">
        <v>26850.075000000001</v>
      </c>
      <c r="T152">
        <v>1985.0200000000004</v>
      </c>
      <c r="U152">
        <v>0</v>
      </c>
      <c r="V152" s="2" t="s">
        <v>2056</v>
      </c>
      <c r="W152" s="2" t="s">
        <v>2062</v>
      </c>
      <c r="X152">
        <v>16541.875</v>
      </c>
      <c r="Y152">
        <v>9.4999760708303446E-2</v>
      </c>
      <c r="Z152" s="2" t="s">
        <v>2061</v>
      </c>
    </row>
    <row r="153" spans="1:26" x14ac:dyDescent="0.3">
      <c r="A153" s="2" t="s">
        <v>348</v>
      </c>
      <c r="B153" s="1">
        <v>44443</v>
      </c>
      <c r="C153" s="2" t="s">
        <v>349</v>
      </c>
      <c r="D153" s="2" t="s">
        <v>46</v>
      </c>
      <c r="E153">
        <v>19155</v>
      </c>
      <c r="F153">
        <v>19.100000000000001</v>
      </c>
      <c r="G153">
        <v>36</v>
      </c>
      <c r="H153" s="2" t="s">
        <v>26</v>
      </c>
      <c r="I153" s="2" t="s">
        <v>73</v>
      </c>
      <c r="J153" s="2" t="s">
        <v>21</v>
      </c>
      <c r="K153">
        <v>142701</v>
      </c>
      <c r="L153" s="2" t="s">
        <v>29</v>
      </c>
      <c r="M153">
        <v>0.18</v>
      </c>
      <c r="N153">
        <v>0.69</v>
      </c>
      <c r="O153">
        <v>3927.79</v>
      </c>
      <c r="P153">
        <v>0</v>
      </c>
      <c r="Q153">
        <v>54</v>
      </c>
      <c r="R153">
        <v>10975.815000000001</v>
      </c>
      <c r="S153">
        <v>30130.815000000002</v>
      </c>
      <c r="T153">
        <v>-15227.21</v>
      </c>
      <c r="U153">
        <v>0</v>
      </c>
      <c r="V153" s="2" t="s">
        <v>2059</v>
      </c>
      <c r="W153" s="2" t="s">
        <v>2064</v>
      </c>
      <c r="X153">
        <v>30488.375</v>
      </c>
      <c r="Y153">
        <v>-0.7949470112242234</v>
      </c>
      <c r="Z153" s="2" t="s">
        <v>2061</v>
      </c>
    </row>
    <row r="154" spans="1:26" x14ac:dyDescent="0.3">
      <c r="A154" s="2" t="s">
        <v>350</v>
      </c>
      <c r="B154" s="1">
        <v>45032</v>
      </c>
      <c r="C154" s="2" t="s">
        <v>351</v>
      </c>
      <c r="D154" s="2" t="s">
        <v>50</v>
      </c>
      <c r="E154">
        <v>11616</v>
      </c>
      <c r="F154">
        <v>6.1</v>
      </c>
      <c r="G154">
        <v>36</v>
      </c>
      <c r="H154" s="2" t="s">
        <v>19</v>
      </c>
      <c r="I154" s="2" t="s">
        <v>84</v>
      </c>
      <c r="J154" s="2" t="s">
        <v>21</v>
      </c>
      <c r="K154">
        <v>58453</v>
      </c>
      <c r="L154" s="2" t="s">
        <v>22</v>
      </c>
      <c r="M154">
        <v>0.14000000000000001</v>
      </c>
      <c r="N154">
        <v>0.52</v>
      </c>
      <c r="O154">
        <v>12324.58</v>
      </c>
      <c r="P154">
        <v>0</v>
      </c>
      <c r="Q154">
        <v>35</v>
      </c>
      <c r="R154">
        <v>2125.7279999999996</v>
      </c>
      <c r="S154">
        <v>13741.727999999999</v>
      </c>
      <c r="T154">
        <v>708.57999999999993</v>
      </c>
      <c r="U154">
        <v>0</v>
      </c>
      <c r="V154" s="2" t="s">
        <v>2056</v>
      </c>
      <c r="W154" s="2" t="s">
        <v>2062</v>
      </c>
      <c r="X154">
        <v>5904.8022000000001</v>
      </c>
      <c r="Y154">
        <v>6.1000344352617072E-2</v>
      </c>
      <c r="Z154" s="2" t="s">
        <v>2061</v>
      </c>
    </row>
    <row r="155" spans="1:26" x14ac:dyDescent="0.3">
      <c r="A155" s="2" t="s">
        <v>352</v>
      </c>
      <c r="B155" s="1">
        <v>44399</v>
      </c>
      <c r="C155" s="2" t="s">
        <v>353</v>
      </c>
      <c r="D155" s="2" t="s">
        <v>46</v>
      </c>
      <c r="E155">
        <v>38129</v>
      </c>
      <c r="F155">
        <v>14.7</v>
      </c>
      <c r="G155">
        <v>36</v>
      </c>
      <c r="H155" s="2" t="s">
        <v>26</v>
      </c>
      <c r="I155" s="2" t="s">
        <v>84</v>
      </c>
      <c r="J155" s="2" t="s">
        <v>21</v>
      </c>
      <c r="K155">
        <v>106280</v>
      </c>
      <c r="L155" s="2" t="s">
        <v>33</v>
      </c>
      <c r="M155">
        <v>0.26</v>
      </c>
      <c r="N155">
        <v>0.51</v>
      </c>
      <c r="O155">
        <v>10453.74</v>
      </c>
      <c r="P155">
        <v>0</v>
      </c>
      <c r="Q155">
        <v>55</v>
      </c>
      <c r="R155">
        <v>16814.888999999999</v>
      </c>
      <c r="S155">
        <v>54943.888999999996</v>
      </c>
      <c r="T155">
        <v>-27675.260000000002</v>
      </c>
      <c r="U155">
        <v>0</v>
      </c>
      <c r="V155" s="2" t="s">
        <v>2059</v>
      </c>
      <c r="W155" s="2" t="s">
        <v>2062</v>
      </c>
      <c r="X155">
        <v>46708.025000000001</v>
      </c>
      <c r="Y155">
        <v>-0.72583230611870231</v>
      </c>
      <c r="Z155" s="2" t="s">
        <v>2061</v>
      </c>
    </row>
    <row r="156" spans="1:26" x14ac:dyDescent="0.3">
      <c r="A156" s="2" t="s">
        <v>354</v>
      </c>
      <c r="B156" s="1">
        <v>44319</v>
      </c>
      <c r="C156" s="2" t="s">
        <v>355</v>
      </c>
      <c r="D156" s="2" t="s">
        <v>65</v>
      </c>
      <c r="E156">
        <v>25574</v>
      </c>
      <c r="F156">
        <v>17</v>
      </c>
      <c r="G156">
        <v>36</v>
      </c>
      <c r="H156" s="2" t="s">
        <v>19</v>
      </c>
      <c r="I156" s="2" t="s">
        <v>27</v>
      </c>
      <c r="J156" s="2" t="s">
        <v>32</v>
      </c>
      <c r="K156">
        <v>132638</v>
      </c>
      <c r="L156" s="2" t="s">
        <v>29</v>
      </c>
      <c r="M156">
        <v>0.17</v>
      </c>
      <c r="N156">
        <v>0.66</v>
      </c>
      <c r="O156">
        <v>29921.58</v>
      </c>
      <c r="P156">
        <v>0</v>
      </c>
      <c r="Q156">
        <v>58</v>
      </c>
      <c r="R156">
        <v>13042.74</v>
      </c>
      <c r="S156">
        <v>38616.74</v>
      </c>
      <c r="T156">
        <v>4347.5800000000017</v>
      </c>
      <c r="U156">
        <v>0</v>
      </c>
      <c r="V156" s="2" t="s">
        <v>2056</v>
      </c>
      <c r="W156" s="2" t="s">
        <v>2060</v>
      </c>
      <c r="X156">
        <v>36229.833299999998</v>
      </c>
      <c r="Y156">
        <v>0.17000000000000007</v>
      </c>
      <c r="Z156" s="2" t="s">
        <v>2061</v>
      </c>
    </row>
    <row r="157" spans="1:26" x14ac:dyDescent="0.3">
      <c r="A157" s="2" t="s">
        <v>356</v>
      </c>
      <c r="B157" s="1">
        <v>44597</v>
      </c>
      <c r="C157" s="2" t="s">
        <v>357</v>
      </c>
      <c r="D157" s="2" t="s">
        <v>40</v>
      </c>
      <c r="E157">
        <v>4430</v>
      </c>
      <c r="F157">
        <v>17</v>
      </c>
      <c r="G157">
        <v>60</v>
      </c>
      <c r="H157" s="2" t="s">
        <v>19</v>
      </c>
      <c r="I157" s="2" t="s">
        <v>57</v>
      </c>
      <c r="J157" s="2" t="s">
        <v>47</v>
      </c>
      <c r="K157">
        <v>83442</v>
      </c>
      <c r="L157" s="2" t="s">
        <v>22</v>
      </c>
      <c r="M157">
        <v>0.19</v>
      </c>
      <c r="N157">
        <v>0.65</v>
      </c>
      <c r="O157">
        <v>5183.1000000000004</v>
      </c>
      <c r="P157">
        <v>0</v>
      </c>
      <c r="Q157">
        <v>49</v>
      </c>
      <c r="R157">
        <v>3765.5</v>
      </c>
      <c r="S157">
        <v>8195.5</v>
      </c>
      <c r="T157">
        <v>753.10000000000036</v>
      </c>
      <c r="U157">
        <v>0</v>
      </c>
      <c r="V157" s="2" t="s">
        <v>2056</v>
      </c>
      <c r="W157" s="2" t="s">
        <v>2057</v>
      </c>
      <c r="X157">
        <v>6275.8333000000002</v>
      </c>
      <c r="Y157">
        <v>0.1700000000000001</v>
      </c>
      <c r="Z157" s="2" t="s">
        <v>2061</v>
      </c>
    </row>
    <row r="158" spans="1:26" x14ac:dyDescent="0.3">
      <c r="A158" s="2" t="s">
        <v>358</v>
      </c>
      <c r="B158" s="1">
        <v>44963</v>
      </c>
      <c r="C158" s="2" t="s">
        <v>359</v>
      </c>
      <c r="D158" s="2" t="s">
        <v>76</v>
      </c>
      <c r="E158">
        <v>13676</v>
      </c>
      <c r="F158">
        <v>5.5</v>
      </c>
      <c r="G158">
        <v>36</v>
      </c>
      <c r="H158" s="2" t="s">
        <v>19</v>
      </c>
      <c r="I158" s="2" t="s">
        <v>73</v>
      </c>
      <c r="J158" s="2" t="s">
        <v>47</v>
      </c>
      <c r="K158">
        <v>81877</v>
      </c>
      <c r="L158" s="2" t="s">
        <v>29</v>
      </c>
      <c r="M158">
        <v>0.23</v>
      </c>
      <c r="N158">
        <v>0.67</v>
      </c>
      <c r="O158">
        <v>14428.18</v>
      </c>
      <c r="P158">
        <v>0</v>
      </c>
      <c r="Q158">
        <v>37</v>
      </c>
      <c r="R158">
        <v>2256.54</v>
      </c>
      <c r="S158">
        <v>15932.54</v>
      </c>
      <c r="T158">
        <v>752.18000000000029</v>
      </c>
      <c r="U158">
        <v>0</v>
      </c>
      <c r="V158" s="2" t="s">
        <v>2056</v>
      </c>
      <c r="W158" s="2" t="s">
        <v>2064</v>
      </c>
      <c r="X158">
        <v>6268.1746000000003</v>
      </c>
      <c r="Y158">
        <v>5.5000000000000021E-2</v>
      </c>
      <c r="Z158" s="2" t="s">
        <v>2061</v>
      </c>
    </row>
    <row r="159" spans="1:26" x14ac:dyDescent="0.3">
      <c r="A159" s="2" t="s">
        <v>360</v>
      </c>
      <c r="B159" s="1">
        <v>44490</v>
      </c>
      <c r="C159" s="2" t="s">
        <v>361</v>
      </c>
      <c r="D159" s="2" t="s">
        <v>53</v>
      </c>
      <c r="E159">
        <v>11816</v>
      </c>
      <c r="F159">
        <v>11.4</v>
      </c>
      <c r="G159">
        <v>36</v>
      </c>
      <c r="H159" s="2" t="s">
        <v>26</v>
      </c>
      <c r="I159" s="2" t="s">
        <v>84</v>
      </c>
      <c r="J159" s="2" t="s">
        <v>21</v>
      </c>
      <c r="K159">
        <v>42226</v>
      </c>
      <c r="L159" s="2" t="s">
        <v>29</v>
      </c>
      <c r="M159">
        <v>0.2</v>
      </c>
      <c r="N159">
        <v>0.56000000000000005</v>
      </c>
      <c r="O159">
        <v>3024.12</v>
      </c>
      <c r="P159">
        <v>0</v>
      </c>
      <c r="Q159">
        <v>52</v>
      </c>
      <c r="R159">
        <v>4041.0719999999997</v>
      </c>
      <c r="S159">
        <v>15857.072</v>
      </c>
      <c r="T159">
        <v>-8791.880000000001</v>
      </c>
      <c r="U159">
        <v>0</v>
      </c>
      <c r="V159" s="2" t="s">
        <v>2059</v>
      </c>
      <c r="W159" s="2" t="s">
        <v>2062</v>
      </c>
      <c r="X159">
        <v>11225.2</v>
      </c>
      <c r="Y159">
        <v>-0.74406567366283016</v>
      </c>
      <c r="Z159" s="2" t="s">
        <v>2061</v>
      </c>
    </row>
    <row r="160" spans="1:26" x14ac:dyDescent="0.3">
      <c r="A160" s="2" t="s">
        <v>362</v>
      </c>
      <c r="B160" s="1">
        <v>44476</v>
      </c>
      <c r="C160" s="2" t="s">
        <v>363</v>
      </c>
      <c r="D160" s="2" t="s">
        <v>18</v>
      </c>
      <c r="E160">
        <v>33733</v>
      </c>
      <c r="F160">
        <v>17.7</v>
      </c>
      <c r="G160">
        <v>60</v>
      </c>
      <c r="H160" s="2" t="s">
        <v>19</v>
      </c>
      <c r="I160" s="2" t="s">
        <v>57</v>
      </c>
      <c r="J160" s="2" t="s">
        <v>28</v>
      </c>
      <c r="K160">
        <v>123405</v>
      </c>
      <c r="L160" s="2" t="s">
        <v>22</v>
      </c>
      <c r="M160">
        <v>0.14000000000000001</v>
      </c>
      <c r="N160">
        <v>0.83</v>
      </c>
      <c r="O160">
        <v>39703.74</v>
      </c>
      <c r="P160">
        <v>0</v>
      </c>
      <c r="Q160">
        <v>53</v>
      </c>
      <c r="R160">
        <v>29853.705000000002</v>
      </c>
      <c r="S160">
        <v>63586.705000000002</v>
      </c>
      <c r="T160">
        <v>5970.739999999998</v>
      </c>
      <c r="U160">
        <v>0</v>
      </c>
      <c r="V160" s="2" t="s">
        <v>2056</v>
      </c>
      <c r="W160" s="2" t="s">
        <v>2057</v>
      </c>
      <c r="X160">
        <v>49756.175000000003</v>
      </c>
      <c r="Y160">
        <v>0.17699997035543824</v>
      </c>
      <c r="Z160" s="2" t="s">
        <v>2058</v>
      </c>
    </row>
    <row r="161" spans="1:26" x14ac:dyDescent="0.3">
      <c r="A161" s="2" t="s">
        <v>364</v>
      </c>
      <c r="B161" s="1">
        <v>45080</v>
      </c>
      <c r="C161" s="2" t="s">
        <v>365</v>
      </c>
      <c r="D161" s="2" t="s">
        <v>76</v>
      </c>
      <c r="E161">
        <v>21144</v>
      </c>
      <c r="F161">
        <v>8</v>
      </c>
      <c r="G161">
        <v>60</v>
      </c>
      <c r="H161" s="2" t="s">
        <v>26</v>
      </c>
      <c r="I161" s="2" t="s">
        <v>36</v>
      </c>
      <c r="J161" s="2" t="s">
        <v>21</v>
      </c>
      <c r="K161">
        <v>52588</v>
      </c>
      <c r="L161" s="2" t="s">
        <v>29</v>
      </c>
      <c r="M161">
        <v>0.14000000000000001</v>
      </c>
      <c r="N161">
        <v>0.89</v>
      </c>
      <c r="O161">
        <v>5994.33</v>
      </c>
      <c r="P161">
        <v>0</v>
      </c>
      <c r="Q161">
        <v>33</v>
      </c>
      <c r="R161">
        <v>8457.6</v>
      </c>
      <c r="S161">
        <v>29601.599999999999</v>
      </c>
      <c r="T161">
        <v>-15149.67</v>
      </c>
      <c r="U161">
        <v>0</v>
      </c>
      <c r="V161" s="2" t="s">
        <v>2059</v>
      </c>
      <c r="W161" s="2" t="s">
        <v>2062</v>
      </c>
      <c r="X161">
        <v>14096</v>
      </c>
      <c r="Y161">
        <v>-0.71649971623155506</v>
      </c>
      <c r="Z161" s="2" t="s">
        <v>2058</v>
      </c>
    </row>
    <row r="162" spans="1:26" x14ac:dyDescent="0.3">
      <c r="A162" s="2" t="s">
        <v>366</v>
      </c>
      <c r="B162" s="1">
        <v>44394</v>
      </c>
      <c r="C162" s="2" t="s">
        <v>367</v>
      </c>
      <c r="D162" s="2" t="s">
        <v>25</v>
      </c>
      <c r="E162">
        <v>3050</v>
      </c>
      <c r="F162">
        <v>18.899999999999999</v>
      </c>
      <c r="G162">
        <v>60</v>
      </c>
      <c r="H162" s="2" t="s">
        <v>26</v>
      </c>
      <c r="I162" s="2" t="s">
        <v>20</v>
      </c>
      <c r="J162" s="2" t="s">
        <v>32</v>
      </c>
      <c r="K162">
        <v>108976</v>
      </c>
      <c r="L162" s="2" t="s">
        <v>29</v>
      </c>
      <c r="M162">
        <v>0.18</v>
      </c>
      <c r="N162">
        <v>0.92</v>
      </c>
      <c r="O162">
        <v>344.54</v>
      </c>
      <c r="P162">
        <v>0</v>
      </c>
      <c r="Q162">
        <v>56</v>
      </c>
      <c r="R162">
        <v>2882.2499999999995</v>
      </c>
      <c r="S162">
        <v>5932.25</v>
      </c>
      <c r="T162">
        <v>-2705.46</v>
      </c>
      <c r="U162">
        <v>0</v>
      </c>
      <c r="V162" s="2" t="s">
        <v>2059</v>
      </c>
      <c r="W162" s="2" t="s">
        <v>2057</v>
      </c>
      <c r="X162">
        <v>4803.75</v>
      </c>
      <c r="Y162">
        <v>-0.88703606557377046</v>
      </c>
      <c r="Z162" s="2" t="s">
        <v>2058</v>
      </c>
    </row>
    <row r="163" spans="1:26" x14ac:dyDescent="0.3">
      <c r="A163" s="2" t="s">
        <v>368</v>
      </c>
      <c r="B163" s="1">
        <v>45178</v>
      </c>
      <c r="C163" s="2" t="s">
        <v>369</v>
      </c>
      <c r="D163" s="2" t="s">
        <v>40</v>
      </c>
      <c r="E163">
        <v>34933</v>
      </c>
      <c r="F163">
        <v>19.899999999999999</v>
      </c>
      <c r="G163">
        <v>36</v>
      </c>
      <c r="H163" s="2" t="s">
        <v>19</v>
      </c>
      <c r="I163" s="2" t="s">
        <v>27</v>
      </c>
      <c r="J163" s="2" t="s">
        <v>37</v>
      </c>
      <c r="K163">
        <v>61709</v>
      </c>
      <c r="L163" s="2" t="s">
        <v>29</v>
      </c>
      <c r="M163">
        <v>0.12</v>
      </c>
      <c r="N163">
        <v>0.72</v>
      </c>
      <c r="O163">
        <v>41884.67</v>
      </c>
      <c r="P163">
        <v>0</v>
      </c>
      <c r="Q163">
        <v>30</v>
      </c>
      <c r="R163">
        <v>20855.001</v>
      </c>
      <c r="S163">
        <v>55788.001000000004</v>
      </c>
      <c r="T163">
        <v>6951.6699999999983</v>
      </c>
      <c r="U163">
        <v>0</v>
      </c>
      <c r="V163" s="2" t="s">
        <v>2056</v>
      </c>
      <c r="W163" s="2" t="s">
        <v>2060</v>
      </c>
      <c r="X163">
        <v>57930.558299999997</v>
      </c>
      <c r="Y163">
        <v>0.19900008587868201</v>
      </c>
      <c r="Z163" s="2" t="s">
        <v>2061</v>
      </c>
    </row>
    <row r="164" spans="1:26" x14ac:dyDescent="0.3">
      <c r="A164" s="2" t="s">
        <v>370</v>
      </c>
      <c r="B164" s="1">
        <v>44948</v>
      </c>
      <c r="C164" s="2" t="s">
        <v>371</v>
      </c>
      <c r="D164" s="2" t="s">
        <v>53</v>
      </c>
      <c r="E164">
        <v>25951</v>
      </c>
      <c r="F164">
        <v>24.6</v>
      </c>
      <c r="G164">
        <v>36</v>
      </c>
      <c r="H164" s="2" t="s">
        <v>19</v>
      </c>
      <c r="I164" s="2" t="s">
        <v>27</v>
      </c>
      <c r="J164" s="2" t="s">
        <v>32</v>
      </c>
      <c r="K164">
        <v>77788</v>
      </c>
      <c r="L164" s="2" t="s">
        <v>33</v>
      </c>
      <c r="M164">
        <v>0.35</v>
      </c>
      <c r="N164">
        <v>0.82</v>
      </c>
      <c r="O164">
        <v>32334.95</v>
      </c>
      <c r="P164">
        <v>0</v>
      </c>
      <c r="Q164">
        <v>37</v>
      </c>
      <c r="R164">
        <v>19151.838000000003</v>
      </c>
      <c r="S164">
        <v>45102.838000000003</v>
      </c>
      <c r="T164">
        <v>6383.9500000000007</v>
      </c>
      <c r="U164">
        <v>0</v>
      </c>
      <c r="V164" s="2" t="s">
        <v>2056</v>
      </c>
      <c r="W164" s="2" t="s">
        <v>2060</v>
      </c>
      <c r="X164">
        <v>53199.55</v>
      </c>
      <c r="Y164">
        <v>0.24600015413664217</v>
      </c>
      <c r="Z164" s="2" t="s">
        <v>2058</v>
      </c>
    </row>
    <row r="165" spans="1:26" x14ac:dyDescent="0.3">
      <c r="A165" s="2" t="s">
        <v>372</v>
      </c>
      <c r="B165" s="1">
        <v>44340</v>
      </c>
      <c r="C165" s="2" t="s">
        <v>373</v>
      </c>
      <c r="D165" s="2" t="s">
        <v>46</v>
      </c>
      <c r="E165">
        <v>33413</v>
      </c>
      <c r="F165">
        <v>9.1999999999999993</v>
      </c>
      <c r="G165">
        <v>36</v>
      </c>
      <c r="H165" s="2" t="s">
        <v>19</v>
      </c>
      <c r="I165" s="2" t="s">
        <v>27</v>
      </c>
      <c r="J165" s="2" t="s">
        <v>28</v>
      </c>
      <c r="K165">
        <v>118031</v>
      </c>
      <c r="L165" s="2" t="s">
        <v>33</v>
      </c>
      <c r="M165">
        <v>0.21</v>
      </c>
      <c r="N165">
        <v>0.88</v>
      </c>
      <c r="O165">
        <v>36487</v>
      </c>
      <c r="P165">
        <v>0</v>
      </c>
      <c r="Q165">
        <v>57</v>
      </c>
      <c r="R165">
        <v>9221.9879999999994</v>
      </c>
      <c r="S165">
        <v>42634.987999999998</v>
      </c>
      <c r="T165">
        <v>3074</v>
      </c>
      <c r="U165">
        <v>0</v>
      </c>
      <c r="V165" s="2" t="s">
        <v>2056</v>
      </c>
      <c r="W165" s="2" t="s">
        <v>2060</v>
      </c>
      <c r="X165">
        <v>25616.633399999999</v>
      </c>
      <c r="Y165">
        <v>9.2000119713883818E-2</v>
      </c>
      <c r="Z165" s="2" t="s">
        <v>2058</v>
      </c>
    </row>
    <row r="166" spans="1:26" x14ac:dyDescent="0.3">
      <c r="A166" s="2" t="s">
        <v>374</v>
      </c>
      <c r="B166" s="1">
        <v>44805</v>
      </c>
      <c r="C166" s="2" t="s">
        <v>375</v>
      </c>
      <c r="D166" s="2" t="s">
        <v>40</v>
      </c>
      <c r="E166">
        <v>35801</v>
      </c>
      <c r="F166">
        <v>21.5</v>
      </c>
      <c r="G166">
        <v>60</v>
      </c>
      <c r="H166" s="2" t="s">
        <v>26</v>
      </c>
      <c r="I166" s="2" t="s">
        <v>57</v>
      </c>
      <c r="J166" s="2" t="s">
        <v>21</v>
      </c>
      <c r="K166">
        <v>67019</v>
      </c>
      <c r="L166" s="2" t="s">
        <v>29</v>
      </c>
      <c r="M166">
        <v>0.21</v>
      </c>
      <c r="N166">
        <v>0.69</v>
      </c>
      <c r="O166">
        <v>10056.99</v>
      </c>
      <c r="P166">
        <v>0</v>
      </c>
      <c r="Q166">
        <v>42</v>
      </c>
      <c r="R166">
        <v>38486.075000000004</v>
      </c>
      <c r="S166">
        <v>74287.075000000012</v>
      </c>
      <c r="T166">
        <v>-25744.010000000002</v>
      </c>
      <c r="U166">
        <v>0</v>
      </c>
      <c r="V166" s="2" t="s">
        <v>2059</v>
      </c>
      <c r="W166" s="2" t="s">
        <v>2057</v>
      </c>
      <c r="X166">
        <v>64143.458299999998</v>
      </c>
      <c r="Y166">
        <v>-0.71908633837043667</v>
      </c>
      <c r="Z166" s="2" t="s">
        <v>2061</v>
      </c>
    </row>
    <row r="167" spans="1:26" x14ac:dyDescent="0.3">
      <c r="A167" s="2" t="s">
        <v>376</v>
      </c>
      <c r="B167" s="1">
        <v>44383</v>
      </c>
      <c r="C167" s="2" t="s">
        <v>377</v>
      </c>
      <c r="D167" s="2" t="s">
        <v>46</v>
      </c>
      <c r="E167">
        <v>33913</v>
      </c>
      <c r="F167">
        <v>15.4</v>
      </c>
      <c r="G167">
        <v>36</v>
      </c>
      <c r="H167" s="2" t="s">
        <v>19</v>
      </c>
      <c r="I167" s="2" t="s">
        <v>36</v>
      </c>
      <c r="J167" s="2" t="s">
        <v>47</v>
      </c>
      <c r="K167">
        <v>74948</v>
      </c>
      <c r="L167" s="2" t="s">
        <v>22</v>
      </c>
      <c r="M167">
        <v>0.23</v>
      </c>
      <c r="N167">
        <v>0.64</v>
      </c>
      <c r="O167">
        <v>39135.599999999999</v>
      </c>
      <c r="P167">
        <v>0</v>
      </c>
      <c r="Q167">
        <v>56</v>
      </c>
      <c r="R167">
        <v>15667.805999999999</v>
      </c>
      <c r="S167">
        <v>49580.805999999997</v>
      </c>
      <c r="T167">
        <v>5222.5999999999985</v>
      </c>
      <c r="U167">
        <v>0</v>
      </c>
      <c r="V167" s="2" t="s">
        <v>2056</v>
      </c>
      <c r="W167" s="2" t="s">
        <v>2062</v>
      </c>
      <c r="X167">
        <v>43521.683299999997</v>
      </c>
      <c r="Y167">
        <v>0.15399994102556538</v>
      </c>
      <c r="Z167" s="2" t="s">
        <v>2061</v>
      </c>
    </row>
    <row r="168" spans="1:26" x14ac:dyDescent="0.3">
      <c r="A168" s="2" t="s">
        <v>378</v>
      </c>
      <c r="B168" s="1">
        <v>44660</v>
      </c>
      <c r="C168" s="2" t="s">
        <v>379</v>
      </c>
      <c r="D168" s="2" t="s">
        <v>50</v>
      </c>
      <c r="E168">
        <v>26280</v>
      </c>
      <c r="F168">
        <v>12.5</v>
      </c>
      <c r="G168">
        <v>60</v>
      </c>
      <c r="H168" s="2" t="s">
        <v>19</v>
      </c>
      <c r="I168" s="2" t="s">
        <v>27</v>
      </c>
      <c r="J168" s="2" t="s">
        <v>21</v>
      </c>
      <c r="K168">
        <v>95133</v>
      </c>
      <c r="L168" s="2" t="s">
        <v>29</v>
      </c>
      <c r="M168">
        <v>0.37</v>
      </c>
      <c r="N168">
        <v>0.92</v>
      </c>
      <c r="O168">
        <v>29565</v>
      </c>
      <c r="P168">
        <v>0</v>
      </c>
      <c r="Q168">
        <v>47</v>
      </c>
      <c r="R168">
        <v>16425</v>
      </c>
      <c r="S168">
        <v>42705</v>
      </c>
      <c r="T168">
        <v>3285</v>
      </c>
      <c r="U168">
        <v>0</v>
      </c>
      <c r="V168" s="2" t="s">
        <v>2056</v>
      </c>
      <c r="W168" s="2" t="s">
        <v>2060</v>
      </c>
      <c r="X168">
        <v>27375</v>
      </c>
      <c r="Y168">
        <v>0.125</v>
      </c>
      <c r="Z168" s="2" t="s">
        <v>2058</v>
      </c>
    </row>
    <row r="169" spans="1:26" x14ac:dyDescent="0.3">
      <c r="A169" s="2" t="s">
        <v>380</v>
      </c>
      <c r="B169" s="1">
        <v>44856</v>
      </c>
      <c r="C169" s="2" t="s">
        <v>381</v>
      </c>
      <c r="D169" s="2" t="s">
        <v>65</v>
      </c>
      <c r="E169">
        <v>25557</v>
      </c>
      <c r="F169">
        <v>7.4</v>
      </c>
      <c r="G169">
        <v>36</v>
      </c>
      <c r="H169" s="2" t="s">
        <v>26</v>
      </c>
      <c r="I169" s="2" t="s">
        <v>57</v>
      </c>
      <c r="J169" s="2" t="s">
        <v>28</v>
      </c>
      <c r="K169">
        <v>144444</v>
      </c>
      <c r="L169" s="2" t="s">
        <v>29</v>
      </c>
      <c r="M169">
        <v>0.45</v>
      </c>
      <c r="N169">
        <v>0.73</v>
      </c>
      <c r="O169">
        <v>4065.82</v>
      </c>
      <c r="P169">
        <v>0</v>
      </c>
      <c r="Q169">
        <v>40</v>
      </c>
      <c r="R169">
        <v>5673.6539999999995</v>
      </c>
      <c r="S169">
        <v>31230.653999999999</v>
      </c>
      <c r="T169">
        <v>-21491.18</v>
      </c>
      <c r="U169">
        <v>0</v>
      </c>
      <c r="V169" s="2" t="s">
        <v>2059</v>
      </c>
      <c r="W169" s="2" t="s">
        <v>2057</v>
      </c>
      <c r="X169">
        <v>15760.1505</v>
      </c>
      <c r="Y169">
        <v>-0.84091168760026613</v>
      </c>
      <c r="Z169" s="2" t="s">
        <v>2058</v>
      </c>
    </row>
    <row r="170" spans="1:26" x14ac:dyDescent="0.3">
      <c r="A170" s="2" t="s">
        <v>382</v>
      </c>
      <c r="B170" s="1">
        <v>44960</v>
      </c>
      <c r="C170" s="2" t="s">
        <v>383</v>
      </c>
      <c r="D170" s="2" t="s">
        <v>56</v>
      </c>
      <c r="E170">
        <v>36400</v>
      </c>
      <c r="F170">
        <v>19.7</v>
      </c>
      <c r="G170">
        <v>60</v>
      </c>
      <c r="H170" s="2" t="s">
        <v>26</v>
      </c>
      <c r="I170" s="2" t="s">
        <v>27</v>
      </c>
      <c r="J170" s="2" t="s">
        <v>47</v>
      </c>
      <c r="K170">
        <v>96458</v>
      </c>
      <c r="L170" s="2" t="s">
        <v>33</v>
      </c>
      <c r="M170">
        <v>0.4</v>
      </c>
      <c r="N170">
        <v>0.72</v>
      </c>
      <c r="O170">
        <v>4839.3500000000004</v>
      </c>
      <c r="P170">
        <v>0</v>
      </c>
      <c r="Q170">
        <v>37</v>
      </c>
      <c r="R170">
        <v>35854</v>
      </c>
      <c r="S170">
        <v>72254</v>
      </c>
      <c r="T170">
        <v>-31560.65</v>
      </c>
      <c r="U170">
        <v>0</v>
      </c>
      <c r="V170" s="2" t="s">
        <v>2059</v>
      </c>
      <c r="W170" s="2" t="s">
        <v>2060</v>
      </c>
      <c r="X170">
        <v>59756.666700000002</v>
      </c>
      <c r="Y170">
        <v>-0.86705082417582424</v>
      </c>
      <c r="Z170" s="2" t="s">
        <v>2061</v>
      </c>
    </row>
    <row r="171" spans="1:26" x14ac:dyDescent="0.3">
      <c r="A171" s="2" t="s">
        <v>384</v>
      </c>
      <c r="B171" s="1">
        <v>45151</v>
      </c>
      <c r="C171" s="2" t="s">
        <v>385</v>
      </c>
      <c r="D171" s="2" t="s">
        <v>40</v>
      </c>
      <c r="E171">
        <v>5494</v>
      </c>
      <c r="F171">
        <v>9.6999999999999993</v>
      </c>
      <c r="G171">
        <v>36</v>
      </c>
      <c r="H171" s="2" t="s">
        <v>19</v>
      </c>
      <c r="I171" s="2" t="s">
        <v>57</v>
      </c>
      <c r="J171" s="2" t="s">
        <v>32</v>
      </c>
      <c r="K171">
        <v>147603</v>
      </c>
      <c r="L171" s="2" t="s">
        <v>33</v>
      </c>
      <c r="M171">
        <v>0.39</v>
      </c>
      <c r="N171">
        <v>0.57999999999999996</v>
      </c>
      <c r="O171">
        <v>6026.92</v>
      </c>
      <c r="P171">
        <v>0</v>
      </c>
      <c r="Q171">
        <v>31</v>
      </c>
      <c r="R171">
        <v>1598.7539999999999</v>
      </c>
      <c r="S171">
        <v>7092.7539999999999</v>
      </c>
      <c r="T171">
        <v>532.92000000000007</v>
      </c>
      <c r="U171">
        <v>0</v>
      </c>
      <c r="V171" s="2" t="s">
        <v>2056</v>
      </c>
      <c r="W171" s="2" t="s">
        <v>2057</v>
      </c>
      <c r="X171">
        <v>4440.9832999999999</v>
      </c>
      <c r="Y171">
        <v>9.700036403349109E-2</v>
      </c>
      <c r="Z171" s="2" t="s">
        <v>2061</v>
      </c>
    </row>
    <row r="172" spans="1:26" x14ac:dyDescent="0.3">
      <c r="A172" s="2" t="s">
        <v>386</v>
      </c>
      <c r="B172" s="1">
        <v>44599</v>
      </c>
      <c r="C172" s="2" t="s">
        <v>387</v>
      </c>
      <c r="D172" s="2" t="s">
        <v>25</v>
      </c>
      <c r="E172">
        <v>16152</v>
      </c>
      <c r="F172">
        <v>12.4</v>
      </c>
      <c r="G172">
        <v>36</v>
      </c>
      <c r="H172" s="2" t="s">
        <v>19</v>
      </c>
      <c r="I172" s="2" t="s">
        <v>57</v>
      </c>
      <c r="J172" s="2" t="s">
        <v>37</v>
      </c>
      <c r="K172">
        <v>57526</v>
      </c>
      <c r="L172" s="2" t="s">
        <v>33</v>
      </c>
      <c r="M172">
        <v>0.28999999999999998</v>
      </c>
      <c r="N172">
        <v>0.55000000000000004</v>
      </c>
      <c r="O172">
        <v>18154.849999999999</v>
      </c>
      <c r="P172">
        <v>0</v>
      </c>
      <c r="Q172">
        <v>49</v>
      </c>
      <c r="R172">
        <v>6008.5440000000008</v>
      </c>
      <c r="S172">
        <v>22160.544000000002</v>
      </c>
      <c r="T172">
        <v>2002.8499999999985</v>
      </c>
      <c r="U172">
        <v>0</v>
      </c>
      <c r="V172" s="2" t="s">
        <v>2056</v>
      </c>
      <c r="W172" s="2" t="s">
        <v>2057</v>
      </c>
      <c r="X172">
        <v>16690.400000000001</v>
      </c>
      <c r="Y172">
        <v>0.12400012382367499</v>
      </c>
      <c r="Z172" s="2" t="s">
        <v>2061</v>
      </c>
    </row>
    <row r="173" spans="1:26" x14ac:dyDescent="0.3">
      <c r="A173" s="2" t="s">
        <v>388</v>
      </c>
      <c r="B173" s="1">
        <v>44343</v>
      </c>
      <c r="C173" s="2" t="s">
        <v>389</v>
      </c>
      <c r="D173" s="2" t="s">
        <v>46</v>
      </c>
      <c r="E173">
        <v>24895</v>
      </c>
      <c r="F173">
        <v>6.3</v>
      </c>
      <c r="G173">
        <v>36</v>
      </c>
      <c r="H173" s="2" t="s">
        <v>26</v>
      </c>
      <c r="I173" s="2" t="s">
        <v>57</v>
      </c>
      <c r="J173" s="2" t="s">
        <v>37</v>
      </c>
      <c r="K173">
        <v>103493</v>
      </c>
      <c r="L173" s="2" t="s">
        <v>29</v>
      </c>
      <c r="M173">
        <v>0.38</v>
      </c>
      <c r="N173">
        <v>0.88</v>
      </c>
      <c r="O173">
        <v>1971.07</v>
      </c>
      <c r="P173">
        <v>0</v>
      </c>
      <c r="Q173">
        <v>57</v>
      </c>
      <c r="R173">
        <v>4705.1549999999997</v>
      </c>
      <c r="S173">
        <v>29600.154999999999</v>
      </c>
      <c r="T173">
        <v>-22923.93</v>
      </c>
      <c r="U173">
        <v>0</v>
      </c>
      <c r="V173" s="2" t="s">
        <v>2059</v>
      </c>
      <c r="W173" s="2" t="s">
        <v>2057</v>
      </c>
      <c r="X173">
        <v>13069.8783</v>
      </c>
      <c r="Y173">
        <v>-0.92082466358706572</v>
      </c>
      <c r="Z173" s="2" t="s">
        <v>2058</v>
      </c>
    </row>
    <row r="174" spans="1:26" x14ac:dyDescent="0.3">
      <c r="A174" s="2" t="s">
        <v>390</v>
      </c>
      <c r="B174" s="1">
        <v>45060</v>
      </c>
      <c r="C174" s="2" t="s">
        <v>391</v>
      </c>
      <c r="D174" s="2" t="s">
        <v>76</v>
      </c>
      <c r="E174">
        <v>10155</v>
      </c>
      <c r="F174">
        <v>21</v>
      </c>
      <c r="G174">
        <v>60</v>
      </c>
      <c r="H174" s="2" t="s">
        <v>81</v>
      </c>
      <c r="I174" s="2" t="s">
        <v>84</v>
      </c>
      <c r="J174" s="2" t="s">
        <v>21</v>
      </c>
      <c r="K174">
        <v>82198</v>
      </c>
      <c r="L174" s="2" t="s">
        <v>29</v>
      </c>
      <c r="M174">
        <v>0.32</v>
      </c>
      <c r="N174">
        <v>0.78</v>
      </c>
      <c r="O174">
        <v>3338.92</v>
      </c>
      <c r="P174">
        <v>989.42</v>
      </c>
      <c r="Q174">
        <v>34</v>
      </c>
      <c r="R174">
        <v>10662.750000000002</v>
      </c>
      <c r="S174">
        <v>20817.75</v>
      </c>
      <c r="T174">
        <v>-5826.66</v>
      </c>
      <c r="U174">
        <v>1</v>
      </c>
      <c r="V174" s="2" t="s">
        <v>2063</v>
      </c>
      <c r="W174" s="2" t="s">
        <v>2062</v>
      </c>
      <c r="X174">
        <v>17771.25</v>
      </c>
      <c r="Y174">
        <v>-0.57377252584933525</v>
      </c>
      <c r="Z174" s="2" t="s">
        <v>2061</v>
      </c>
    </row>
    <row r="175" spans="1:26" x14ac:dyDescent="0.3">
      <c r="A175" s="2" t="s">
        <v>392</v>
      </c>
      <c r="B175" s="1">
        <v>44685</v>
      </c>
      <c r="C175" s="2" t="s">
        <v>393</v>
      </c>
      <c r="D175" s="2" t="s">
        <v>50</v>
      </c>
      <c r="E175">
        <v>32883</v>
      </c>
      <c r="F175">
        <v>20.3</v>
      </c>
      <c r="G175">
        <v>60</v>
      </c>
      <c r="H175" s="2" t="s">
        <v>81</v>
      </c>
      <c r="I175" s="2" t="s">
        <v>73</v>
      </c>
      <c r="J175" s="2" t="s">
        <v>32</v>
      </c>
      <c r="K175">
        <v>144100</v>
      </c>
      <c r="L175" s="2" t="s">
        <v>22</v>
      </c>
      <c r="M175">
        <v>0.19</v>
      </c>
      <c r="N175">
        <v>0.65</v>
      </c>
      <c r="O175">
        <v>7504.97</v>
      </c>
      <c r="P175">
        <v>9677.33</v>
      </c>
      <c r="Q175">
        <v>46</v>
      </c>
      <c r="R175">
        <v>33376.245000000003</v>
      </c>
      <c r="S175">
        <v>66259.244999999995</v>
      </c>
      <c r="T175">
        <v>-15700.7</v>
      </c>
      <c r="U175">
        <v>1</v>
      </c>
      <c r="V175" s="2" t="s">
        <v>2063</v>
      </c>
      <c r="W175" s="2" t="s">
        <v>2064</v>
      </c>
      <c r="X175">
        <v>55627.074999999997</v>
      </c>
      <c r="Y175">
        <v>-0.47747164188182345</v>
      </c>
      <c r="Z175" s="2" t="s">
        <v>2061</v>
      </c>
    </row>
    <row r="176" spans="1:26" x14ac:dyDescent="0.3">
      <c r="A176" s="2" t="s">
        <v>394</v>
      </c>
      <c r="B176" s="1">
        <v>45125</v>
      </c>
      <c r="C176" s="2" t="s">
        <v>395</v>
      </c>
      <c r="D176" s="2" t="s">
        <v>25</v>
      </c>
      <c r="E176">
        <v>2828</v>
      </c>
      <c r="F176">
        <v>19.7</v>
      </c>
      <c r="G176">
        <v>36</v>
      </c>
      <c r="H176" s="2" t="s">
        <v>26</v>
      </c>
      <c r="I176" s="2" t="s">
        <v>27</v>
      </c>
      <c r="J176" s="2" t="s">
        <v>28</v>
      </c>
      <c r="K176">
        <v>129534</v>
      </c>
      <c r="L176" s="2" t="s">
        <v>29</v>
      </c>
      <c r="M176">
        <v>0.18</v>
      </c>
      <c r="N176">
        <v>0.59</v>
      </c>
      <c r="O176">
        <v>938.87</v>
      </c>
      <c r="P176">
        <v>0</v>
      </c>
      <c r="Q176">
        <v>32</v>
      </c>
      <c r="R176">
        <v>1671.348</v>
      </c>
      <c r="S176">
        <v>4499.348</v>
      </c>
      <c r="T176">
        <v>-1889.13</v>
      </c>
      <c r="U176">
        <v>0</v>
      </c>
      <c r="V176" s="2" t="s">
        <v>2059</v>
      </c>
      <c r="W176" s="2" t="s">
        <v>2060</v>
      </c>
      <c r="X176">
        <v>4642.6333000000004</v>
      </c>
      <c r="Y176">
        <v>-0.66800919377652057</v>
      </c>
      <c r="Z176" s="2" t="s">
        <v>2061</v>
      </c>
    </row>
    <row r="177" spans="1:26" x14ac:dyDescent="0.3">
      <c r="A177" s="2" t="s">
        <v>396</v>
      </c>
      <c r="B177" s="1">
        <v>44747</v>
      </c>
      <c r="C177" s="2" t="s">
        <v>397</v>
      </c>
      <c r="D177" s="2" t="s">
        <v>18</v>
      </c>
      <c r="E177">
        <v>33123</v>
      </c>
      <c r="F177">
        <v>11</v>
      </c>
      <c r="G177">
        <v>36</v>
      </c>
      <c r="H177" s="2" t="s">
        <v>19</v>
      </c>
      <c r="I177" s="2" t="s">
        <v>57</v>
      </c>
      <c r="J177" s="2" t="s">
        <v>37</v>
      </c>
      <c r="K177">
        <v>73395</v>
      </c>
      <c r="L177" s="2" t="s">
        <v>29</v>
      </c>
      <c r="M177">
        <v>0.22</v>
      </c>
      <c r="N177">
        <v>0.75</v>
      </c>
      <c r="O177">
        <v>36766.53</v>
      </c>
      <c r="P177">
        <v>0</v>
      </c>
      <c r="Q177">
        <v>44</v>
      </c>
      <c r="R177">
        <v>10930.590000000002</v>
      </c>
      <c r="S177">
        <v>44053.590000000004</v>
      </c>
      <c r="T177">
        <v>3643.5299999999988</v>
      </c>
      <c r="U177">
        <v>0</v>
      </c>
      <c r="V177" s="2" t="s">
        <v>2056</v>
      </c>
      <c r="W177" s="2" t="s">
        <v>2057</v>
      </c>
      <c r="X177">
        <v>30362.75</v>
      </c>
      <c r="Y177">
        <v>0.10999999999999996</v>
      </c>
      <c r="Z177" s="2" t="s">
        <v>2061</v>
      </c>
    </row>
    <row r="178" spans="1:26" x14ac:dyDescent="0.3">
      <c r="A178" s="2" t="s">
        <v>398</v>
      </c>
      <c r="B178" s="1">
        <v>44534</v>
      </c>
      <c r="C178" s="2" t="s">
        <v>399</v>
      </c>
      <c r="D178" s="2" t="s">
        <v>56</v>
      </c>
      <c r="E178">
        <v>38573</v>
      </c>
      <c r="F178">
        <v>8.5</v>
      </c>
      <c r="G178">
        <v>36</v>
      </c>
      <c r="H178" s="2" t="s">
        <v>19</v>
      </c>
      <c r="I178" s="2" t="s">
        <v>57</v>
      </c>
      <c r="J178" s="2" t="s">
        <v>32</v>
      </c>
      <c r="K178">
        <v>54031</v>
      </c>
      <c r="L178" s="2" t="s">
        <v>33</v>
      </c>
      <c r="M178">
        <v>0.46</v>
      </c>
      <c r="N178">
        <v>0.76</v>
      </c>
      <c r="O178">
        <v>41851.699999999997</v>
      </c>
      <c r="P178">
        <v>0</v>
      </c>
      <c r="Q178">
        <v>51</v>
      </c>
      <c r="R178">
        <v>9836.1149999999998</v>
      </c>
      <c r="S178">
        <v>48409.114999999998</v>
      </c>
      <c r="T178">
        <v>3278.6999999999971</v>
      </c>
      <c r="U178">
        <v>0</v>
      </c>
      <c r="V178" s="2" t="s">
        <v>2056</v>
      </c>
      <c r="W178" s="2" t="s">
        <v>2057</v>
      </c>
      <c r="X178">
        <v>27322.541799999999</v>
      </c>
      <c r="Y178">
        <v>8.4999870375651293E-2</v>
      </c>
      <c r="Z178" s="2" t="s">
        <v>2058</v>
      </c>
    </row>
    <row r="179" spans="1:26" x14ac:dyDescent="0.3">
      <c r="A179" s="2" t="s">
        <v>400</v>
      </c>
      <c r="B179" s="1">
        <v>45068</v>
      </c>
      <c r="C179" s="2" t="s">
        <v>401</v>
      </c>
      <c r="D179" s="2" t="s">
        <v>50</v>
      </c>
      <c r="E179">
        <v>1806</v>
      </c>
      <c r="F179">
        <v>17.8</v>
      </c>
      <c r="G179">
        <v>60</v>
      </c>
      <c r="H179" s="2" t="s">
        <v>19</v>
      </c>
      <c r="I179" s="2" t="s">
        <v>36</v>
      </c>
      <c r="J179" s="2" t="s">
        <v>21</v>
      </c>
      <c r="K179">
        <v>105542</v>
      </c>
      <c r="L179" s="2" t="s">
        <v>33</v>
      </c>
      <c r="M179">
        <v>0.32</v>
      </c>
      <c r="N179">
        <v>0.59</v>
      </c>
      <c r="O179">
        <v>2127.4699999999998</v>
      </c>
      <c r="P179">
        <v>0</v>
      </c>
      <c r="Q179">
        <v>33</v>
      </c>
      <c r="R179">
        <v>1607.3400000000001</v>
      </c>
      <c r="S179">
        <v>3413.34</v>
      </c>
      <c r="T179">
        <v>321.4699999999998</v>
      </c>
      <c r="U179">
        <v>0</v>
      </c>
      <c r="V179" s="2" t="s">
        <v>2056</v>
      </c>
      <c r="W179" s="2" t="s">
        <v>2062</v>
      </c>
      <c r="X179">
        <v>2678.9</v>
      </c>
      <c r="Y179">
        <v>0.17800110741971195</v>
      </c>
      <c r="Z179" s="2" t="s">
        <v>2061</v>
      </c>
    </row>
    <row r="180" spans="1:26" x14ac:dyDescent="0.3">
      <c r="A180" s="2" t="s">
        <v>402</v>
      </c>
      <c r="B180" s="1">
        <v>44837</v>
      </c>
      <c r="C180" s="2" t="s">
        <v>403</v>
      </c>
      <c r="D180" s="2" t="s">
        <v>65</v>
      </c>
      <c r="E180">
        <v>30757</v>
      </c>
      <c r="F180">
        <v>14.9</v>
      </c>
      <c r="G180">
        <v>36</v>
      </c>
      <c r="H180" s="2" t="s">
        <v>19</v>
      </c>
      <c r="I180" s="2" t="s">
        <v>73</v>
      </c>
      <c r="J180" s="2" t="s">
        <v>47</v>
      </c>
      <c r="K180">
        <v>67701</v>
      </c>
      <c r="L180" s="2" t="s">
        <v>33</v>
      </c>
      <c r="M180">
        <v>0.39</v>
      </c>
      <c r="N180">
        <v>0.88</v>
      </c>
      <c r="O180">
        <v>35339.79</v>
      </c>
      <c r="P180">
        <v>0</v>
      </c>
      <c r="Q180">
        <v>41</v>
      </c>
      <c r="R180">
        <v>13748.378999999999</v>
      </c>
      <c r="S180">
        <v>44505.379000000001</v>
      </c>
      <c r="T180">
        <v>4582.7900000000009</v>
      </c>
      <c r="U180">
        <v>0</v>
      </c>
      <c r="V180" s="2" t="s">
        <v>2056</v>
      </c>
      <c r="W180" s="2" t="s">
        <v>2064</v>
      </c>
      <c r="X180">
        <v>38189.941700000003</v>
      </c>
      <c r="Y180">
        <v>0.14899990246122838</v>
      </c>
      <c r="Z180" s="2" t="s">
        <v>2058</v>
      </c>
    </row>
    <row r="181" spans="1:26" x14ac:dyDescent="0.3">
      <c r="A181" s="2" t="s">
        <v>404</v>
      </c>
      <c r="B181" s="1">
        <v>44669</v>
      </c>
      <c r="C181" s="2" t="s">
        <v>405</v>
      </c>
      <c r="D181" s="2" t="s">
        <v>56</v>
      </c>
      <c r="E181">
        <v>35636</v>
      </c>
      <c r="F181">
        <v>8.6</v>
      </c>
      <c r="G181">
        <v>36</v>
      </c>
      <c r="H181" s="2" t="s">
        <v>26</v>
      </c>
      <c r="I181" s="2" t="s">
        <v>36</v>
      </c>
      <c r="J181" s="2" t="s">
        <v>21</v>
      </c>
      <c r="K181">
        <v>142599</v>
      </c>
      <c r="L181" s="2" t="s">
        <v>33</v>
      </c>
      <c r="M181">
        <v>0.24</v>
      </c>
      <c r="N181">
        <v>0.54</v>
      </c>
      <c r="O181">
        <v>13449.63</v>
      </c>
      <c r="P181">
        <v>0</v>
      </c>
      <c r="Q181">
        <v>47</v>
      </c>
      <c r="R181">
        <v>9194.0879999999997</v>
      </c>
      <c r="S181">
        <v>44830.088000000003</v>
      </c>
      <c r="T181">
        <v>-22186.370000000003</v>
      </c>
      <c r="U181">
        <v>0</v>
      </c>
      <c r="V181" s="2" t="s">
        <v>2059</v>
      </c>
      <c r="W181" s="2" t="s">
        <v>2062</v>
      </c>
      <c r="X181">
        <v>25539.133399999999</v>
      </c>
      <c r="Y181">
        <v>-0.62258306207206204</v>
      </c>
      <c r="Z181" s="2" t="s">
        <v>2061</v>
      </c>
    </row>
    <row r="182" spans="1:26" x14ac:dyDescent="0.3">
      <c r="A182" s="2" t="s">
        <v>406</v>
      </c>
      <c r="B182" s="1">
        <v>44347</v>
      </c>
      <c r="C182" s="2" t="s">
        <v>407</v>
      </c>
      <c r="D182" s="2" t="s">
        <v>46</v>
      </c>
      <c r="E182">
        <v>15561</v>
      </c>
      <c r="F182">
        <v>18.7</v>
      </c>
      <c r="G182">
        <v>36</v>
      </c>
      <c r="H182" s="2" t="s">
        <v>19</v>
      </c>
      <c r="I182" s="2" t="s">
        <v>20</v>
      </c>
      <c r="J182" s="2" t="s">
        <v>21</v>
      </c>
      <c r="K182">
        <v>55939</v>
      </c>
      <c r="L182" s="2" t="s">
        <v>33</v>
      </c>
      <c r="M182">
        <v>0.26</v>
      </c>
      <c r="N182">
        <v>0.66</v>
      </c>
      <c r="O182">
        <v>18470.91</v>
      </c>
      <c r="P182">
        <v>0</v>
      </c>
      <c r="Q182">
        <v>57</v>
      </c>
      <c r="R182">
        <v>8729.7209999999995</v>
      </c>
      <c r="S182">
        <v>24290.720999999998</v>
      </c>
      <c r="T182">
        <v>2909.91</v>
      </c>
      <c r="U182">
        <v>0</v>
      </c>
      <c r="V182" s="2" t="s">
        <v>2056</v>
      </c>
      <c r="W182" s="2" t="s">
        <v>2057</v>
      </c>
      <c r="X182">
        <v>24249.224999999999</v>
      </c>
      <c r="Y182">
        <v>0.18700019278966645</v>
      </c>
      <c r="Z182" s="2" t="s">
        <v>2061</v>
      </c>
    </row>
    <row r="183" spans="1:26" x14ac:dyDescent="0.3">
      <c r="A183" s="2" t="s">
        <v>408</v>
      </c>
      <c r="B183" s="1">
        <v>44459</v>
      </c>
      <c r="C183" s="2" t="s">
        <v>409</v>
      </c>
      <c r="D183" s="2" t="s">
        <v>25</v>
      </c>
      <c r="E183">
        <v>25262</v>
      </c>
      <c r="F183">
        <v>24.8</v>
      </c>
      <c r="G183">
        <v>36</v>
      </c>
      <c r="H183" s="2" t="s">
        <v>19</v>
      </c>
      <c r="I183" s="2" t="s">
        <v>20</v>
      </c>
      <c r="J183" s="2" t="s">
        <v>32</v>
      </c>
      <c r="K183">
        <v>79145</v>
      </c>
      <c r="L183" s="2" t="s">
        <v>22</v>
      </c>
      <c r="M183">
        <v>0.15</v>
      </c>
      <c r="N183">
        <v>0.81</v>
      </c>
      <c r="O183">
        <v>31526.98</v>
      </c>
      <c r="P183">
        <v>0</v>
      </c>
      <c r="Q183">
        <v>53</v>
      </c>
      <c r="R183">
        <v>18794.928</v>
      </c>
      <c r="S183">
        <v>44056.928</v>
      </c>
      <c r="T183">
        <v>6264.98</v>
      </c>
      <c r="U183">
        <v>0</v>
      </c>
      <c r="V183" s="2" t="s">
        <v>2056</v>
      </c>
      <c r="W183" s="2" t="s">
        <v>2057</v>
      </c>
      <c r="X183">
        <v>52208.133300000001</v>
      </c>
      <c r="Y183">
        <v>0.24800015834059058</v>
      </c>
      <c r="Z183" s="2" t="s">
        <v>2058</v>
      </c>
    </row>
    <row r="184" spans="1:26" x14ac:dyDescent="0.3">
      <c r="A184" s="2" t="s">
        <v>410</v>
      </c>
      <c r="B184" s="1">
        <v>44340</v>
      </c>
      <c r="C184" s="2" t="s">
        <v>411</v>
      </c>
      <c r="D184" s="2" t="s">
        <v>18</v>
      </c>
      <c r="E184">
        <v>15899</v>
      </c>
      <c r="F184">
        <v>19.899999999999999</v>
      </c>
      <c r="G184">
        <v>60</v>
      </c>
      <c r="H184" s="2" t="s">
        <v>315</v>
      </c>
      <c r="I184" s="2" t="s">
        <v>84</v>
      </c>
      <c r="J184" s="2" t="s">
        <v>37</v>
      </c>
      <c r="K184">
        <v>50324</v>
      </c>
      <c r="L184" s="2" t="s">
        <v>22</v>
      </c>
      <c r="M184">
        <v>0.17</v>
      </c>
      <c r="N184">
        <v>0.62</v>
      </c>
      <c r="O184">
        <v>0</v>
      </c>
      <c r="P184">
        <v>0</v>
      </c>
      <c r="Q184">
        <v>57</v>
      </c>
      <c r="R184">
        <v>15819.504999999999</v>
      </c>
      <c r="S184">
        <v>31718.504999999997</v>
      </c>
      <c r="T184">
        <v>-15899</v>
      </c>
      <c r="U184">
        <v>0</v>
      </c>
      <c r="V184" s="2" t="s">
        <v>2063</v>
      </c>
      <c r="W184" s="2" t="s">
        <v>2062</v>
      </c>
      <c r="X184">
        <v>26365.841700000001</v>
      </c>
      <c r="Y184">
        <v>-1</v>
      </c>
      <c r="Z184" s="2" t="s">
        <v>2061</v>
      </c>
    </row>
    <row r="185" spans="1:26" x14ac:dyDescent="0.3">
      <c r="A185" s="2" t="s">
        <v>412</v>
      </c>
      <c r="B185" s="1">
        <v>44542</v>
      </c>
      <c r="C185" s="2" t="s">
        <v>413</v>
      </c>
      <c r="D185" s="2" t="s">
        <v>72</v>
      </c>
      <c r="E185">
        <v>16934</v>
      </c>
      <c r="F185">
        <v>19.8</v>
      </c>
      <c r="G185">
        <v>60</v>
      </c>
      <c r="H185" s="2" t="s">
        <v>19</v>
      </c>
      <c r="I185" s="2" t="s">
        <v>27</v>
      </c>
      <c r="J185" s="2" t="s">
        <v>32</v>
      </c>
      <c r="K185">
        <v>52867</v>
      </c>
      <c r="L185" s="2" t="s">
        <v>22</v>
      </c>
      <c r="M185">
        <v>0.43</v>
      </c>
      <c r="N185">
        <v>0.87</v>
      </c>
      <c r="O185">
        <v>20286.93</v>
      </c>
      <c r="P185">
        <v>0</v>
      </c>
      <c r="Q185">
        <v>51</v>
      </c>
      <c r="R185">
        <v>16764.66</v>
      </c>
      <c r="S185">
        <v>33698.660000000003</v>
      </c>
      <c r="T185">
        <v>3352.9300000000003</v>
      </c>
      <c r="U185">
        <v>0</v>
      </c>
      <c r="V185" s="2" t="s">
        <v>2056</v>
      </c>
      <c r="W185" s="2" t="s">
        <v>2060</v>
      </c>
      <c r="X185">
        <v>27941.1</v>
      </c>
      <c r="Y185">
        <v>0.19799988189441362</v>
      </c>
      <c r="Z185" s="2" t="s">
        <v>2058</v>
      </c>
    </row>
    <row r="186" spans="1:26" x14ac:dyDescent="0.3">
      <c r="A186" s="2" t="s">
        <v>414</v>
      </c>
      <c r="B186" s="1">
        <v>44820</v>
      </c>
      <c r="C186" s="2" t="s">
        <v>415</v>
      </c>
      <c r="D186" s="2" t="s">
        <v>65</v>
      </c>
      <c r="E186">
        <v>39197</v>
      </c>
      <c r="F186">
        <v>24</v>
      </c>
      <c r="G186">
        <v>36</v>
      </c>
      <c r="H186" s="2" t="s">
        <v>19</v>
      </c>
      <c r="I186" s="2" t="s">
        <v>20</v>
      </c>
      <c r="J186" s="2" t="s">
        <v>47</v>
      </c>
      <c r="K186">
        <v>30203</v>
      </c>
      <c r="L186" s="2" t="s">
        <v>33</v>
      </c>
      <c r="M186">
        <v>0.33</v>
      </c>
      <c r="N186">
        <v>0.83</v>
      </c>
      <c r="O186">
        <v>48604.28</v>
      </c>
      <c r="P186">
        <v>0</v>
      </c>
      <c r="Q186">
        <v>42</v>
      </c>
      <c r="R186">
        <v>28221.84</v>
      </c>
      <c r="S186">
        <v>67418.84</v>
      </c>
      <c r="T186">
        <v>9407.2799999999988</v>
      </c>
      <c r="U186">
        <v>0</v>
      </c>
      <c r="V186" s="2" t="s">
        <v>2056</v>
      </c>
      <c r="W186" s="2" t="s">
        <v>2057</v>
      </c>
      <c r="X186">
        <v>78394</v>
      </c>
      <c r="Y186">
        <v>0.23999999999999996</v>
      </c>
      <c r="Z186" s="2" t="s">
        <v>2058</v>
      </c>
    </row>
    <row r="187" spans="1:26" x14ac:dyDescent="0.3">
      <c r="A187" s="2" t="s">
        <v>416</v>
      </c>
      <c r="B187" s="1">
        <v>45213</v>
      </c>
      <c r="C187" s="2" t="s">
        <v>417</v>
      </c>
      <c r="D187" s="2" t="s">
        <v>53</v>
      </c>
      <c r="E187">
        <v>37332</v>
      </c>
      <c r="F187">
        <v>9.1</v>
      </c>
      <c r="G187">
        <v>36</v>
      </c>
      <c r="H187" s="2" t="s">
        <v>19</v>
      </c>
      <c r="I187" s="2" t="s">
        <v>57</v>
      </c>
      <c r="J187" s="2" t="s">
        <v>32</v>
      </c>
      <c r="K187">
        <v>46544</v>
      </c>
      <c r="L187" s="2" t="s">
        <v>33</v>
      </c>
      <c r="M187">
        <v>0.24</v>
      </c>
      <c r="N187">
        <v>0.86</v>
      </c>
      <c r="O187">
        <v>40729.21</v>
      </c>
      <c r="P187">
        <v>0</v>
      </c>
      <c r="Q187">
        <v>29</v>
      </c>
      <c r="R187">
        <v>10191.636</v>
      </c>
      <c r="S187">
        <v>47523.635999999999</v>
      </c>
      <c r="T187">
        <v>3397.2099999999991</v>
      </c>
      <c r="U187">
        <v>0</v>
      </c>
      <c r="V187" s="2" t="s">
        <v>2056</v>
      </c>
      <c r="W187" s="2" t="s">
        <v>2057</v>
      </c>
      <c r="X187">
        <v>28310.1</v>
      </c>
      <c r="Y187">
        <v>9.0999946426658068E-2</v>
      </c>
      <c r="Z187" s="2" t="s">
        <v>2058</v>
      </c>
    </row>
    <row r="188" spans="1:26" x14ac:dyDescent="0.3">
      <c r="A188" s="2" t="s">
        <v>418</v>
      </c>
      <c r="B188" s="1">
        <v>45077</v>
      </c>
      <c r="C188" s="2" t="s">
        <v>419</v>
      </c>
      <c r="D188" s="2" t="s">
        <v>46</v>
      </c>
      <c r="E188">
        <v>35157</v>
      </c>
      <c r="F188">
        <v>16.3</v>
      </c>
      <c r="G188">
        <v>60</v>
      </c>
      <c r="H188" s="2" t="s">
        <v>26</v>
      </c>
      <c r="I188" s="2" t="s">
        <v>84</v>
      </c>
      <c r="J188" s="2" t="s">
        <v>28</v>
      </c>
      <c r="K188">
        <v>45899</v>
      </c>
      <c r="L188" s="2" t="s">
        <v>33</v>
      </c>
      <c r="M188">
        <v>0.42</v>
      </c>
      <c r="N188">
        <v>0.55000000000000004</v>
      </c>
      <c r="O188">
        <v>12505.08</v>
      </c>
      <c r="P188">
        <v>0</v>
      </c>
      <c r="Q188">
        <v>33</v>
      </c>
      <c r="R188">
        <v>28652.954999999998</v>
      </c>
      <c r="S188">
        <v>63809.955000000002</v>
      </c>
      <c r="T188">
        <v>-22651.919999999998</v>
      </c>
      <c r="U188">
        <v>0</v>
      </c>
      <c r="V188" s="2" t="s">
        <v>2059</v>
      </c>
      <c r="W188" s="2" t="s">
        <v>2062</v>
      </c>
      <c r="X188">
        <v>47754.925000000003</v>
      </c>
      <c r="Y188">
        <v>-0.64430753477259151</v>
      </c>
      <c r="Z188" s="2" t="s">
        <v>2058</v>
      </c>
    </row>
    <row r="189" spans="1:26" x14ac:dyDescent="0.3">
      <c r="A189" s="2" t="s">
        <v>420</v>
      </c>
      <c r="B189" s="1">
        <v>44198</v>
      </c>
      <c r="C189" s="2" t="s">
        <v>421</v>
      </c>
      <c r="D189" s="2" t="s">
        <v>72</v>
      </c>
      <c r="E189">
        <v>12593</v>
      </c>
      <c r="F189">
        <v>24.6</v>
      </c>
      <c r="G189">
        <v>60</v>
      </c>
      <c r="H189" s="2" t="s">
        <v>26</v>
      </c>
      <c r="I189" s="2" t="s">
        <v>73</v>
      </c>
      <c r="J189" s="2" t="s">
        <v>21</v>
      </c>
      <c r="K189">
        <v>59063</v>
      </c>
      <c r="L189" s="2" t="s">
        <v>22</v>
      </c>
      <c r="M189">
        <v>0.2</v>
      </c>
      <c r="N189">
        <v>0.56000000000000005</v>
      </c>
      <c r="O189">
        <v>3295.91</v>
      </c>
      <c r="P189">
        <v>0</v>
      </c>
      <c r="Q189">
        <v>62</v>
      </c>
      <c r="R189">
        <v>15489.390000000005</v>
      </c>
      <c r="S189">
        <v>28082.390000000007</v>
      </c>
      <c r="T189">
        <v>-9297.09</v>
      </c>
      <c r="U189">
        <v>0</v>
      </c>
      <c r="V189" s="2" t="s">
        <v>2059</v>
      </c>
      <c r="W189" s="2" t="s">
        <v>2064</v>
      </c>
      <c r="X189">
        <v>25815.65</v>
      </c>
      <c r="Y189">
        <v>-0.73827443817994121</v>
      </c>
      <c r="Z189" s="2" t="s">
        <v>2061</v>
      </c>
    </row>
    <row r="190" spans="1:26" x14ac:dyDescent="0.3">
      <c r="A190" s="2" t="s">
        <v>422</v>
      </c>
      <c r="B190" s="1">
        <v>45093</v>
      </c>
      <c r="C190" s="2" t="s">
        <v>423</v>
      </c>
      <c r="D190" s="2" t="s">
        <v>40</v>
      </c>
      <c r="E190">
        <v>18320</v>
      </c>
      <c r="F190">
        <v>8.3000000000000007</v>
      </c>
      <c r="G190">
        <v>36</v>
      </c>
      <c r="H190" s="2" t="s">
        <v>19</v>
      </c>
      <c r="I190" s="2" t="s">
        <v>27</v>
      </c>
      <c r="J190" s="2" t="s">
        <v>37</v>
      </c>
      <c r="K190">
        <v>120880</v>
      </c>
      <c r="L190" s="2" t="s">
        <v>33</v>
      </c>
      <c r="M190">
        <v>0.49</v>
      </c>
      <c r="N190">
        <v>0.63</v>
      </c>
      <c r="O190">
        <v>19840.560000000001</v>
      </c>
      <c r="P190">
        <v>0</v>
      </c>
      <c r="Q190">
        <v>33</v>
      </c>
      <c r="R190">
        <v>4561.6799999999994</v>
      </c>
      <c r="S190">
        <v>22881.68</v>
      </c>
      <c r="T190">
        <v>1520.5600000000013</v>
      </c>
      <c r="U190">
        <v>0</v>
      </c>
      <c r="V190" s="2" t="s">
        <v>2056</v>
      </c>
      <c r="W190" s="2" t="s">
        <v>2060</v>
      </c>
      <c r="X190">
        <v>12671.3334</v>
      </c>
      <c r="Y190">
        <v>8.3000000000000074E-2</v>
      </c>
      <c r="Z190" s="2" t="s">
        <v>2058</v>
      </c>
    </row>
    <row r="191" spans="1:26" x14ac:dyDescent="0.3">
      <c r="A191" s="2" t="s">
        <v>424</v>
      </c>
      <c r="B191" s="1">
        <v>44450</v>
      </c>
      <c r="C191" s="2" t="s">
        <v>425</v>
      </c>
      <c r="D191" s="2" t="s">
        <v>18</v>
      </c>
      <c r="E191">
        <v>28376</v>
      </c>
      <c r="F191">
        <v>19</v>
      </c>
      <c r="G191">
        <v>60</v>
      </c>
      <c r="H191" s="2" t="s">
        <v>19</v>
      </c>
      <c r="I191" s="2" t="s">
        <v>57</v>
      </c>
      <c r="J191" s="2" t="s">
        <v>47</v>
      </c>
      <c r="K191">
        <v>33748</v>
      </c>
      <c r="L191" s="2" t="s">
        <v>22</v>
      </c>
      <c r="M191">
        <v>0.24</v>
      </c>
      <c r="N191">
        <v>0.73</v>
      </c>
      <c r="O191">
        <v>33767.440000000002</v>
      </c>
      <c r="P191">
        <v>0</v>
      </c>
      <c r="Q191">
        <v>54</v>
      </c>
      <c r="R191">
        <v>26957.199999999997</v>
      </c>
      <c r="S191">
        <v>55333.2</v>
      </c>
      <c r="T191">
        <v>5391.4400000000023</v>
      </c>
      <c r="U191">
        <v>0</v>
      </c>
      <c r="V191" s="2" t="s">
        <v>2056</v>
      </c>
      <c r="W191" s="2" t="s">
        <v>2057</v>
      </c>
      <c r="X191">
        <v>44928.666700000002</v>
      </c>
      <c r="Y191">
        <v>0.19000000000000009</v>
      </c>
      <c r="Z191" s="2" t="s">
        <v>2061</v>
      </c>
    </row>
    <row r="192" spans="1:26" x14ac:dyDescent="0.3">
      <c r="A192" s="2" t="s">
        <v>426</v>
      </c>
      <c r="B192" s="1">
        <v>44649</v>
      </c>
      <c r="C192" s="2" t="s">
        <v>427</v>
      </c>
      <c r="D192" s="2" t="s">
        <v>76</v>
      </c>
      <c r="E192">
        <v>15199</v>
      </c>
      <c r="F192">
        <v>16.7</v>
      </c>
      <c r="G192">
        <v>60</v>
      </c>
      <c r="H192" s="2" t="s">
        <v>26</v>
      </c>
      <c r="I192" s="2" t="s">
        <v>57</v>
      </c>
      <c r="J192" s="2" t="s">
        <v>21</v>
      </c>
      <c r="K192">
        <v>135022</v>
      </c>
      <c r="L192" s="2" t="s">
        <v>33</v>
      </c>
      <c r="M192">
        <v>0.23</v>
      </c>
      <c r="N192">
        <v>0.84</v>
      </c>
      <c r="O192">
        <v>3413</v>
      </c>
      <c r="P192">
        <v>0</v>
      </c>
      <c r="Q192">
        <v>47</v>
      </c>
      <c r="R192">
        <v>12691.164999999999</v>
      </c>
      <c r="S192">
        <v>27890.165000000001</v>
      </c>
      <c r="T192">
        <v>-11786</v>
      </c>
      <c r="U192">
        <v>0</v>
      </c>
      <c r="V192" s="2" t="s">
        <v>2059</v>
      </c>
      <c r="W192" s="2" t="s">
        <v>2057</v>
      </c>
      <c r="X192">
        <v>21151.941699999999</v>
      </c>
      <c r="Y192">
        <v>-0.77544575301006646</v>
      </c>
      <c r="Z192" s="2" t="s">
        <v>2058</v>
      </c>
    </row>
    <row r="193" spans="1:26" x14ac:dyDescent="0.3">
      <c r="A193" s="2" t="s">
        <v>428</v>
      </c>
      <c r="B193" s="1">
        <v>45257</v>
      </c>
      <c r="C193" s="2" t="s">
        <v>429</v>
      </c>
      <c r="D193" s="2" t="s">
        <v>53</v>
      </c>
      <c r="E193">
        <v>16876</v>
      </c>
      <c r="F193">
        <v>16.7</v>
      </c>
      <c r="G193">
        <v>36</v>
      </c>
      <c r="H193" s="2" t="s">
        <v>26</v>
      </c>
      <c r="I193" s="2" t="s">
        <v>41</v>
      </c>
      <c r="J193" s="2" t="s">
        <v>32</v>
      </c>
      <c r="K193">
        <v>147269</v>
      </c>
      <c r="L193" s="2" t="s">
        <v>29</v>
      </c>
      <c r="M193">
        <v>0.22</v>
      </c>
      <c r="N193">
        <v>0.88</v>
      </c>
      <c r="O193">
        <v>3698.91</v>
      </c>
      <c r="P193">
        <v>0</v>
      </c>
      <c r="Q193">
        <v>27</v>
      </c>
      <c r="R193">
        <v>8454.8760000000002</v>
      </c>
      <c r="S193">
        <v>25330.876</v>
      </c>
      <c r="T193">
        <v>-13177.09</v>
      </c>
      <c r="U193">
        <v>0</v>
      </c>
      <c r="V193" s="2" t="s">
        <v>2059</v>
      </c>
      <c r="W193" s="2" t="s">
        <v>2062</v>
      </c>
      <c r="X193">
        <v>23485.7667</v>
      </c>
      <c r="Y193">
        <v>-0.78081832187722211</v>
      </c>
      <c r="Z193" s="2" t="s">
        <v>2058</v>
      </c>
    </row>
    <row r="194" spans="1:26" x14ac:dyDescent="0.3">
      <c r="A194" s="2" t="s">
        <v>430</v>
      </c>
      <c r="B194" s="1">
        <v>45211</v>
      </c>
      <c r="C194" s="2" t="s">
        <v>431</v>
      </c>
      <c r="D194" s="2" t="s">
        <v>25</v>
      </c>
      <c r="E194">
        <v>9245</v>
      </c>
      <c r="F194">
        <v>19</v>
      </c>
      <c r="G194">
        <v>60</v>
      </c>
      <c r="H194" s="2" t="s">
        <v>60</v>
      </c>
      <c r="I194" s="2" t="s">
        <v>20</v>
      </c>
      <c r="J194" s="2" t="s">
        <v>28</v>
      </c>
      <c r="K194">
        <v>96629</v>
      </c>
      <c r="L194" s="2" t="s">
        <v>22</v>
      </c>
      <c r="M194">
        <v>0.15</v>
      </c>
      <c r="N194">
        <v>0.82</v>
      </c>
      <c r="O194">
        <v>0</v>
      </c>
      <c r="P194">
        <v>0</v>
      </c>
      <c r="Q194">
        <v>29</v>
      </c>
      <c r="R194">
        <v>8782.75</v>
      </c>
      <c r="S194">
        <v>18027.75</v>
      </c>
      <c r="T194">
        <v>-9245</v>
      </c>
      <c r="U194">
        <v>0</v>
      </c>
      <c r="V194" s="2" t="s">
        <v>2063</v>
      </c>
      <c r="W194" s="2" t="s">
        <v>2057</v>
      </c>
      <c r="X194">
        <v>14637.9167</v>
      </c>
      <c r="Y194">
        <v>-1</v>
      </c>
      <c r="Z194" s="2" t="s">
        <v>2058</v>
      </c>
    </row>
    <row r="195" spans="1:26" x14ac:dyDescent="0.3">
      <c r="A195" s="2" t="s">
        <v>432</v>
      </c>
      <c r="B195" s="1">
        <v>44205</v>
      </c>
      <c r="C195" s="2" t="s">
        <v>433</v>
      </c>
      <c r="D195" s="2" t="s">
        <v>18</v>
      </c>
      <c r="E195">
        <v>8214</v>
      </c>
      <c r="F195">
        <v>23.6</v>
      </c>
      <c r="G195">
        <v>60</v>
      </c>
      <c r="H195" s="2" t="s">
        <v>26</v>
      </c>
      <c r="I195" s="2" t="s">
        <v>73</v>
      </c>
      <c r="J195" s="2" t="s">
        <v>32</v>
      </c>
      <c r="K195">
        <v>110764</v>
      </c>
      <c r="L195" s="2" t="s">
        <v>29</v>
      </c>
      <c r="M195">
        <v>0.14000000000000001</v>
      </c>
      <c r="N195">
        <v>0.92</v>
      </c>
      <c r="O195">
        <v>2776.51</v>
      </c>
      <c r="P195">
        <v>0</v>
      </c>
      <c r="Q195">
        <v>62</v>
      </c>
      <c r="R195">
        <v>9692.52</v>
      </c>
      <c r="S195">
        <v>17906.52</v>
      </c>
      <c r="T195">
        <v>-5437.49</v>
      </c>
      <c r="U195">
        <v>0</v>
      </c>
      <c r="V195" s="2" t="s">
        <v>2059</v>
      </c>
      <c r="W195" s="2" t="s">
        <v>2064</v>
      </c>
      <c r="X195">
        <v>16154.2</v>
      </c>
      <c r="Y195">
        <v>-0.66197832968103232</v>
      </c>
      <c r="Z195" s="2" t="s">
        <v>2058</v>
      </c>
    </row>
    <row r="196" spans="1:26" x14ac:dyDescent="0.3">
      <c r="A196" s="2" t="s">
        <v>434</v>
      </c>
      <c r="B196" s="1">
        <v>45012</v>
      </c>
      <c r="C196" s="2" t="s">
        <v>435</v>
      </c>
      <c r="D196" s="2" t="s">
        <v>56</v>
      </c>
      <c r="E196">
        <v>1726</v>
      </c>
      <c r="F196">
        <v>20.7</v>
      </c>
      <c r="G196">
        <v>36</v>
      </c>
      <c r="H196" s="2" t="s">
        <v>26</v>
      </c>
      <c r="I196" s="2" t="s">
        <v>84</v>
      </c>
      <c r="J196" s="2" t="s">
        <v>21</v>
      </c>
      <c r="K196">
        <v>50884</v>
      </c>
      <c r="L196" s="2" t="s">
        <v>22</v>
      </c>
      <c r="M196">
        <v>0.36</v>
      </c>
      <c r="N196">
        <v>0.83</v>
      </c>
      <c r="O196">
        <v>470.61</v>
      </c>
      <c r="P196">
        <v>0</v>
      </c>
      <c r="Q196">
        <v>35</v>
      </c>
      <c r="R196">
        <v>1071.846</v>
      </c>
      <c r="S196">
        <v>2797.846</v>
      </c>
      <c r="T196">
        <v>-1255.3899999999999</v>
      </c>
      <c r="U196">
        <v>0</v>
      </c>
      <c r="V196" s="2" t="s">
        <v>2059</v>
      </c>
      <c r="W196" s="2" t="s">
        <v>2062</v>
      </c>
      <c r="X196">
        <v>2977.35</v>
      </c>
      <c r="Y196">
        <v>-0.72734067207415987</v>
      </c>
      <c r="Z196" s="2" t="s">
        <v>2058</v>
      </c>
    </row>
    <row r="197" spans="1:26" x14ac:dyDescent="0.3">
      <c r="A197" s="2" t="s">
        <v>436</v>
      </c>
      <c r="B197" s="1">
        <v>44404</v>
      </c>
      <c r="C197" s="2" t="s">
        <v>437</v>
      </c>
      <c r="D197" s="2" t="s">
        <v>50</v>
      </c>
      <c r="E197">
        <v>12362</v>
      </c>
      <c r="F197">
        <v>6.1</v>
      </c>
      <c r="G197">
        <v>36</v>
      </c>
      <c r="H197" s="2" t="s">
        <v>19</v>
      </c>
      <c r="I197" s="2" t="s">
        <v>20</v>
      </c>
      <c r="J197" s="2" t="s">
        <v>47</v>
      </c>
      <c r="K197">
        <v>55183</v>
      </c>
      <c r="L197" s="2" t="s">
        <v>33</v>
      </c>
      <c r="M197">
        <v>0.45</v>
      </c>
      <c r="N197">
        <v>0.64</v>
      </c>
      <c r="O197">
        <v>13116.08</v>
      </c>
      <c r="P197">
        <v>0</v>
      </c>
      <c r="Q197">
        <v>55</v>
      </c>
      <c r="R197">
        <v>2262.2460000000001</v>
      </c>
      <c r="S197">
        <v>14624.245999999999</v>
      </c>
      <c r="T197">
        <v>754.07999999999993</v>
      </c>
      <c r="U197">
        <v>0</v>
      </c>
      <c r="V197" s="2" t="s">
        <v>2056</v>
      </c>
      <c r="W197" s="2" t="s">
        <v>2057</v>
      </c>
      <c r="X197">
        <v>6284.0190000000002</v>
      </c>
      <c r="Y197">
        <v>6.099983821388124E-2</v>
      </c>
      <c r="Z197" s="2" t="s">
        <v>2058</v>
      </c>
    </row>
    <row r="198" spans="1:26" x14ac:dyDescent="0.3">
      <c r="A198" s="2" t="s">
        <v>438</v>
      </c>
      <c r="B198" s="1">
        <v>44600</v>
      </c>
      <c r="C198" s="2" t="s">
        <v>439</v>
      </c>
      <c r="D198" s="2" t="s">
        <v>56</v>
      </c>
      <c r="E198">
        <v>19297</v>
      </c>
      <c r="F198">
        <v>22.1</v>
      </c>
      <c r="G198">
        <v>60</v>
      </c>
      <c r="H198" s="2" t="s">
        <v>19</v>
      </c>
      <c r="I198" s="2" t="s">
        <v>57</v>
      </c>
      <c r="J198" s="2" t="s">
        <v>37</v>
      </c>
      <c r="K198">
        <v>111570</v>
      </c>
      <c r="L198" s="2" t="s">
        <v>33</v>
      </c>
      <c r="M198">
        <v>0.42</v>
      </c>
      <c r="N198">
        <v>0.62</v>
      </c>
      <c r="O198">
        <v>23561.64</v>
      </c>
      <c r="P198">
        <v>0</v>
      </c>
      <c r="Q198">
        <v>49</v>
      </c>
      <c r="R198">
        <v>21323.184999999998</v>
      </c>
      <c r="S198">
        <v>40620.184999999998</v>
      </c>
      <c r="T198">
        <v>4264.6399999999994</v>
      </c>
      <c r="U198">
        <v>0</v>
      </c>
      <c r="V198" s="2" t="s">
        <v>2056</v>
      </c>
      <c r="W198" s="2" t="s">
        <v>2057</v>
      </c>
      <c r="X198">
        <v>35538.6417</v>
      </c>
      <c r="Y198">
        <v>0.22100015546457996</v>
      </c>
      <c r="Z198" s="2" t="s">
        <v>2058</v>
      </c>
    </row>
    <row r="199" spans="1:26" x14ac:dyDescent="0.3">
      <c r="A199" s="2" t="s">
        <v>440</v>
      </c>
      <c r="B199" s="1">
        <v>44348</v>
      </c>
      <c r="C199" s="2" t="s">
        <v>441</v>
      </c>
      <c r="D199" s="2" t="s">
        <v>56</v>
      </c>
      <c r="E199">
        <v>31448</v>
      </c>
      <c r="F199">
        <v>9.5</v>
      </c>
      <c r="G199">
        <v>36</v>
      </c>
      <c r="H199" s="2" t="s">
        <v>19</v>
      </c>
      <c r="I199" s="2" t="s">
        <v>73</v>
      </c>
      <c r="J199" s="2" t="s">
        <v>21</v>
      </c>
      <c r="K199">
        <v>101246</v>
      </c>
      <c r="L199" s="2" t="s">
        <v>29</v>
      </c>
      <c r="M199">
        <v>0.16</v>
      </c>
      <c r="N199">
        <v>0.81</v>
      </c>
      <c r="O199">
        <v>34435.56</v>
      </c>
      <c r="P199">
        <v>0</v>
      </c>
      <c r="Q199">
        <v>57</v>
      </c>
      <c r="R199">
        <v>8962.68</v>
      </c>
      <c r="S199">
        <v>40410.68</v>
      </c>
      <c r="T199">
        <v>2987.5599999999977</v>
      </c>
      <c r="U199">
        <v>0</v>
      </c>
      <c r="V199" s="2" t="s">
        <v>2056</v>
      </c>
      <c r="W199" s="2" t="s">
        <v>2064</v>
      </c>
      <c r="X199">
        <v>24896.3334</v>
      </c>
      <c r="Y199">
        <v>9.4999999999999932E-2</v>
      </c>
      <c r="Z199" s="2" t="s">
        <v>2058</v>
      </c>
    </row>
    <row r="200" spans="1:26" x14ac:dyDescent="0.3">
      <c r="A200" s="2" t="s">
        <v>442</v>
      </c>
      <c r="B200" s="1">
        <v>44250</v>
      </c>
      <c r="C200" s="2" t="s">
        <v>443</v>
      </c>
      <c r="D200" s="2" t="s">
        <v>40</v>
      </c>
      <c r="E200">
        <v>27172</v>
      </c>
      <c r="F200">
        <v>12.5</v>
      </c>
      <c r="G200">
        <v>60</v>
      </c>
      <c r="H200" s="2" t="s">
        <v>26</v>
      </c>
      <c r="I200" s="2" t="s">
        <v>73</v>
      </c>
      <c r="J200" s="2" t="s">
        <v>47</v>
      </c>
      <c r="K200">
        <v>138036</v>
      </c>
      <c r="L200" s="2" t="s">
        <v>33</v>
      </c>
      <c r="M200">
        <v>0.32</v>
      </c>
      <c r="N200">
        <v>0.59</v>
      </c>
      <c r="O200">
        <v>11741.28</v>
      </c>
      <c r="P200">
        <v>0</v>
      </c>
      <c r="Q200">
        <v>60</v>
      </c>
      <c r="R200">
        <v>16982.5</v>
      </c>
      <c r="S200">
        <v>44154.5</v>
      </c>
      <c r="T200">
        <v>-15430.72</v>
      </c>
      <c r="U200">
        <v>0</v>
      </c>
      <c r="V200" s="2" t="s">
        <v>2059</v>
      </c>
      <c r="W200" s="2" t="s">
        <v>2064</v>
      </c>
      <c r="X200">
        <v>28304.166700000002</v>
      </c>
      <c r="Y200">
        <v>-0.56789047548947447</v>
      </c>
      <c r="Z200" s="2" t="s">
        <v>2061</v>
      </c>
    </row>
    <row r="201" spans="1:26" x14ac:dyDescent="0.3">
      <c r="A201" s="2" t="s">
        <v>444</v>
      </c>
      <c r="B201" s="1">
        <v>44824</v>
      </c>
      <c r="C201" s="2" t="s">
        <v>445</v>
      </c>
      <c r="D201" s="2" t="s">
        <v>65</v>
      </c>
      <c r="E201">
        <v>8657</v>
      </c>
      <c r="F201">
        <v>14.2</v>
      </c>
      <c r="G201">
        <v>36</v>
      </c>
      <c r="H201" s="2" t="s">
        <v>26</v>
      </c>
      <c r="I201" s="2" t="s">
        <v>73</v>
      </c>
      <c r="J201" s="2" t="s">
        <v>21</v>
      </c>
      <c r="K201">
        <v>49259</v>
      </c>
      <c r="L201" s="2" t="s">
        <v>22</v>
      </c>
      <c r="M201">
        <v>0.14000000000000001</v>
      </c>
      <c r="N201">
        <v>0.54</v>
      </c>
      <c r="O201">
        <v>3840.38</v>
      </c>
      <c r="P201">
        <v>0</v>
      </c>
      <c r="Q201">
        <v>41</v>
      </c>
      <c r="R201">
        <v>3687.8819999999996</v>
      </c>
      <c r="S201">
        <v>12344.882</v>
      </c>
      <c r="T201">
        <v>-4816.62</v>
      </c>
      <c r="U201">
        <v>0</v>
      </c>
      <c r="V201" s="2" t="s">
        <v>2059</v>
      </c>
      <c r="W201" s="2" t="s">
        <v>2064</v>
      </c>
      <c r="X201">
        <v>10244.1167</v>
      </c>
      <c r="Y201">
        <v>-0.55638442878595351</v>
      </c>
      <c r="Z201" s="2" t="s">
        <v>2061</v>
      </c>
    </row>
    <row r="202" spans="1:26" x14ac:dyDescent="0.3">
      <c r="A202" s="2" t="s">
        <v>446</v>
      </c>
      <c r="B202" s="1">
        <v>44783</v>
      </c>
      <c r="C202" s="2" t="s">
        <v>447</v>
      </c>
      <c r="D202" s="2" t="s">
        <v>76</v>
      </c>
      <c r="E202">
        <v>19850</v>
      </c>
      <c r="F202">
        <v>14.6</v>
      </c>
      <c r="G202">
        <v>60</v>
      </c>
      <c r="H202" s="2" t="s">
        <v>19</v>
      </c>
      <c r="I202" s="2" t="s">
        <v>57</v>
      </c>
      <c r="J202" s="2" t="s">
        <v>28</v>
      </c>
      <c r="K202">
        <v>65959</v>
      </c>
      <c r="L202" s="2" t="s">
        <v>33</v>
      </c>
      <c r="M202">
        <v>0.12</v>
      </c>
      <c r="N202">
        <v>0.74</v>
      </c>
      <c r="O202">
        <v>22748.1</v>
      </c>
      <c r="P202">
        <v>0</v>
      </c>
      <c r="Q202">
        <v>43</v>
      </c>
      <c r="R202">
        <v>14490.5</v>
      </c>
      <c r="S202">
        <v>34340.5</v>
      </c>
      <c r="T202">
        <v>2898.0999999999985</v>
      </c>
      <c r="U202">
        <v>0</v>
      </c>
      <c r="V202" s="2" t="s">
        <v>2056</v>
      </c>
      <c r="W202" s="2" t="s">
        <v>2057</v>
      </c>
      <c r="X202">
        <v>24150.833299999998</v>
      </c>
      <c r="Y202">
        <v>0.14599999999999994</v>
      </c>
      <c r="Z202" s="2" t="s">
        <v>2061</v>
      </c>
    </row>
    <row r="203" spans="1:26" x14ac:dyDescent="0.3">
      <c r="A203" s="2" t="s">
        <v>448</v>
      </c>
      <c r="B203" s="1">
        <v>44300</v>
      </c>
      <c r="C203" s="2" t="s">
        <v>449</v>
      </c>
      <c r="D203" s="2" t="s">
        <v>53</v>
      </c>
      <c r="E203">
        <v>26425</v>
      </c>
      <c r="F203">
        <v>13.7</v>
      </c>
      <c r="G203">
        <v>36</v>
      </c>
      <c r="H203" s="2" t="s">
        <v>19</v>
      </c>
      <c r="I203" s="2" t="s">
        <v>73</v>
      </c>
      <c r="J203" s="2" t="s">
        <v>32</v>
      </c>
      <c r="K203">
        <v>146525</v>
      </c>
      <c r="L203" s="2" t="s">
        <v>33</v>
      </c>
      <c r="M203">
        <v>0.36</v>
      </c>
      <c r="N203">
        <v>0.87</v>
      </c>
      <c r="O203">
        <v>30045.22</v>
      </c>
      <c r="P203">
        <v>0</v>
      </c>
      <c r="Q203">
        <v>59</v>
      </c>
      <c r="R203">
        <v>10860.674999999999</v>
      </c>
      <c r="S203">
        <v>37285.675000000003</v>
      </c>
      <c r="T203">
        <v>3620.2200000000012</v>
      </c>
      <c r="U203">
        <v>0</v>
      </c>
      <c r="V203" s="2" t="s">
        <v>2056</v>
      </c>
      <c r="W203" s="2" t="s">
        <v>2064</v>
      </c>
      <c r="X203">
        <v>30168.541700000002</v>
      </c>
      <c r="Y203">
        <v>0.13699981078524129</v>
      </c>
      <c r="Z203" s="2" t="s">
        <v>2058</v>
      </c>
    </row>
    <row r="204" spans="1:26" x14ac:dyDescent="0.3">
      <c r="A204" s="2" t="s">
        <v>450</v>
      </c>
      <c r="B204" s="1">
        <v>44450</v>
      </c>
      <c r="C204" s="2" t="s">
        <v>451</v>
      </c>
      <c r="D204" s="2" t="s">
        <v>65</v>
      </c>
      <c r="E204">
        <v>27685</v>
      </c>
      <c r="F204">
        <v>23.7</v>
      </c>
      <c r="G204">
        <v>60</v>
      </c>
      <c r="H204" s="2" t="s">
        <v>19</v>
      </c>
      <c r="I204" s="2" t="s">
        <v>73</v>
      </c>
      <c r="J204" s="2" t="s">
        <v>37</v>
      </c>
      <c r="K204">
        <v>63457</v>
      </c>
      <c r="L204" s="2" t="s">
        <v>22</v>
      </c>
      <c r="M204">
        <v>0.31</v>
      </c>
      <c r="N204">
        <v>0.55000000000000004</v>
      </c>
      <c r="O204">
        <v>34246.339999999997</v>
      </c>
      <c r="P204">
        <v>0</v>
      </c>
      <c r="Q204">
        <v>54</v>
      </c>
      <c r="R204">
        <v>32806.724999999999</v>
      </c>
      <c r="S204">
        <v>60491.724999999999</v>
      </c>
      <c r="T204">
        <v>6561.3399999999965</v>
      </c>
      <c r="U204">
        <v>0</v>
      </c>
      <c r="V204" s="2" t="s">
        <v>2056</v>
      </c>
      <c r="W204" s="2" t="s">
        <v>2064</v>
      </c>
      <c r="X204">
        <v>54677.875</v>
      </c>
      <c r="Y204">
        <v>0.23699981939678513</v>
      </c>
      <c r="Z204" s="2" t="s">
        <v>2061</v>
      </c>
    </row>
    <row r="205" spans="1:26" x14ac:dyDescent="0.3">
      <c r="A205" s="2" t="s">
        <v>452</v>
      </c>
      <c r="B205" s="1">
        <v>44706</v>
      </c>
      <c r="C205" s="2" t="s">
        <v>453</v>
      </c>
      <c r="D205" s="2" t="s">
        <v>18</v>
      </c>
      <c r="E205">
        <v>25578</v>
      </c>
      <c r="F205">
        <v>19.100000000000001</v>
      </c>
      <c r="G205">
        <v>60</v>
      </c>
      <c r="H205" s="2" t="s">
        <v>81</v>
      </c>
      <c r="I205" s="2" t="s">
        <v>27</v>
      </c>
      <c r="J205" s="2" t="s">
        <v>47</v>
      </c>
      <c r="K205">
        <v>115679</v>
      </c>
      <c r="L205" s="2" t="s">
        <v>29</v>
      </c>
      <c r="M205">
        <v>0.13</v>
      </c>
      <c r="N205">
        <v>0.86</v>
      </c>
      <c r="O205">
        <v>3866.58</v>
      </c>
      <c r="P205">
        <v>7371.47</v>
      </c>
      <c r="Q205">
        <v>45</v>
      </c>
      <c r="R205">
        <v>24426.99</v>
      </c>
      <c r="S205">
        <v>50004.990000000005</v>
      </c>
      <c r="T205">
        <v>-14339.95</v>
      </c>
      <c r="U205">
        <v>1</v>
      </c>
      <c r="V205" s="2" t="s">
        <v>2063</v>
      </c>
      <c r="W205" s="2" t="s">
        <v>2060</v>
      </c>
      <c r="X205">
        <v>40711.65</v>
      </c>
      <c r="Y205">
        <v>-0.56063609351786692</v>
      </c>
      <c r="Z205" s="2" t="s">
        <v>2058</v>
      </c>
    </row>
    <row r="206" spans="1:26" x14ac:dyDescent="0.3">
      <c r="A206" s="2" t="s">
        <v>454</v>
      </c>
      <c r="B206" s="1">
        <v>44295</v>
      </c>
      <c r="C206" s="2" t="s">
        <v>455</v>
      </c>
      <c r="D206" s="2" t="s">
        <v>56</v>
      </c>
      <c r="E206">
        <v>29831</v>
      </c>
      <c r="F206">
        <v>17.600000000000001</v>
      </c>
      <c r="G206">
        <v>60</v>
      </c>
      <c r="H206" s="2" t="s">
        <v>26</v>
      </c>
      <c r="I206" s="2" t="s">
        <v>20</v>
      </c>
      <c r="J206" s="2" t="s">
        <v>37</v>
      </c>
      <c r="K206">
        <v>32103</v>
      </c>
      <c r="L206" s="2" t="s">
        <v>29</v>
      </c>
      <c r="M206">
        <v>0.11</v>
      </c>
      <c r="N206">
        <v>0.87</v>
      </c>
      <c r="O206">
        <v>3320.34</v>
      </c>
      <c r="P206">
        <v>0</v>
      </c>
      <c r="Q206">
        <v>59</v>
      </c>
      <c r="R206">
        <v>26251.28000000001</v>
      </c>
      <c r="S206">
        <v>56082.280000000013</v>
      </c>
      <c r="T206">
        <v>-26510.66</v>
      </c>
      <c r="U206">
        <v>0</v>
      </c>
      <c r="V206" s="2" t="s">
        <v>2059</v>
      </c>
      <c r="W206" s="2" t="s">
        <v>2057</v>
      </c>
      <c r="X206">
        <v>43752.133300000001</v>
      </c>
      <c r="Y206">
        <v>-0.88869498173041461</v>
      </c>
      <c r="Z206" s="2" t="s">
        <v>2058</v>
      </c>
    </row>
    <row r="207" spans="1:26" x14ac:dyDescent="0.3">
      <c r="A207" s="2" t="s">
        <v>456</v>
      </c>
      <c r="B207" s="1">
        <v>44349</v>
      </c>
      <c r="C207" s="2" t="s">
        <v>457</v>
      </c>
      <c r="D207" s="2" t="s">
        <v>40</v>
      </c>
      <c r="E207">
        <v>8906</v>
      </c>
      <c r="F207">
        <v>6</v>
      </c>
      <c r="G207">
        <v>36</v>
      </c>
      <c r="H207" s="2" t="s">
        <v>26</v>
      </c>
      <c r="I207" s="2" t="s">
        <v>27</v>
      </c>
      <c r="J207" s="2" t="s">
        <v>37</v>
      </c>
      <c r="K207">
        <v>95901</v>
      </c>
      <c r="L207" s="2" t="s">
        <v>33</v>
      </c>
      <c r="M207">
        <v>0.5</v>
      </c>
      <c r="N207">
        <v>0.72</v>
      </c>
      <c r="O207">
        <v>2971.76</v>
      </c>
      <c r="P207">
        <v>0</v>
      </c>
      <c r="Q207">
        <v>57</v>
      </c>
      <c r="R207">
        <v>1603.08</v>
      </c>
      <c r="S207">
        <v>10509.08</v>
      </c>
      <c r="T207">
        <v>-5934.24</v>
      </c>
      <c r="U207">
        <v>0</v>
      </c>
      <c r="V207" s="2" t="s">
        <v>2059</v>
      </c>
      <c r="W207" s="2" t="s">
        <v>2060</v>
      </c>
      <c r="X207">
        <v>4453.0020000000004</v>
      </c>
      <c r="Y207">
        <v>-0.66631933527958676</v>
      </c>
      <c r="Z207" s="2" t="s">
        <v>2058</v>
      </c>
    </row>
    <row r="208" spans="1:26" x14ac:dyDescent="0.3">
      <c r="A208" s="2" t="s">
        <v>458</v>
      </c>
      <c r="B208" s="1">
        <v>45110</v>
      </c>
      <c r="C208" s="2" t="s">
        <v>459</v>
      </c>
      <c r="D208" s="2" t="s">
        <v>18</v>
      </c>
      <c r="E208">
        <v>8287</v>
      </c>
      <c r="F208">
        <v>23.1</v>
      </c>
      <c r="G208">
        <v>36</v>
      </c>
      <c r="H208" s="2" t="s">
        <v>26</v>
      </c>
      <c r="I208" s="2" t="s">
        <v>36</v>
      </c>
      <c r="J208" s="2" t="s">
        <v>37</v>
      </c>
      <c r="K208">
        <v>142314</v>
      </c>
      <c r="L208" s="2" t="s">
        <v>22</v>
      </c>
      <c r="M208">
        <v>0.11</v>
      </c>
      <c r="N208">
        <v>0.53</v>
      </c>
      <c r="O208">
        <v>1537.67</v>
      </c>
      <c r="P208">
        <v>0</v>
      </c>
      <c r="Q208">
        <v>32</v>
      </c>
      <c r="R208">
        <v>5742.8909999999996</v>
      </c>
      <c r="S208">
        <v>14029.891</v>
      </c>
      <c r="T208">
        <v>-6749.33</v>
      </c>
      <c r="U208">
        <v>0</v>
      </c>
      <c r="V208" s="2" t="s">
        <v>2059</v>
      </c>
      <c r="W208" s="2" t="s">
        <v>2062</v>
      </c>
      <c r="X208">
        <v>15952.475</v>
      </c>
      <c r="Y208">
        <v>-0.81444793049354414</v>
      </c>
      <c r="Z208" s="2" t="s">
        <v>2061</v>
      </c>
    </row>
    <row r="209" spans="1:26" x14ac:dyDescent="0.3">
      <c r="A209" s="2" t="s">
        <v>460</v>
      </c>
      <c r="B209" s="1">
        <v>45074</v>
      </c>
      <c r="C209" s="2" t="s">
        <v>461</v>
      </c>
      <c r="D209" s="2" t="s">
        <v>50</v>
      </c>
      <c r="E209">
        <v>34660</v>
      </c>
      <c r="F209">
        <v>23.2</v>
      </c>
      <c r="G209">
        <v>60</v>
      </c>
      <c r="H209" s="2" t="s">
        <v>81</v>
      </c>
      <c r="I209" s="2" t="s">
        <v>73</v>
      </c>
      <c r="J209" s="2" t="s">
        <v>47</v>
      </c>
      <c r="K209">
        <v>74535</v>
      </c>
      <c r="L209" s="2" t="s">
        <v>29</v>
      </c>
      <c r="M209">
        <v>0.28000000000000003</v>
      </c>
      <c r="N209">
        <v>0.57999999999999996</v>
      </c>
      <c r="O209">
        <v>3659.1</v>
      </c>
      <c r="P209">
        <v>4720.7299999999996</v>
      </c>
      <c r="Q209">
        <v>33</v>
      </c>
      <c r="R209">
        <v>40205.599999999999</v>
      </c>
      <c r="S209">
        <v>74865.600000000006</v>
      </c>
      <c r="T209">
        <v>-26280.17</v>
      </c>
      <c r="U209">
        <v>1</v>
      </c>
      <c r="V209" s="2" t="s">
        <v>2063</v>
      </c>
      <c r="W209" s="2" t="s">
        <v>2064</v>
      </c>
      <c r="X209">
        <v>67009.333299999998</v>
      </c>
      <c r="Y209">
        <v>-0.75822763993075581</v>
      </c>
      <c r="Z209" s="2" t="s">
        <v>2061</v>
      </c>
    </row>
    <row r="210" spans="1:26" x14ac:dyDescent="0.3">
      <c r="A210" s="2" t="s">
        <v>462</v>
      </c>
      <c r="B210" s="1">
        <v>44534</v>
      </c>
      <c r="C210" s="2" t="s">
        <v>463</v>
      </c>
      <c r="D210" s="2" t="s">
        <v>76</v>
      </c>
      <c r="E210">
        <v>11222</v>
      </c>
      <c r="F210">
        <v>20.6</v>
      </c>
      <c r="G210">
        <v>60</v>
      </c>
      <c r="H210" s="2" t="s">
        <v>26</v>
      </c>
      <c r="I210" s="2" t="s">
        <v>27</v>
      </c>
      <c r="J210" s="2" t="s">
        <v>47</v>
      </c>
      <c r="K210">
        <v>46103</v>
      </c>
      <c r="L210" s="2" t="s">
        <v>29</v>
      </c>
      <c r="M210">
        <v>0.3</v>
      </c>
      <c r="N210">
        <v>0.82</v>
      </c>
      <c r="O210">
        <v>5048.66</v>
      </c>
      <c r="P210">
        <v>0</v>
      </c>
      <c r="Q210">
        <v>51</v>
      </c>
      <c r="R210">
        <v>11558.659999999998</v>
      </c>
      <c r="S210">
        <v>22780.659999999996</v>
      </c>
      <c r="T210">
        <v>-6173.34</v>
      </c>
      <c r="U210">
        <v>0</v>
      </c>
      <c r="V210" s="2" t="s">
        <v>2059</v>
      </c>
      <c r="W210" s="2" t="s">
        <v>2060</v>
      </c>
      <c r="X210">
        <v>19264.433300000001</v>
      </c>
      <c r="Y210">
        <v>-0.55011049723756911</v>
      </c>
      <c r="Z210" s="2" t="s">
        <v>2058</v>
      </c>
    </row>
    <row r="211" spans="1:26" x14ac:dyDescent="0.3">
      <c r="A211" s="2" t="s">
        <v>464</v>
      </c>
      <c r="B211" s="1">
        <v>45018</v>
      </c>
      <c r="C211" s="2" t="s">
        <v>465</v>
      </c>
      <c r="D211" s="2" t="s">
        <v>53</v>
      </c>
      <c r="E211">
        <v>38443</v>
      </c>
      <c r="F211">
        <v>5.0999999999999996</v>
      </c>
      <c r="G211">
        <v>36</v>
      </c>
      <c r="H211" s="2" t="s">
        <v>26</v>
      </c>
      <c r="I211" s="2" t="s">
        <v>73</v>
      </c>
      <c r="J211" s="2" t="s">
        <v>37</v>
      </c>
      <c r="K211">
        <v>128046</v>
      </c>
      <c r="L211" s="2" t="s">
        <v>33</v>
      </c>
      <c r="M211">
        <v>0.15</v>
      </c>
      <c r="N211">
        <v>0.82</v>
      </c>
      <c r="O211">
        <v>5847.39</v>
      </c>
      <c r="P211">
        <v>0</v>
      </c>
      <c r="Q211">
        <v>35</v>
      </c>
      <c r="R211">
        <v>5881.7789999999995</v>
      </c>
      <c r="S211">
        <v>44324.779000000002</v>
      </c>
      <c r="T211">
        <v>-32595.61</v>
      </c>
      <c r="U211">
        <v>0</v>
      </c>
      <c r="V211" s="2" t="s">
        <v>2059</v>
      </c>
      <c r="W211" s="2" t="s">
        <v>2064</v>
      </c>
      <c r="X211">
        <v>16338.322399999999</v>
      </c>
      <c r="Y211">
        <v>-0.84789454517077234</v>
      </c>
      <c r="Z211" s="2" t="s">
        <v>2058</v>
      </c>
    </row>
    <row r="212" spans="1:26" x14ac:dyDescent="0.3">
      <c r="A212" s="2" t="s">
        <v>466</v>
      </c>
      <c r="B212" s="1">
        <v>45153</v>
      </c>
      <c r="C212" s="2" t="s">
        <v>467</v>
      </c>
      <c r="D212" s="2" t="s">
        <v>50</v>
      </c>
      <c r="E212">
        <v>35701</v>
      </c>
      <c r="F212">
        <v>6.1</v>
      </c>
      <c r="G212">
        <v>36</v>
      </c>
      <c r="H212" s="2" t="s">
        <v>19</v>
      </c>
      <c r="I212" s="2" t="s">
        <v>84</v>
      </c>
      <c r="J212" s="2" t="s">
        <v>32</v>
      </c>
      <c r="K212">
        <v>120012</v>
      </c>
      <c r="L212" s="2" t="s">
        <v>22</v>
      </c>
      <c r="M212">
        <v>0.17</v>
      </c>
      <c r="N212">
        <v>0.9</v>
      </c>
      <c r="O212">
        <v>37878.76</v>
      </c>
      <c r="P212">
        <v>0</v>
      </c>
      <c r="Q212">
        <v>31</v>
      </c>
      <c r="R212">
        <v>6533.2829999999994</v>
      </c>
      <c r="S212">
        <v>42234.282999999996</v>
      </c>
      <c r="T212">
        <v>2177.760000000002</v>
      </c>
      <c r="U212">
        <v>0</v>
      </c>
      <c r="V212" s="2" t="s">
        <v>2056</v>
      </c>
      <c r="W212" s="2" t="s">
        <v>2062</v>
      </c>
      <c r="X212">
        <v>18148.015100000001</v>
      </c>
      <c r="Y212">
        <v>6.0999971989580182E-2</v>
      </c>
      <c r="Z212" s="2" t="s">
        <v>2058</v>
      </c>
    </row>
    <row r="213" spans="1:26" x14ac:dyDescent="0.3">
      <c r="A213" s="2" t="s">
        <v>468</v>
      </c>
      <c r="B213" s="1">
        <v>44357</v>
      </c>
      <c r="C213" s="2" t="s">
        <v>469</v>
      </c>
      <c r="D213" s="2" t="s">
        <v>40</v>
      </c>
      <c r="E213">
        <v>18764</v>
      </c>
      <c r="F213">
        <v>9.5</v>
      </c>
      <c r="G213">
        <v>36</v>
      </c>
      <c r="H213" s="2" t="s">
        <v>19</v>
      </c>
      <c r="I213" s="2" t="s">
        <v>36</v>
      </c>
      <c r="J213" s="2" t="s">
        <v>21</v>
      </c>
      <c r="K213">
        <v>108278</v>
      </c>
      <c r="L213" s="2" t="s">
        <v>29</v>
      </c>
      <c r="M213">
        <v>0.24</v>
      </c>
      <c r="N213">
        <v>0.76</v>
      </c>
      <c r="O213">
        <v>20546.580000000002</v>
      </c>
      <c r="P213">
        <v>0</v>
      </c>
      <c r="Q213">
        <v>57</v>
      </c>
      <c r="R213">
        <v>5347.74</v>
      </c>
      <c r="S213">
        <v>24111.739999999998</v>
      </c>
      <c r="T213">
        <v>1782.5800000000017</v>
      </c>
      <c r="U213">
        <v>0</v>
      </c>
      <c r="V213" s="2" t="s">
        <v>2056</v>
      </c>
      <c r="W213" s="2" t="s">
        <v>2062</v>
      </c>
      <c r="X213">
        <v>14854.8333</v>
      </c>
      <c r="Y213">
        <v>9.5000000000000098E-2</v>
      </c>
      <c r="Z213" s="2" t="s">
        <v>2061</v>
      </c>
    </row>
    <row r="214" spans="1:26" x14ac:dyDescent="0.3">
      <c r="A214" s="2" t="s">
        <v>470</v>
      </c>
      <c r="B214" s="1">
        <v>44997</v>
      </c>
      <c r="C214" s="2" t="s">
        <v>471</v>
      </c>
      <c r="D214" s="2" t="s">
        <v>76</v>
      </c>
      <c r="E214">
        <v>18674</v>
      </c>
      <c r="F214">
        <v>7.6</v>
      </c>
      <c r="G214">
        <v>36</v>
      </c>
      <c r="H214" s="2" t="s">
        <v>19</v>
      </c>
      <c r="I214" s="2" t="s">
        <v>20</v>
      </c>
      <c r="J214" s="2" t="s">
        <v>37</v>
      </c>
      <c r="K214">
        <v>42391</v>
      </c>
      <c r="L214" s="2" t="s">
        <v>33</v>
      </c>
      <c r="M214">
        <v>0.4</v>
      </c>
      <c r="N214">
        <v>0.56000000000000005</v>
      </c>
      <c r="O214">
        <v>20093.22</v>
      </c>
      <c r="P214">
        <v>0</v>
      </c>
      <c r="Q214">
        <v>36</v>
      </c>
      <c r="R214">
        <v>4257.6719999999996</v>
      </c>
      <c r="S214">
        <v>22931.671999999999</v>
      </c>
      <c r="T214">
        <v>1419.2200000000012</v>
      </c>
      <c r="U214">
        <v>0</v>
      </c>
      <c r="V214" s="2" t="s">
        <v>2056</v>
      </c>
      <c r="W214" s="2" t="s">
        <v>2057</v>
      </c>
      <c r="X214">
        <v>11826.866900000001</v>
      </c>
      <c r="Y214">
        <v>7.5999785798436387E-2</v>
      </c>
      <c r="Z214" s="2" t="s">
        <v>2061</v>
      </c>
    </row>
    <row r="215" spans="1:26" x14ac:dyDescent="0.3">
      <c r="A215" s="2" t="s">
        <v>472</v>
      </c>
      <c r="B215" s="1">
        <v>44594</v>
      </c>
      <c r="C215" s="2" t="s">
        <v>473</v>
      </c>
      <c r="D215" s="2" t="s">
        <v>18</v>
      </c>
      <c r="E215">
        <v>19024</v>
      </c>
      <c r="F215">
        <v>13</v>
      </c>
      <c r="G215">
        <v>36</v>
      </c>
      <c r="H215" s="2" t="s">
        <v>19</v>
      </c>
      <c r="I215" s="2" t="s">
        <v>57</v>
      </c>
      <c r="J215" s="2" t="s">
        <v>28</v>
      </c>
      <c r="K215">
        <v>132476</v>
      </c>
      <c r="L215" s="2" t="s">
        <v>33</v>
      </c>
      <c r="M215">
        <v>0.3</v>
      </c>
      <c r="N215">
        <v>0.55000000000000004</v>
      </c>
      <c r="O215">
        <v>21497.119999999999</v>
      </c>
      <c r="P215">
        <v>0</v>
      </c>
      <c r="Q215">
        <v>49</v>
      </c>
      <c r="R215">
        <v>7419.36</v>
      </c>
      <c r="S215">
        <v>26443.360000000001</v>
      </c>
      <c r="T215">
        <v>2473.119999999999</v>
      </c>
      <c r="U215">
        <v>0</v>
      </c>
      <c r="V215" s="2" t="s">
        <v>2056</v>
      </c>
      <c r="W215" s="2" t="s">
        <v>2057</v>
      </c>
      <c r="X215">
        <v>20609.333299999998</v>
      </c>
      <c r="Y215">
        <v>0.12999999999999995</v>
      </c>
      <c r="Z215" s="2" t="s">
        <v>2061</v>
      </c>
    </row>
    <row r="216" spans="1:26" x14ac:dyDescent="0.3">
      <c r="A216" s="2" t="s">
        <v>474</v>
      </c>
      <c r="B216" s="1">
        <v>45012</v>
      </c>
      <c r="C216" s="2" t="s">
        <v>475</v>
      </c>
      <c r="D216" s="2" t="s">
        <v>56</v>
      </c>
      <c r="E216">
        <v>24874</v>
      </c>
      <c r="F216">
        <v>23.5</v>
      </c>
      <c r="G216">
        <v>36</v>
      </c>
      <c r="H216" s="2" t="s">
        <v>60</v>
      </c>
      <c r="I216" s="2" t="s">
        <v>57</v>
      </c>
      <c r="J216" s="2" t="s">
        <v>37</v>
      </c>
      <c r="K216">
        <v>58901</v>
      </c>
      <c r="L216" s="2" t="s">
        <v>33</v>
      </c>
      <c r="M216">
        <v>0.36</v>
      </c>
      <c r="N216">
        <v>0.82</v>
      </c>
      <c r="O216">
        <v>0</v>
      </c>
      <c r="P216">
        <v>0</v>
      </c>
      <c r="Q216">
        <v>35</v>
      </c>
      <c r="R216">
        <v>17536.170000000002</v>
      </c>
      <c r="S216">
        <v>42410.17</v>
      </c>
      <c r="T216">
        <v>-24874</v>
      </c>
      <c r="U216">
        <v>0</v>
      </c>
      <c r="V216" s="2" t="s">
        <v>2063</v>
      </c>
      <c r="W216" s="2" t="s">
        <v>2057</v>
      </c>
      <c r="X216">
        <v>48711.583299999998</v>
      </c>
      <c r="Y216">
        <v>-1</v>
      </c>
      <c r="Z216" s="2" t="s">
        <v>2058</v>
      </c>
    </row>
    <row r="217" spans="1:26" x14ac:dyDescent="0.3">
      <c r="A217" s="2" t="s">
        <v>476</v>
      </c>
      <c r="B217" s="1">
        <v>44597</v>
      </c>
      <c r="C217" s="2" t="s">
        <v>477</v>
      </c>
      <c r="D217" s="2" t="s">
        <v>56</v>
      </c>
      <c r="E217">
        <v>33284</v>
      </c>
      <c r="F217">
        <v>14.4</v>
      </c>
      <c r="G217">
        <v>60</v>
      </c>
      <c r="H217" s="2" t="s">
        <v>19</v>
      </c>
      <c r="I217" s="2" t="s">
        <v>57</v>
      </c>
      <c r="J217" s="2" t="s">
        <v>47</v>
      </c>
      <c r="K217">
        <v>127537</v>
      </c>
      <c r="L217" s="2" t="s">
        <v>33</v>
      </c>
      <c r="M217">
        <v>0.49</v>
      </c>
      <c r="N217">
        <v>0.57999999999999996</v>
      </c>
      <c r="O217">
        <v>38076.9</v>
      </c>
      <c r="P217">
        <v>0</v>
      </c>
      <c r="Q217">
        <v>49</v>
      </c>
      <c r="R217">
        <v>23964.48</v>
      </c>
      <c r="S217">
        <v>57248.479999999996</v>
      </c>
      <c r="T217">
        <v>4792.9000000000015</v>
      </c>
      <c r="U217">
        <v>0</v>
      </c>
      <c r="V217" s="2" t="s">
        <v>2056</v>
      </c>
      <c r="W217" s="2" t="s">
        <v>2057</v>
      </c>
      <c r="X217">
        <v>39940.800000000003</v>
      </c>
      <c r="Y217">
        <v>0.14400012017786329</v>
      </c>
      <c r="Z217" s="2" t="s">
        <v>2058</v>
      </c>
    </row>
    <row r="218" spans="1:26" x14ac:dyDescent="0.3">
      <c r="A218" s="2" t="s">
        <v>478</v>
      </c>
      <c r="B218" s="1">
        <v>44836</v>
      </c>
      <c r="C218" s="2" t="s">
        <v>479</v>
      </c>
      <c r="D218" s="2" t="s">
        <v>46</v>
      </c>
      <c r="E218">
        <v>18602</v>
      </c>
      <c r="F218">
        <v>5.3</v>
      </c>
      <c r="G218">
        <v>36</v>
      </c>
      <c r="H218" s="2" t="s">
        <v>81</v>
      </c>
      <c r="I218" s="2" t="s">
        <v>20</v>
      </c>
      <c r="J218" s="2" t="s">
        <v>21</v>
      </c>
      <c r="K218">
        <v>111159</v>
      </c>
      <c r="L218" s="2" t="s">
        <v>29</v>
      </c>
      <c r="M218">
        <v>0.41</v>
      </c>
      <c r="N218">
        <v>0.65</v>
      </c>
      <c r="O218">
        <v>7046.14</v>
      </c>
      <c r="P218">
        <v>4694.51</v>
      </c>
      <c r="Q218">
        <v>41</v>
      </c>
      <c r="R218">
        <v>2957.7179999999994</v>
      </c>
      <c r="S218">
        <v>21559.718000000001</v>
      </c>
      <c r="T218">
        <v>-6861.3499999999985</v>
      </c>
      <c r="U218">
        <v>1</v>
      </c>
      <c r="V218" s="2" t="s">
        <v>2063</v>
      </c>
      <c r="W218" s="2" t="s">
        <v>2057</v>
      </c>
      <c r="X218">
        <v>8215.8989999999994</v>
      </c>
      <c r="Y218">
        <v>-0.36885012364261899</v>
      </c>
      <c r="Z218" s="2" t="s">
        <v>2058</v>
      </c>
    </row>
    <row r="219" spans="1:26" x14ac:dyDescent="0.3">
      <c r="A219" s="2" t="s">
        <v>480</v>
      </c>
      <c r="B219" s="1">
        <v>45253</v>
      </c>
      <c r="C219" s="2" t="s">
        <v>481</v>
      </c>
      <c r="D219" s="2" t="s">
        <v>56</v>
      </c>
      <c r="E219">
        <v>38784</v>
      </c>
      <c r="F219">
        <v>10.7</v>
      </c>
      <c r="G219">
        <v>60</v>
      </c>
      <c r="H219" s="2" t="s">
        <v>19</v>
      </c>
      <c r="I219" s="2" t="s">
        <v>84</v>
      </c>
      <c r="J219" s="2" t="s">
        <v>28</v>
      </c>
      <c r="K219">
        <v>97914</v>
      </c>
      <c r="L219" s="2" t="s">
        <v>22</v>
      </c>
      <c r="M219">
        <v>0.27</v>
      </c>
      <c r="N219">
        <v>0.72</v>
      </c>
      <c r="O219">
        <v>42933.89</v>
      </c>
      <c r="P219">
        <v>0</v>
      </c>
      <c r="Q219">
        <v>27</v>
      </c>
      <c r="R219">
        <v>20749.439999999999</v>
      </c>
      <c r="S219">
        <v>59533.440000000002</v>
      </c>
      <c r="T219">
        <v>4149.8899999999994</v>
      </c>
      <c r="U219">
        <v>0</v>
      </c>
      <c r="V219" s="2" t="s">
        <v>2056</v>
      </c>
      <c r="W219" s="2" t="s">
        <v>2062</v>
      </c>
      <c r="X219">
        <v>34582.400000000001</v>
      </c>
      <c r="Y219">
        <v>0.10700005156765675</v>
      </c>
      <c r="Z219" s="2" t="s">
        <v>2061</v>
      </c>
    </row>
    <row r="220" spans="1:26" x14ac:dyDescent="0.3">
      <c r="A220" s="2" t="s">
        <v>482</v>
      </c>
      <c r="B220" s="1">
        <v>44884</v>
      </c>
      <c r="C220" s="2" t="s">
        <v>483</v>
      </c>
      <c r="D220" s="2" t="s">
        <v>72</v>
      </c>
      <c r="E220">
        <v>24265</v>
      </c>
      <c r="F220">
        <v>5.9</v>
      </c>
      <c r="G220">
        <v>36</v>
      </c>
      <c r="H220" s="2" t="s">
        <v>19</v>
      </c>
      <c r="I220" s="2" t="s">
        <v>20</v>
      </c>
      <c r="J220" s="2" t="s">
        <v>21</v>
      </c>
      <c r="K220">
        <v>80357</v>
      </c>
      <c r="L220" s="2" t="s">
        <v>33</v>
      </c>
      <c r="M220">
        <v>0.28000000000000003</v>
      </c>
      <c r="N220">
        <v>0.51</v>
      </c>
      <c r="O220">
        <v>25696.639999999999</v>
      </c>
      <c r="P220">
        <v>0</v>
      </c>
      <c r="Q220">
        <v>40</v>
      </c>
      <c r="R220">
        <v>4294.9049999999997</v>
      </c>
      <c r="S220">
        <v>28559.904999999999</v>
      </c>
      <c r="T220">
        <v>1431.6399999999994</v>
      </c>
      <c r="U220">
        <v>0</v>
      </c>
      <c r="V220" s="2" t="s">
        <v>2056</v>
      </c>
      <c r="W220" s="2" t="s">
        <v>2057</v>
      </c>
      <c r="X220">
        <v>11930.2983</v>
      </c>
      <c r="Y220">
        <v>5.9000206058108365E-2</v>
      </c>
      <c r="Z220" s="2" t="s">
        <v>2061</v>
      </c>
    </row>
    <row r="221" spans="1:26" x14ac:dyDescent="0.3">
      <c r="A221" s="2" t="s">
        <v>484</v>
      </c>
      <c r="B221" s="1">
        <v>44656</v>
      </c>
      <c r="C221" s="2" t="s">
        <v>485</v>
      </c>
      <c r="D221" s="2" t="s">
        <v>56</v>
      </c>
      <c r="E221">
        <v>26931</v>
      </c>
      <c r="F221">
        <v>5.7</v>
      </c>
      <c r="G221">
        <v>36</v>
      </c>
      <c r="H221" s="2" t="s">
        <v>81</v>
      </c>
      <c r="I221" s="2" t="s">
        <v>73</v>
      </c>
      <c r="J221" s="2" t="s">
        <v>21</v>
      </c>
      <c r="K221">
        <v>116908</v>
      </c>
      <c r="L221" s="2" t="s">
        <v>33</v>
      </c>
      <c r="M221">
        <v>0.35</v>
      </c>
      <c r="N221">
        <v>0.61</v>
      </c>
      <c r="O221">
        <v>8489.4699999999993</v>
      </c>
      <c r="P221">
        <v>8648.65</v>
      </c>
      <c r="Q221">
        <v>47</v>
      </c>
      <c r="R221">
        <v>4605.201</v>
      </c>
      <c r="S221">
        <v>31536.201000000001</v>
      </c>
      <c r="T221">
        <v>-9792.880000000001</v>
      </c>
      <c r="U221">
        <v>1</v>
      </c>
      <c r="V221" s="2" t="s">
        <v>2063</v>
      </c>
      <c r="W221" s="2" t="s">
        <v>2064</v>
      </c>
      <c r="X221">
        <v>12792.235699999999</v>
      </c>
      <c r="Y221">
        <v>-0.36362853217481717</v>
      </c>
      <c r="Z221" s="2" t="s">
        <v>2061</v>
      </c>
    </row>
    <row r="222" spans="1:26" x14ac:dyDescent="0.3">
      <c r="A222" s="2" t="s">
        <v>486</v>
      </c>
      <c r="B222" s="1">
        <v>45151</v>
      </c>
      <c r="C222" s="2" t="s">
        <v>487</v>
      </c>
      <c r="D222" s="2" t="s">
        <v>72</v>
      </c>
      <c r="E222">
        <v>29841</v>
      </c>
      <c r="F222">
        <v>10.5</v>
      </c>
      <c r="G222">
        <v>60</v>
      </c>
      <c r="H222" s="2" t="s">
        <v>19</v>
      </c>
      <c r="I222" s="2" t="s">
        <v>27</v>
      </c>
      <c r="J222" s="2" t="s">
        <v>28</v>
      </c>
      <c r="K222">
        <v>140335</v>
      </c>
      <c r="L222" s="2" t="s">
        <v>29</v>
      </c>
      <c r="M222">
        <v>0.37</v>
      </c>
      <c r="N222">
        <v>0.68</v>
      </c>
      <c r="O222">
        <v>32974.300000000003</v>
      </c>
      <c r="P222">
        <v>0</v>
      </c>
      <c r="Q222">
        <v>31</v>
      </c>
      <c r="R222">
        <v>15666.525</v>
      </c>
      <c r="S222">
        <v>45507.525000000001</v>
      </c>
      <c r="T222">
        <v>3133.3000000000029</v>
      </c>
      <c r="U222">
        <v>0</v>
      </c>
      <c r="V222" s="2" t="s">
        <v>2056</v>
      </c>
      <c r="W222" s="2" t="s">
        <v>2060</v>
      </c>
      <c r="X222">
        <v>26110.875</v>
      </c>
      <c r="Y222">
        <v>0.10499983244529348</v>
      </c>
      <c r="Z222" s="2" t="s">
        <v>2061</v>
      </c>
    </row>
    <row r="223" spans="1:26" x14ac:dyDescent="0.3">
      <c r="A223" s="2" t="s">
        <v>488</v>
      </c>
      <c r="B223" s="1">
        <v>44666</v>
      </c>
      <c r="C223" s="2" t="s">
        <v>489</v>
      </c>
      <c r="D223" s="2" t="s">
        <v>25</v>
      </c>
      <c r="E223">
        <v>30192</v>
      </c>
      <c r="F223">
        <v>10.5</v>
      </c>
      <c r="G223">
        <v>60</v>
      </c>
      <c r="H223" s="2" t="s">
        <v>19</v>
      </c>
      <c r="I223" s="2" t="s">
        <v>20</v>
      </c>
      <c r="J223" s="2" t="s">
        <v>37</v>
      </c>
      <c r="K223">
        <v>68437</v>
      </c>
      <c r="L223" s="2" t="s">
        <v>33</v>
      </c>
      <c r="M223">
        <v>0.3</v>
      </c>
      <c r="N223">
        <v>0.63</v>
      </c>
      <c r="O223">
        <v>33362.160000000003</v>
      </c>
      <c r="P223">
        <v>0</v>
      </c>
      <c r="Q223">
        <v>47</v>
      </c>
      <c r="R223">
        <v>15850.799999999997</v>
      </c>
      <c r="S223">
        <v>46042.799999999996</v>
      </c>
      <c r="T223">
        <v>3170.1600000000035</v>
      </c>
      <c r="U223">
        <v>0</v>
      </c>
      <c r="V223" s="2" t="s">
        <v>2056</v>
      </c>
      <c r="W223" s="2" t="s">
        <v>2057</v>
      </c>
      <c r="X223">
        <v>26418</v>
      </c>
      <c r="Y223">
        <v>0.10500000000000012</v>
      </c>
      <c r="Z223" s="2" t="s">
        <v>2061</v>
      </c>
    </row>
    <row r="224" spans="1:26" x14ac:dyDescent="0.3">
      <c r="A224" s="2" t="s">
        <v>490</v>
      </c>
      <c r="B224" s="1">
        <v>45242</v>
      </c>
      <c r="C224" s="2" t="s">
        <v>491</v>
      </c>
      <c r="D224" s="2" t="s">
        <v>72</v>
      </c>
      <c r="E224">
        <v>16585</v>
      </c>
      <c r="F224">
        <v>20.7</v>
      </c>
      <c r="G224">
        <v>36</v>
      </c>
      <c r="H224" s="2" t="s">
        <v>19</v>
      </c>
      <c r="I224" s="2" t="s">
        <v>36</v>
      </c>
      <c r="J224" s="2" t="s">
        <v>37</v>
      </c>
      <c r="K224">
        <v>65503</v>
      </c>
      <c r="L224" s="2" t="s">
        <v>33</v>
      </c>
      <c r="M224">
        <v>0.36</v>
      </c>
      <c r="N224">
        <v>0.56000000000000005</v>
      </c>
      <c r="O224">
        <v>20018.099999999999</v>
      </c>
      <c r="P224">
        <v>0</v>
      </c>
      <c r="Q224">
        <v>28</v>
      </c>
      <c r="R224">
        <v>10299.285</v>
      </c>
      <c r="S224">
        <v>26884.285</v>
      </c>
      <c r="T224">
        <v>3433.0999999999985</v>
      </c>
      <c r="U224">
        <v>0</v>
      </c>
      <c r="V224" s="2" t="s">
        <v>2056</v>
      </c>
      <c r="W224" s="2" t="s">
        <v>2062</v>
      </c>
      <c r="X224">
        <v>28609.125</v>
      </c>
      <c r="Y224">
        <v>0.20700030147723839</v>
      </c>
      <c r="Z224" s="2" t="s">
        <v>2061</v>
      </c>
    </row>
    <row r="225" spans="1:26" x14ac:dyDescent="0.3">
      <c r="A225" s="2" t="s">
        <v>492</v>
      </c>
      <c r="B225" s="1">
        <v>44946</v>
      </c>
      <c r="C225" s="2" t="s">
        <v>493</v>
      </c>
      <c r="D225" s="2" t="s">
        <v>76</v>
      </c>
      <c r="E225">
        <v>26559</v>
      </c>
      <c r="F225">
        <v>24.5</v>
      </c>
      <c r="G225">
        <v>60</v>
      </c>
      <c r="H225" s="2" t="s">
        <v>26</v>
      </c>
      <c r="I225" s="2" t="s">
        <v>84</v>
      </c>
      <c r="J225" s="2" t="s">
        <v>37</v>
      </c>
      <c r="K225">
        <v>126282</v>
      </c>
      <c r="L225" s="2" t="s">
        <v>22</v>
      </c>
      <c r="M225">
        <v>0.11</v>
      </c>
      <c r="N225">
        <v>0.83</v>
      </c>
      <c r="O225">
        <v>10442.84</v>
      </c>
      <c r="P225">
        <v>0</v>
      </c>
      <c r="Q225">
        <v>37</v>
      </c>
      <c r="R225">
        <v>32534.774999999998</v>
      </c>
      <c r="S225">
        <v>59093.774999999994</v>
      </c>
      <c r="T225">
        <v>-16116.16</v>
      </c>
      <c r="U225">
        <v>0</v>
      </c>
      <c r="V225" s="2" t="s">
        <v>2059</v>
      </c>
      <c r="W225" s="2" t="s">
        <v>2062</v>
      </c>
      <c r="X225">
        <v>54224.625</v>
      </c>
      <c r="Y225">
        <v>-0.60680597914078094</v>
      </c>
      <c r="Z225" s="2" t="s">
        <v>2058</v>
      </c>
    </row>
    <row r="226" spans="1:26" x14ac:dyDescent="0.3">
      <c r="A226" s="2" t="s">
        <v>494</v>
      </c>
      <c r="B226" s="1">
        <v>44234</v>
      </c>
      <c r="C226" s="2" t="s">
        <v>495</v>
      </c>
      <c r="D226" s="2" t="s">
        <v>50</v>
      </c>
      <c r="E226">
        <v>34742</v>
      </c>
      <c r="F226">
        <v>12.4</v>
      </c>
      <c r="G226">
        <v>60</v>
      </c>
      <c r="H226" s="2" t="s">
        <v>19</v>
      </c>
      <c r="I226" s="2" t="s">
        <v>73</v>
      </c>
      <c r="J226" s="2" t="s">
        <v>32</v>
      </c>
      <c r="K226">
        <v>123459</v>
      </c>
      <c r="L226" s="2" t="s">
        <v>33</v>
      </c>
      <c r="M226">
        <v>0.27</v>
      </c>
      <c r="N226">
        <v>0.87</v>
      </c>
      <c r="O226">
        <v>39050.01</v>
      </c>
      <c r="P226">
        <v>0</v>
      </c>
      <c r="Q226">
        <v>61</v>
      </c>
      <c r="R226">
        <v>21540.039999999997</v>
      </c>
      <c r="S226">
        <v>56282.039999999994</v>
      </c>
      <c r="T226">
        <v>4308.010000000002</v>
      </c>
      <c r="U226">
        <v>0</v>
      </c>
      <c r="V226" s="2" t="s">
        <v>2056</v>
      </c>
      <c r="W226" s="2" t="s">
        <v>2064</v>
      </c>
      <c r="X226">
        <v>35900.066700000003</v>
      </c>
      <c r="Y226">
        <v>0.12400005756720978</v>
      </c>
      <c r="Z226" s="2" t="s">
        <v>2058</v>
      </c>
    </row>
    <row r="227" spans="1:26" x14ac:dyDescent="0.3">
      <c r="A227" s="2" t="s">
        <v>496</v>
      </c>
      <c r="B227" s="1">
        <v>44426</v>
      </c>
      <c r="C227" s="2" t="s">
        <v>497</v>
      </c>
      <c r="D227" s="2" t="s">
        <v>76</v>
      </c>
      <c r="E227">
        <v>5133</v>
      </c>
      <c r="F227">
        <v>13.6</v>
      </c>
      <c r="G227">
        <v>60</v>
      </c>
      <c r="H227" s="2" t="s">
        <v>26</v>
      </c>
      <c r="I227" s="2" t="s">
        <v>57</v>
      </c>
      <c r="J227" s="2" t="s">
        <v>37</v>
      </c>
      <c r="K227">
        <v>105403</v>
      </c>
      <c r="L227" s="2" t="s">
        <v>29</v>
      </c>
      <c r="M227">
        <v>0.21</v>
      </c>
      <c r="N227">
        <v>0.62</v>
      </c>
      <c r="O227">
        <v>722</v>
      </c>
      <c r="P227">
        <v>0</v>
      </c>
      <c r="Q227">
        <v>55</v>
      </c>
      <c r="R227">
        <v>3490.4400000000005</v>
      </c>
      <c r="S227">
        <v>8623.44</v>
      </c>
      <c r="T227">
        <v>-4411</v>
      </c>
      <c r="U227">
        <v>0</v>
      </c>
      <c r="V227" s="2" t="s">
        <v>2059</v>
      </c>
      <c r="W227" s="2" t="s">
        <v>2057</v>
      </c>
      <c r="X227">
        <v>5817.4</v>
      </c>
      <c r="Y227">
        <v>-0.85934151568283657</v>
      </c>
      <c r="Z227" s="2" t="s">
        <v>2061</v>
      </c>
    </row>
    <row r="228" spans="1:26" x14ac:dyDescent="0.3">
      <c r="A228" s="2" t="s">
        <v>498</v>
      </c>
      <c r="B228" s="1">
        <v>44759</v>
      </c>
      <c r="C228" s="2" t="s">
        <v>499</v>
      </c>
      <c r="D228" s="2" t="s">
        <v>50</v>
      </c>
      <c r="E228">
        <v>15663</v>
      </c>
      <c r="F228">
        <v>21.9</v>
      </c>
      <c r="G228">
        <v>60</v>
      </c>
      <c r="H228" s="2" t="s">
        <v>26</v>
      </c>
      <c r="I228" s="2" t="s">
        <v>20</v>
      </c>
      <c r="J228" s="2" t="s">
        <v>28</v>
      </c>
      <c r="K228">
        <v>71258</v>
      </c>
      <c r="L228" s="2" t="s">
        <v>22</v>
      </c>
      <c r="M228">
        <v>0.15</v>
      </c>
      <c r="N228">
        <v>0.85</v>
      </c>
      <c r="O228">
        <v>2433.83</v>
      </c>
      <c r="P228">
        <v>0</v>
      </c>
      <c r="Q228">
        <v>44</v>
      </c>
      <c r="R228">
        <v>17150.984999999997</v>
      </c>
      <c r="S228">
        <v>32813.985000000001</v>
      </c>
      <c r="T228">
        <v>-13229.17</v>
      </c>
      <c r="U228">
        <v>0</v>
      </c>
      <c r="V228" s="2" t="s">
        <v>2059</v>
      </c>
      <c r="W228" s="2" t="s">
        <v>2057</v>
      </c>
      <c r="X228">
        <v>28584.974999999999</v>
      </c>
      <c r="Y228">
        <v>-0.84461278171486942</v>
      </c>
      <c r="Z228" s="2" t="s">
        <v>2058</v>
      </c>
    </row>
    <row r="229" spans="1:26" x14ac:dyDescent="0.3">
      <c r="A229" s="2" t="s">
        <v>500</v>
      </c>
      <c r="B229" s="1">
        <v>44634</v>
      </c>
      <c r="C229" s="2" t="s">
        <v>501</v>
      </c>
      <c r="D229" s="2" t="s">
        <v>46</v>
      </c>
      <c r="E229">
        <v>22754</v>
      </c>
      <c r="F229">
        <v>10.4</v>
      </c>
      <c r="G229">
        <v>36</v>
      </c>
      <c r="H229" s="2" t="s">
        <v>26</v>
      </c>
      <c r="I229" s="2" t="s">
        <v>27</v>
      </c>
      <c r="J229" s="2" t="s">
        <v>32</v>
      </c>
      <c r="K229">
        <v>63724</v>
      </c>
      <c r="L229" s="2" t="s">
        <v>29</v>
      </c>
      <c r="M229">
        <v>0.14000000000000001</v>
      </c>
      <c r="N229">
        <v>0.67</v>
      </c>
      <c r="O229">
        <v>6475.12</v>
      </c>
      <c r="P229">
        <v>0</v>
      </c>
      <c r="Q229">
        <v>48</v>
      </c>
      <c r="R229">
        <v>7099.2480000000005</v>
      </c>
      <c r="S229">
        <v>29853.248</v>
      </c>
      <c r="T229">
        <v>-16278.880000000001</v>
      </c>
      <c r="U229">
        <v>0</v>
      </c>
      <c r="V229" s="2" t="s">
        <v>2059</v>
      </c>
      <c r="W229" s="2" t="s">
        <v>2060</v>
      </c>
      <c r="X229">
        <v>19720.133300000001</v>
      </c>
      <c r="Y229">
        <v>-0.71542937505493542</v>
      </c>
      <c r="Z229" s="2" t="s">
        <v>2061</v>
      </c>
    </row>
    <row r="230" spans="1:26" x14ac:dyDescent="0.3">
      <c r="A230" s="2" t="s">
        <v>502</v>
      </c>
      <c r="B230" s="1">
        <v>44223</v>
      </c>
      <c r="C230" s="2" t="s">
        <v>503</v>
      </c>
      <c r="D230" s="2" t="s">
        <v>25</v>
      </c>
      <c r="E230">
        <v>4972</v>
      </c>
      <c r="F230">
        <v>8.1</v>
      </c>
      <c r="G230">
        <v>60</v>
      </c>
      <c r="H230" s="2" t="s">
        <v>26</v>
      </c>
      <c r="I230" s="2" t="s">
        <v>20</v>
      </c>
      <c r="J230" s="2" t="s">
        <v>37</v>
      </c>
      <c r="K230">
        <v>94286</v>
      </c>
      <c r="L230" s="2" t="s">
        <v>22</v>
      </c>
      <c r="M230">
        <v>0.34</v>
      </c>
      <c r="N230">
        <v>0.73</v>
      </c>
      <c r="O230">
        <v>633.66</v>
      </c>
      <c r="P230">
        <v>0</v>
      </c>
      <c r="Q230">
        <v>61</v>
      </c>
      <c r="R230">
        <v>2013.6599999999999</v>
      </c>
      <c r="S230">
        <v>6985.66</v>
      </c>
      <c r="T230">
        <v>-4338.34</v>
      </c>
      <c r="U230">
        <v>0</v>
      </c>
      <c r="V230" s="2" t="s">
        <v>2059</v>
      </c>
      <c r="W230" s="2" t="s">
        <v>2057</v>
      </c>
      <c r="X230">
        <v>3356.1</v>
      </c>
      <c r="Y230">
        <v>-0.87255430410297674</v>
      </c>
      <c r="Z230" s="2" t="s">
        <v>2061</v>
      </c>
    </row>
    <row r="231" spans="1:26" x14ac:dyDescent="0.3">
      <c r="A231" s="2" t="s">
        <v>504</v>
      </c>
      <c r="B231" s="1">
        <v>44422</v>
      </c>
      <c r="C231" s="2" t="s">
        <v>505</v>
      </c>
      <c r="D231" s="2" t="s">
        <v>50</v>
      </c>
      <c r="E231">
        <v>6295</v>
      </c>
      <c r="F231">
        <v>22.1</v>
      </c>
      <c r="G231">
        <v>36</v>
      </c>
      <c r="H231" s="2" t="s">
        <v>19</v>
      </c>
      <c r="I231" s="2" t="s">
        <v>27</v>
      </c>
      <c r="J231" s="2" t="s">
        <v>32</v>
      </c>
      <c r="K231">
        <v>104842</v>
      </c>
      <c r="L231" s="2" t="s">
        <v>22</v>
      </c>
      <c r="M231">
        <v>0.31</v>
      </c>
      <c r="N231">
        <v>0.89</v>
      </c>
      <c r="O231">
        <v>7686.2</v>
      </c>
      <c r="P231">
        <v>0</v>
      </c>
      <c r="Q231">
        <v>55</v>
      </c>
      <c r="R231">
        <v>4173.585</v>
      </c>
      <c r="S231">
        <v>10468.584999999999</v>
      </c>
      <c r="T231">
        <v>1391.1999999999998</v>
      </c>
      <c r="U231">
        <v>0</v>
      </c>
      <c r="V231" s="2" t="s">
        <v>2056</v>
      </c>
      <c r="W231" s="2" t="s">
        <v>2060</v>
      </c>
      <c r="X231">
        <v>11593.2917</v>
      </c>
      <c r="Y231">
        <v>0.2210007942811755</v>
      </c>
      <c r="Z231" s="2" t="s">
        <v>2058</v>
      </c>
    </row>
    <row r="232" spans="1:26" x14ac:dyDescent="0.3">
      <c r="A232" s="2" t="s">
        <v>506</v>
      </c>
      <c r="B232" s="1">
        <v>44994</v>
      </c>
      <c r="C232" s="2" t="s">
        <v>507</v>
      </c>
      <c r="D232" s="2" t="s">
        <v>50</v>
      </c>
      <c r="E232">
        <v>30125</v>
      </c>
      <c r="F232">
        <v>5.9</v>
      </c>
      <c r="G232">
        <v>36</v>
      </c>
      <c r="H232" s="2" t="s">
        <v>19</v>
      </c>
      <c r="I232" s="2" t="s">
        <v>84</v>
      </c>
      <c r="J232" s="2" t="s">
        <v>28</v>
      </c>
      <c r="K232">
        <v>134927</v>
      </c>
      <c r="L232" s="2" t="s">
        <v>33</v>
      </c>
      <c r="M232">
        <v>0.2</v>
      </c>
      <c r="N232">
        <v>0.84</v>
      </c>
      <c r="O232">
        <v>31902.38</v>
      </c>
      <c r="P232">
        <v>0</v>
      </c>
      <c r="Q232">
        <v>36</v>
      </c>
      <c r="R232">
        <v>5332.125</v>
      </c>
      <c r="S232">
        <v>35457.125</v>
      </c>
      <c r="T232">
        <v>1777.380000000001</v>
      </c>
      <c r="U232">
        <v>0</v>
      </c>
      <c r="V232" s="2" t="s">
        <v>2056</v>
      </c>
      <c r="W232" s="2" t="s">
        <v>2062</v>
      </c>
      <c r="X232">
        <v>14811.4666</v>
      </c>
      <c r="Y232">
        <v>5.9000165975103769E-2</v>
      </c>
      <c r="Z232" s="2" t="s">
        <v>2058</v>
      </c>
    </row>
    <row r="233" spans="1:26" x14ac:dyDescent="0.3">
      <c r="A233" s="2" t="s">
        <v>508</v>
      </c>
      <c r="B233" s="1">
        <v>44480</v>
      </c>
      <c r="C233" s="2" t="s">
        <v>509</v>
      </c>
      <c r="D233" s="2" t="s">
        <v>40</v>
      </c>
      <c r="E233">
        <v>10903</v>
      </c>
      <c r="F233">
        <v>17.399999999999999</v>
      </c>
      <c r="G233">
        <v>36</v>
      </c>
      <c r="H233" s="2" t="s">
        <v>26</v>
      </c>
      <c r="I233" s="2" t="s">
        <v>20</v>
      </c>
      <c r="J233" s="2" t="s">
        <v>37</v>
      </c>
      <c r="K233">
        <v>44908</v>
      </c>
      <c r="L233" s="2" t="s">
        <v>33</v>
      </c>
      <c r="M233">
        <v>0.28999999999999998</v>
      </c>
      <c r="N233">
        <v>0.86</v>
      </c>
      <c r="O233">
        <v>2043.7</v>
      </c>
      <c r="P233">
        <v>0</v>
      </c>
      <c r="Q233">
        <v>53</v>
      </c>
      <c r="R233">
        <v>5691.3659999999991</v>
      </c>
      <c r="S233">
        <v>16594.365999999998</v>
      </c>
      <c r="T233">
        <v>-8859.2999999999993</v>
      </c>
      <c r="U233">
        <v>0</v>
      </c>
      <c r="V233" s="2" t="s">
        <v>2059</v>
      </c>
      <c r="W233" s="2" t="s">
        <v>2057</v>
      </c>
      <c r="X233">
        <v>15809.35</v>
      </c>
      <c r="Y233">
        <v>-0.81255617719893602</v>
      </c>
      <c r="Z233" s="2" t="s">
        <v>2058</v>
      </c>
    </row>
    <row r="234" spans="1:26" x14ac:dyDescent="0.3">
      <c r="A234" s="2" t="s">
        <v>510</v>
      </c>
      <c r="B234" s="1">
        <v>45075</v>
      </c>
      <c r="C234" s="2" t="s">
        <v>511</v>
      </c>
      <c r="D234" s="2" t="s">
        <v>65</v>
      </c>
      <c r="E234">
        <v>4020</v>
      </c>
      <c r="F234">
        <v>16.2</v>
      </c>
      <c r="G234">
        <v>36</v>
      </c>
      <c r="H234" s="2" t="s">
        <v>19</v>
      </c>
      <c r="I234" s="2" t="s">
        <v>84</v>
      </c>
      <c r="J234" s="2" t="s">
        <v>47</v>
      </c>
      <c r="K234">
        <v>122617</v>
      </c>
      <c r="L234" s="2" t="s">
        <v>33</v>
      </c>
      <c r="M234">
        <v>0.3</v>
      </c>
      <c r="N234">
        <v>0.56000000000000005</v>
      </c>
      <c r="O234">
        <v>4671.24</v>
      </c>
      <c r="P234">
        <v>0</v>
      </c>
      <c r="Q234">
        <v>33</v>
      </c>
      <c r="R234">
        <v>1953.72</v>
      </c>
      <c r="S234">
        <v>5973.72</v>
      </c>
      <c r="T234">
        <v>651.23999999999978</v>
      </c>
      <c r="U234">
        <v>0</v>
      </c>
      <c r="V234" s="2" t="s">
        <v>2056</v>
      </c>
      <c r="W234" s="2" t="s">
        <v>2062</v>
      </c>
      <c r="X234">
        <v>5427</v>
      </c>
      <c r="Y234">
        <v>0.16199999999999995</v>
      </c>
      <c r="Z234" s="2" t="s">
        <v>2061</v>
      </c>
    </row>
    <row r="235" spans="1:26" x14ac:dyDescent="0.3">
      <c r="A235" s="2" t="s">
        <v>512</v>
      </c>
      <c r="B235" s="1">
        <v>45156</v>
      </c>
      <c r="C235" s="2" t="s">
        <v>513</v>
      </c>
      <c r="D235" s="2" t="s">
        <v>65</v>
      </c>
      <c r="E235">
        <v>21420</v>
      </c>
      <c r="F235">
        <v>11.9</v>
      </c>
      <c r="G235">
        <v>60</v>
      </c>
      <c r="H235" s="2" t="s">
        <v>19</v>
      </c>
      <c r="I235" s="2" t="s">
        <v>20</v>
      </c>
      <c r="J235" s="2" t="s">
        <v>28</v>
      </c>
      <c r="K235">
        <v>80626</v>
      </c>
      <c r="L235" s="2" t="s">
        <v>29</v>
      </c>
      <c r="M235">
        <v>0.18</v>
      </c>
      <c r="N235">
        <v>0.53</v>
      </c>
      <c r="O235">
        <v>23968.98</v>
      </c>
      <c r="P235">
        <v>0</v>
      </c>
      <c r="Q235">
        <v>31</v>
      </c>
      <c r="R235">
        <v>12744.9</v>
      </c>
      <c r="S235">
        <v>34164.9</v>
      </c>
      <c r="T235">
        <v>2548.9799999999996</v>
      </c>
      <c r="U235">
        <v>0</v>
      </c>
      <c r="V235" s="2" t="s">
        <v>2056</v>
      </c>
      <c r="W235" s="2" t="s">
        <v>2057</v>
      </c>
      <c r="X235">
        <v>21241.5</v>
      </c>
      <c r="Y235">
        <v>0.11899999999999998</v>
      </c>
      <c r="Z235" s="2" t="s">
        <v>2061</v>
      </c>
    </row>
    <row r="236" spans="1:26" x14ac:dyDescent="0.3">
      <c r="A236" s="2" t="s">
        <v>514</v>
      </c>
      <c r="B236" s="1">
        <v>44649</v>
      </c>
      <c r="C236" s="2" t="s">
        <v>515</v>
      </c>
      <c r="D236" s="2" t="s">
        <v>40</v>
      </c>
      <c r="E236">
        <v>22452</v>
      </c>
      <c r="F236">
        <v>11.3</v>
      </c>
      <c r="G236">
        <v>60</v>
      </c>
      <c r="H236" s="2" t="s">
        <v>19</v>
      </c>
      <c r="I236" s="2" t="s">
        <v>36</v>
      </c>
      <c r="J236" s="2" t="s">
        <v>21</v>
      </c>
      <c r="K236">
        <v>67228</v>
      </c>
      <c r="L236" s="2" t="s">
        <v>33</v>
      </c>
      <c r="M236">
        <v>0.36</v>
      </c>
      <c r="N236">
        <v>0.9</v>
      </c>
      <c r="O236">
        <v>24989.08</v>
      </c>
      <c r="P236">
        <v>0</v>
      </c>
      <c r="Q236">
        <v>47</v>
      </c>
      <c r="R236">
        <v>12685.38</v>
      </c>
      <c r="S236">
        <v>35137.379999999997</v>
      </c>
      <c r="T236">
        <v>2537.0800000000017</v>
      </c>
      <c r="U236">
        <v>0</v>
      </c>
      <c r="V236" s="2" t="s">
        <v>2056</v>
      </c>
      <c r="W236" s="2" t="s">
        <v>2062</v>
      </c>
      <c r="X236">
        <v>21142.3</v>
      </c>
      <c r="Y236">
        <v>0.11300017815784794</v>
      </c>
      <c r="Z236" s="2" t="s">
        <v>2058</v>
      </c>
    </row>
    <row r="237" spans="1:26" x14ac:dyDescent="0.3">
      <c r="A237" s="2" t="s">
        <v>516</v>
      </c>
      <c r="B237" s="1">
        <v>45216</v>
      </c>
      <c r="C237" s="2" t="s">
        <v>517</v>
      </c>
      <c r="D237" s="2" t="s">
        <v>56</v>
      </c>
      <c r="E237">
        <v>39001</v>
      </c>
      <c r="F237">
        <v>20.399999999999999</v>
      </c>
      <c r="G237">
        <v>36</v>
      </c>
      <c r="H237" s="2" t="s">
        <v>81</v>
      </c>
      <c r="I237" s="2" t="s">
        <v>20</v>
      </c>
      <c r="J237" s="2" t="s">
        <v>21</v>
      </c>
      <c r="K237">
        <v>53386</v>
      </c>
      <c r="L237" s="2" t="s">
        <v>33</v>
      </c>
      <c r="M237">
        <v>0.41</v>
      </c>
      <c r="N237">
        <v>0.67</v>
      </c>
      <c r="O237">
        <v>7661.31</v>
      </c>
      <c r="P237">
        <v>15157.1</v>
      </c>
      <c r="Q237">
        <v>29</v>
      </c>
      <c r="R237">
        <v>23868.611999999997</v>
      </c>
      <c r="S237">
        <v>62869.611999999994</v>
      </c>
      <c r="T237">
        <v>-16182.59</v>
      </c>
      <c r="U237">
        <v>1</v>
      </c>
      <c r="V237" s="2" t="s">
        <v>2063</v>
      </c>
      <c r="W237" s="2" t="s">
        <v>2057</v>
      </c>
      <c r="X237">
        <v>66301.7</v>
      </c>
      <c r="Y237">
        <v>-0.4149275659598472</v>
      </c>
      <c r="Z237" s="2" t="s">
        <v>2058</v>
      </c>
    </row>
    <row r="238" spans="1:26" x14ac:dyDescent="0.3">
      <c r="A238" s="2" t="s">
        <v>518</v>
      </c>
      <c r="B238" s="1">
        <v>45012</v>
      </c>
      <c r="C238" s="2" t="s">
        <v>519</v>
      </c>
      <c r="D238" s="2" t="s">
        <v>40</v>
      </c>
      <c r="E238">
        <v>10516</v>
      </c>
      <c r="F238">
        <v>6.7</v>
      </c>
      <c r="G238">
        <v>36</v>
      </c>
      <c r="H238" s="2" t="s">
        <v>19</v>
      </c>
      <c r="I238" s="2" t="s">
        <v>27</v>
      </c>
      <c r="J238" s="2" t="s">
        <v>28</v>
      </c>
      <c r="K238">
        <v>76754</v>
      </c>
      <c r="L238" s="2" t="s">
        <v>22</v>
      </c>
      <c r="M238">
        <v>0.42</v>
      </c>
      <c r="N238">
        <v>0.63</v>
      </c>
      <c r="O238">
        <v>11220.57</v>
      </c>
      <c r="P238">
        <v>0</v>
      </c>
      <c r="Q238">
        <v>35</v>
      </c>
      <c r="R238">
        <v>2113.7159999999999</v>
      </c>
      <c r="S238">
        <v>12629.716</v>
      </c>
      <c r="T238">
        <v>704.56999999999971</v>
      </c>
      <c r="U238">
        <v>0</v>
      </c>
      <c r="V238" s="2" t="s">
        <v>2056</v>
      </c>
      <c r="W238" s="2" t="s">
        <v>2060</v>
      </c>
      <c r="X238">
        <v>5871.4340000000002</v>
      </c>
      <c r="Y238">
        <v>6.699980981361732E-2</v>
      </c>
      <c r="Z238" s="2" t="s">
        <v>2058</v>
      </c>
    </row>
    <row r="239" spans="1:26" x14ac:dyDescent="0.3">
      <c r="A239" s="2" t="s">
        <v>520</v>
      </c>
      <c r="B239" s="1">
        <v>44855</v>
      </c>
      <c r="C239" s="2" t="s">
        <v>521</v>
      </c>
      <c r="D239" s="2" t="s">
        <v>50</v>
      </c>
      <c r="E239">
        <v>3396</v>
      </c>
      <c r="F239">
        <v>9.6999999999999993</v>
      </c>
      <c r="G239">
        <v>36</v>
      </c>
      <c r="H239" s="2" t="s">
        <v>19</v>
      </c>
      <c r="I239" s="2" t="s">
        <v>57</v>
      </c>
      <c r="J239" s="2" t="s">
        <v>21</v>
      </c>
      <c r="K239">
        <v>140942</v>
      </c>
      <c r="L239" s="2" t="s">
        <v>33</v>
      </c>
      <c r="M239">
        <v>0.34</v>
      </c>
      <c r="N239">
        <v>0.83</v>
      </c>
      <c r="O239">
        <v>3725.41</v>
      </c>
      <c r="P239">
        <v>0</v>
      </c>
      <c r="Q239">
        <v>40</v>
      </c>
      <c r="R239">
        <v>988.23599999999988</v>
      </c>
      <c r="S239">
        <v>4384.2359999999999</v>
      </c>
      <c r="T239">
        <v>329.40999999999985</v>
      </c>
      <c r="U239">
        <v>0</v>
      </c>
      <c r="V239" s="2" t="s">
        <v>2056</v>
      </c>
      <c r="W239" s="2" t="s">
        <v>2057</v>
      </c>
      <c r="X239">
        <v>2745.1</v>
      </c>
      <c r="Y239">
        <v>9.6999411071849187E-2</v>
      </c>
      <c r="Z239" s="2" t="s">
        <v>2058</v>
      </c>
    </row>
    <row r="240" spans="1:26" x14ac:dyDescent="0.3">
      <c r="A240" s="2" t="s">
        <v>522</v>
      </c>
      <c r="B240" s="1">
        <v>44743</v>
      </c>
      <c r="C240" s="2" t="s">
        <v>523</v>
      </c>
      <c r="D240" s="2" t="s">
        <v>50</v>
      </c>
      <c r="E240">
        <v>19546</v>
      </c>
      <c r="F240">
        <v>19.600000000000001</v>
      </c>
      <c r="G240">
        <v>36</v>
      </c>
      <c r="H240" s="2" t="s">
        <v>26</v>
      </c>
      <c r="I240" s="2" t="s">
        <v>84</v>
      </c>
      <c r="J240" s="2" t="s">
        <v>28</v>
      </c>
      <c r="K240">
        <v>58302</v>
      </c>
      <c r="L240" s="2" t="s">
        <v>33</v>
      </c>
      <c r="M240">
        <v>0.3</v>
      </c>
      <c r="N240">
        <v>0.88</v>
      </c>
      <c r="O240">
        <v>2381.36</v>
      </c>
      <c r="P240">
        <v>0</v>
      </c>
      <c r="Q240">
        <v>44</v>
      </c>
      <c r="R240">
        <v>11493.048000000003</v>
      </c>
      <c r="S240">
        <v>31039.048000000003</v>
      </c>
      <c r="T240">
        <v>-17164.64</v>
      </c>
      <c r="U240">
        <v>0</v>
      </c>
      <c r="V240" s="2" t="s">
        <v>2059</v>
      </c>
      <c r="W240" s="2" t="s">
        <v>2062</v>
      </c>
      <c r="X240">
        <v>31925.133300000001</v>
      </c>
      <c r="Y240">
        <v>-0.8781663767522766</v>
      </c>
      <c r="Z240" s="2" t="s">
        <v>2058</v>
      </c>
    </row>
    <row r="241" spans="1:26" x14ac:dyDescent="0.3">
      <c r="A241" s="2" t="s">
        <v>524</v>
      </c>
      <c r="B241" s="1">
        <v>45269</v>
      </c>
      <c r="C241" s="2" t="s">
        <v>525</v>
      </c>
      <c r="D241" s="2" t="s">
        <v>40</v>
      </c>
      <c r="E241">
        <v>20129</v>
      </c>
      <c r="F241">
        <v>16</v>
      </c>
      <c r="G241">
        <v>60</v>
      </c>
      <c r="H241" s="2" t="s">
        <v>26</v>
      </c>
      <c r="I241" s="2" t="s">
        <v>73</v>
      </c>
      <c r="J241" s="2" t="s">
        <v>47</v>
      </c>
      <c r="K241">
        <v>90815</v>
      </c>
      <c r="L241" s="2" t="s">
        <v>33</v>
      </c>
      <c r="M241">
        <v>0.12</v>
      </c>
      <c r="N241">
        <v>0.89</v>
      </c>
      <c r="O241">
        <v>2865.01</v>
      </c>
      <c r="P241">
        <v>0</v>
      </c>
      <c r="Q241">
        <v>27</v>
      </c>
      <c r="R241">
        <v>16103.199999999999</v>
      </c>
      <c r="S241">
        <v>36232.199999999997</v>
      </c>
      <c r="T241">
        <v>-17263.989999999998</v>
      </c>
      <c r="U241">
        <v>0</v>
      </c>
      <c r="V241" s="2" t="s">
        <v>2059</v>
      </c>
      <c r="W241" s="2" t="s">
        <v>2064</v>
      </c>
      <c r="X241">
        <v>26838.666700000002</v>
      </c>
      <c r="Y241">
        <v>-0.85766754433901327</v>
      </c>
      <c r="Z241" s="2" t="s">
        <v>2058</v>
      </c>
    </row>
    <row r="242" spans="1:26" x14ac:dyDescent="0.3">
      <c r="A242" s="2" t="s">
        <v>526</v>
      </c>
      <c r="B242" s="1">
        <v>44213</v>
      </c>
      <c r="C242" s="2" t="s">
        <v>527</v>
      </c>
      <c r="D242" s="2" t="s">
        <v>40</v>
      </c>
      <c r="E242">
        <v>2591</v>
      </c>
      <c r="F242">
        <v>7.6</v>
      </c>
      <c r="G242">
        <v>36</v>
      </c>
      <c r="H242" s="2" t="s">
        <v>19</v>
      </c>
      <c r="I242" s="2" t="s">
        <v>20</v>
      </c>
      <c r="J242" s="2" t="s">
        <v>28</v>
      </c>
      <c r="K242">
        <v>114748</v>
      </c>
      <c r="L242" s="2" t="s">
        <v>33</v>
      </c>
      <c r="M242">
        <v>0.22</v>
      </c>
      <c r="N242">
        <v>0.64</v>
      </c>
      <c r="O242">
        <v>2787.92</v>
      </c>
      <c r="P242">
        <v>0</v>
      </c>
      <c r="Q242">
        <v>62</v>
      </c>
      <c r="R242">
        <v>590.74799999999993</v>
      </c>
      <c r="S242">
        <v>3181.748</v>
      </c>
      <c r="T242">
        <v>196.92000000000007</v>
      </c>
      <c r="U242">
        <v>0</v>
      </c>
      <c r="V242" s="2" t="s">
        <v>2056</v>
      </c>
      <c r="W242" s="2" t="s">
        <v>2057</v>
      </c>
      <c r="X242">
        <v>1640.9666999999999</v>
      </c>
      <c r="Y242">
        <v>7.6001543805480534E-2</v>
      </c>
      <c r="Z242" s="2" t="s">
        <v>2061</v>
      </c>
    </row>
    <row r="243" spans="1:26" x14ac:dyDescent="0.3">
      <c r="A243" s="2" t="s">
        <v>528</v>
      </c>
      <c r="B243" s="1">
        <v>44354</v>
      </c>
      <c r="C243" s="2" t="s">
        <v>529</v>
      </c>
      <c r="D243" s="2" t="s">
        <v>56</v>
      </c>
      <c r="E243">
        <v>12303</v>
      </c>
      <c r="F243">
        <v>22.6</v>
      </c>
      <c r="G243">
        <v>60</v>
      </c>
      <c r="H243" s="2" t="s">
        <v>19</v>
      </c>
      <c r="I243" s="2" t="s">
        <v>73</v>
      </c>
      <c r="J243" s="2" t="s">
        <v>37</v>
      </c>
      <c r="K243">
        <v>93344</v>
      </c>
      <c r="L243" s="2" t="s">
        <v>22</v>
      </c>
      <c r="M243">
        <v>0.14000000000000001</v>
      </c>
      <c r="N243">
        <v>0.88</v>
      </c>
      <c r="O243">
        <v>15083.48</v>
      </c>
      <c r="P243">
        <v>0</v>
      </c>
      <c r="Q243">
        <v>57</v>
      </c>
      <c r="R243">
        <v>13902.390000000001</v>
      </c>
      <c r="S243">
        <v>26205.39</v>
      </c>
      <c r="T243">
        <v>2780.4799999999996</v>
      </c>
      <c r="U243">
        <v>0</v>
      </c>
      <c r="V243" s="2" t="s">
        <v>2056</v>
      </c>
      <c r="W243" s="2" t="s">
        <v>2064</v>
      </c>
      <c r="X243">
        <v>23170.65</v>
      </c>
      <c r="Y243">
        <v>0.22600016256197672</v>
      </c>
      <c r="Z243" s="2" t="s">
        <v>2058</v>
      </c>
    </row>
    <row r="244" spans="1:26" x14ac:dyDescent="0.3">
      <c r="A244" s="2" t="s">
        <v>530</v>
      </c>
      <c r="B244" s="1">
        <v>44673</v>
      </c>
      <c r="C244" s="2" t="s">
        <v>531</v>
      </c>
      <c r="D244" s="2" t="s">
        <v>76</v>
      </c>
      <c r="E244">
        <v>31561</v>
      </c>
      <c r="F244">
        <v>12.9</v>
      </c>
      <c r="G244">
        <v>36</v>
      </c>
      <c r="H244" s="2" t="s">
        <v>26</v>
      </c>
      <c r="I244" s="2" t="s">
        <v>57</v>
      </c>
      <c r="J244" s="2" t="s">
        <v>37</v>
      </c>
      <c r="K244">
        <v>65618</v>
      </c>
      <c r="L244" s="2" t="s">
        <v>33</v>
      </c>
      <c r="M244">
        <v>0.49</v>
      </c>
      <c r="N244">
        <v>0.52</v>
      </c>
      <c r="O244">
        <v>12777.42</v>
      </c>
      <c r="P244">
        <v>0</v>
      </c>
      <c r="Q244">
        <v>46</v>
      </c>
      <c r="R244">
        <v>12214.107000000002</v>
      </c>
      <c r="S244">
        <v>43775.107000000004</v>
      </c>
      <c r="T244">
        <v>-18783.580000000002</v>
      </c>
      <c r="U244">
        <v>0</v>
      </c>
      <c r="V244" s="2" t="s">
        <v>2059</v>
      </c>
      <c r="W244" s="2" t="s">
        <v>2057</v>
      </c>
      <c r="X244">
        <v>33928.074999999997</v>
      </c>
      <c r="Y244">
        <v>-0.59515161116567916</v>
      </c>
      <c r="Z244" s="2" t="s">
        <v>2058</v>
      </c>
    </row>
    <row r="245" spans="1:26" x14ac:dyDescent="0.3">
      <c r="A245" s="2" t="s">
        <v>532</v>
      </c>
      <c r="B245" s="1">
        <v>45266</v>
      </c>
      <c r="C245" s="2" t="s">
        <v>533</v>
      </c>
      <c r="D245" s="2" t="s">
        <v>25</v>
      </c>
      <c r="E245">
        <v>7183</v>
      </c>
      <c r="F245">
        <v>21.6</v>
      </c>
      <c r="G245">
        <v>36</v>
      </c>
      <c r="H245" s="2" t="s">
        <v>315</v>
      </c>
      <c r="I245" s="2" t="s">
        <v>27</v>
      </c>
      <c r="J245" s="2" t="s">
        <v>32</v>
      </c>
      <c r="K245">
        <v>141603</v>
      </c>
      <c r="L245" s="2" t="s">
        <v>22</v>
      </c>
      <c r="M245">
        <v>0.15</v>
      </c>
      <c r="N245">
        <v>0.52</v>
      </c>
      <c r="O245">
        <v>0</v>
      </c>
      <c r="P245">
        <v>0</v>
      </c>
      <c r="Q245">
        <v>27</v>
      </c>
      <c r="R245">
        <v>4654.5840000000007</v>
      </c>
      <c r="S245">
        <v>11837.584000000001</v>
      </c>
      <c r="T245">
        <v>-7183</v>
      </c>
      <c r="U245">
        <v>0</v>
      </c>
      <c r="V245" s="2" t="s">
        <v>2063</v>
      </c>
      <c r="W245" s="2" t="s">
        <v>2060</v>
      </c>
      <c r="X245">
        <v>12929.4</v>
      </c>
      <c r="Y245">
        <v>-1</v>
      </c>
      <c r="Z245" s="2" t="s">
        <v>2061</v>
      </c>
    </row>
    <row r="246" spans="1:26" x14ac:dyDescent="0.3">
      <c r="A246" s="2" t="s">
        <v>534</v>
      </c>
      <c r="B246" s="1">
        <v>44714</v>
      </c>
      <c r="C246" s="2" t="s">
        <v>535</v>
      </c>
      <c r="D246" s="2" t="s">
        <v>18</v>
      </c>
      <c r="E246">
        <v>27572</v>
      </c>
      <c r="F246">
        <v>20.8</v>
      </c>
      <c r="G246">
        <v>36</v>
      </c>
      <c r="H246" s="2" t="s">
        <v>26</v>
      </c>
      <c r="I246" s="2" t="s">
        <v>36</v>
      </c>
      <c r="J246" s="2" t="s">
        <v>21</v>
      </c>
      <c r="K246">
        <v>106234</v>
      </c>
      <c r="L246" s="2" t="s">
        <v>29</v>
      </c>
      <c r="M246">
        <v>0.16</v>
      </c>
      <c r="N246">
        <v>0.78</v>
      </c>
      <c r="O246">
        <v>3453.07</v>
      </c>
      <c r="P246">
        <v>0</v>
      </c>
      <c r="Q246">
        <v>45</v>
      </c>
      <c r="R246">
        <v>17204.928</v>
      </c>
      <c r="S246">
        <v>44776.928</v>
      </c>
      <c r="T246">
        <v>-24118.93</v>
      </c>
      <c r="U246">
        <v>0</v>
      </c>
      <c r="V246" s="2" t="s">
        <v>2059</v>
      </c>
      <c r="W246" s="2" t="s">
        <v>2062</v>
      </c>
      <c r="X246">
        <v>47791.466699999997</v>
      </c>
      <c r="Y246">
        <v>-0.87476171478311326</v>
      </c>
      <c r="Z246" s="2" t="s">
        <v>2061</v>
      </c>
    </row>
    <row r="247" spans="1:26" x14ac:dyDescent="0.3">
      <c r="A247" s="2" t="s">
        <v>536</v>
      </c>
      <c r="B247" s="1">
        <v>44295</v>
      </c>
      <c r="C247" s="2" t="s">
        <v>537</v>
      </c>
      <c r="D247" s="2" t="s">
        <v>50</v>
      </c>
      <c r="E247">
        <v>35080</v>
      </c>
      <c r="F247">
        <v>17.5</v>
      </c>
      <c r="G247">
        <v>36</v>
      </c>
      <c r="H247" s="2" t="s">
        <v>19</v>
      </c>
      <c r="I247" s="2" t="s">
        <v>57</v>
      </c>
      <c r="J247" s="2" t="s">
        <v>21</v>
      </c>
      <c r="K247">
        <v>91114</v>
      </c>
      <c r="L247" s="2" t="s">
        <v>33</v>
      </c>
      <c r="M247">
        <v>0.46</v>
      </c>
      <c r="N247">
        <v>0.53</v>
      </c>
      <c r="O247">
        <v>41219</v>
      </c>
      <c r="P247">
        <v>0</v>
      </c>
      <c r="Q247">
        <v>59</v>
      </c>
      <c r="R247">
        <v>18417</v>
      </c>
      <c r="S247">
        <v>53497</v>
      </c>
      <c r="T247">
        <v>6139</v>
      </c>
      <c r="U247">
        <v>0</v>
      </c>
      <c r="V247" s="2" t="s">
        <v>2056</v>
      </c>
      <c r="W247" s="2" t="s">
        <v>2057</v>
      </c>
      <c r="X247">
        <v>51158.333299999998</v>
      </c>
      <c r="Y247">
        <v>0.17499999999999999</v>
      </c>
      <c r="Z247" s="2" t="s">
        <v>2058</v>
      </c>
    </row>
    <row r="248" spans="1:26" x14ac:dyDescent="0.3">
      <c r="A248" s="2" t="s">
        <v>538</v>
      </c>
      <c r="B248" s="1">
        <v>45257</v>
      </c>
      <c r="C248" s="2" t="s">
        <v>539</v>
      </c>
      <c r="D248" s="2" t="s">
        <v>25</v>
      </c>
      <c r="E248">
        <v>21695</v>
      </c>
      <c r="F248">
        <v>14.9</v>
      </c>
      <c r="G248">
        <v>60</v>
      </c>
      <c r="H248" s="2" t="s">
        <v>19</v>
      </c>
      <c r="I248" s="2" t="s">
        <v>57</v>
      </c>
      <c r="J248" s="2" t="s">
        <v>28</v>
      </c>
      <c r="K248">
        <v>147652</v>
      </c>
      <c r="L248" s="2" t="s">
        <v>33</v>
      </c>
      <c r="M248">
        <v>0.48</v>
      </c>
      <c r="N248">
        <v>0.65</v>
      </c>
      <c r="O248">
        <v>24927.56</v>
      </c>
      <c r="P248">
        <v>0</v>
      </c>
      <c r="Q248">
        <v>27</v>
      </c>
      <c r="R248">
        <v>16162.775</v>
      </c>
      <c r="S248">
        <v>37857.775000000001</v>
      </c>
      <c r="T248">
        <v>3232.5600000000013</v>
      </c>
      <c r="U248">
        <v>0</v>
      </c>
      <c r="V248" s="2" t="s">
        <v>2056</v>
      </c>
      <c r="W248" s="2" t="s">
        <v>2057</v>
      </c>
      <c r="X248">
        <v>26937.958299999998</v>
      </c>
      <c r="Y248">
        <v>0.1490002304678498</v>
      </c>
      <c r="Z248" s="2" t="s">
        <v>2058</v>
      </c>
    </row>
    <row r="249" spans="1:26" x14ac:dyDescent="0.3">
      <c r="A249" s="2" t="s">
        <v>540</v>
      </c>
      <c r="B249" s="1">
        <v>44476</v>
      </c>
      <c r="C249" s="2" t="s">
        <v>541</v>
      </c>
      <c r="D249" s="2" t="s">
        <v>40</v>
      </c>
      <c r="E249">
        <v>8314</v>
      </c>
      <c r="F249">
        <v>24.6</v>
      </c>
      <c r="G249">
        <v>60</v>
      </c>
      <c r="H249" s="2" t="s">
        <v>81</v>
      </c>
      <c r="I249" s="2" t="s">
        <v>20</v>
      </c>
      <c r="J249" s="2" t="s">
        <v>21</v>
      </c>
      <c r="K249">
        <v>100130</v>
      </c>
      <c r="L249" s="2" t="s">
        <v>33</v>
      </c>
      <c r="M249">
        <v>0.41</v>
      </c>
      <c r="N249">
        <v>0.8</v>
      </c>
      <c r="O249">
        <v>902.38</v>
      </c>
      <c r="P249">
        <v>4096.3</v>
      </c>
      <c r="Q249">
        <v>53</v>
      </c>
      <c r="R249">
        <v>10226.220000000001</v>
      </c>
      <c r="S249">
        <v>18540.22</v>
      </c>
      <c r="T249">
        <v>-3315.3199999999997</v>
      </c>
      <c r="U249">
        <v>1</v>
      </c>
      <c r="V249" s="2" t="s">
        <v>2063</v>
      </c>
      <c r="W249" s="2" t="s">
        <v>2057</v>
      </c>
      <c r="X249">
        <v>17043.7</v>
      </c>
      <c r="Y249">
        <v>-0.39876353139283133</v>
      </c>
      <c r="Z249" s="2" t="s">
        <v>2058</v>
      </c>
    </row>
    <row r="250" spans="1:26" x14ac:dyDescent="0.3">
      <c r="A250" s="2" t="s">
        <v>542</v>
      </c>
      <c r="B250" s="1">
        <v>44693</v>
      </c>
      <c r="C250" s="2" t="s">
        <v>543</v>
      </c>
      <c r="D250" s="2" t="s">
        <v>56</v>
      </c>
      <c r="E250">
        <v>20623</v>
      </c>
      <c r="F250">
        <v>7.9</v>
      </c>
      <c r="G250">
        <v>60</v>
      </c>
      <c r="H250" s="2" t="s">
        <v>26</v>
      </c>
      <c r="I250" s="2" t="s">
        <v>73</v>
      </c>
      <c r="J250" s="2" t="s">
        <v>37</v>
      </c>
      <c r="K250">
        <v>55525</v>
      </c>
      <c r="L250" s="2" t="s">
        <v>22</v>
      </c>
      <c r="M250">
        <v>0.1</v>
      </c>
      <c r="N250">
        <v>0.65</v>
      </c>
      <c r="O250">
        <v>6871.78</v>
      </c>
      <c r="P250">
        <v>0</v>
      </c>
      <c r="Q250">
        <v>46</v>
      </c>
      <c r="R250">
        <v>8146.085</v>
      </c>
      <c r="S250">
        <v>28769.084999999999</v>
      </c>
      <c r="T250">
        <v>-13751.220000000001</v>
      </c>
      <c r="U250">
        <v>0</v>
      </c>
      <c r="V250" s="2" t="s">
        <v>2059</v>
      </c>
      <c r="W250" s="2" t="s">
        <v>2064</v>
      </c>
      <c r="X250">
        <v>13576.808300000001</v>
      </c>
      <c r="Y250">
        <v>-0.66679047665228153</v>
      </c>
      <c r="Z250" s="2" t="s">
        <v>2061</v>
      </c>
    </row>
    <row r="251" spans="1:26" x14ac:dyDescent="0.3">
      <c r="A251" s="2" t="s">
        <v>544</v>
      </c>
      <c r="B251" s="1">
        <v>44498</v>
      </c>
      <c r="C251" s="2" t="s">
        <v>545</v>
      </c>
      <c r="D251" s="2" t="s">
        <v>72</v>
      </c>
      <c r="E251">
        <v>3139</v>
      </c>
      <c r="F251">
        <v>19.5</v>
      </c>
      <c r="G251">
        <v>36</v>
      </c>
      <c r="H251" s="2" t="s">
        <v>19</v>
      </c>
      <c r="I251" s="2" t="s">
        <v>57</v>
      </c>
      <c r="J251" s="2" t="s">
        <v>47</v>
      </c>
      <c r="K251">
        <v>109818</v>
      </c>
      <c r="L251" s="2" t="s">
        <v>33</v>
      </c>
      <c r="M251">
        <v>0.1</v>
      </c>
      <c r="N251">
        <v>0.57999999999999996</v>
      </c>
      <c r="O251">
        <v>3751.1</v>
      </c>
      <c r="P251">
        <v>0</v>
      </c>
      <c r="Q251">
        <v>52</v>
      </c>
      <c r="R251">
        <v>1836.3149999999998</v>
      </c>
      <c r="S251">
        <v>4975.3149999999996</v>
      </c>
      <c r="T251">
        <v>612.09999999999991</v>
      </c>
      <c r="U251">
        <v>0</v>
      </c>
      <c r="V251" s="2" t="s">
        <v>2056</v>
      </c>
      <c r="W251" s="2" t="s">
        <v>2057</v>
      </c>
      <c r="X251">
        <v>5100.875</v>
      </c>
      <c r="Y251">
        <v>0.19499840713603056</v>
      </c>
      <c r="Z251" s="2" t="s">
        <v>2061</v>
      </c>
    </row>
    <row r="252" spans="1:26" x14ac:dyDescent="0.3">
      <c r="A252" s="2" t="s">
        <v>546</v>
      </c>
      <c r="B252" s="1">
        <v>44377</v>
      </c>
      <c r="C252" s="2" t="s">
        <v>547</v>
      </c>
      <c r="D252" s="2" t="s">
        <v>56</v>
      </c>
      <c r="E252">
        <v>32290</v>
      </c>
      <c r="F252">
        <v>8.8000000000000007</v>
      </c>
      <c r="G252">
        <v>36</v>
      </c>
      <c r="H252" s="2" t="s">
        <v>19</v>
      </c>
      <c r="I252" s="2" t="s">
        <v>57</v>
      </c>
      <c r="J252" s="2" t="s">
        <v>28</v>
      </c>
      <c r="K252">
        <v>144589</v>
      </c>
      <c r="L252" s="2" t="s">
        <v>33</v>
      </c>
      <c r="M252">
        <v>0.25</v>
      </c>
      <c r="N252">
        <v>0.63</v>
      </c>
      <c r="O252">
        <v>35131.519999999997</v>
      </c>
      <c r="P252">
        <v>0</v>
      </c>
      <c r="Q252">
        <v>56</v>
      </c>
      <c r="R252">
        <v>8524.56</v>
      </c>
      <c r="S252">
        <v>40814.559999999998</v>
      </c>
      <c r="T252">
        <v>2841.5199999999968</v>
      </c>
      <c r="U252">
        <v>0</v>
      </c>
      <c r="V252" s="2" t="s">
        <v>2056</v>
      </c>
      <c r="W252" s="2" t="s">
        <v>2057</v>
      </c>
      <c r="X252">
        <v>23679.3334</v>
      </c>
      <c r="Y252">
        <v>8.7999999999999898E-2</v>
      </c>
      <c r="Z252" s="2" t="s">
        <v>2061</v>
      </c>
    </row>
    <row r="253" spans="1:26" x14ac:dyDescent="0.3">
      <c r="A253" s="2" t="s">
        <v>548</v>
      </c>
      <c r="B253" s="1">
        <v>44803</v>
      </c>
      <c r="C253" s="2" t="s">
        <v>549</v>
      </c>
      <c r="D253" s="2" t="s">
        <v>53</v>
      </c>
      <c r="E253">
        <v>19088</v>
      </c>
      <c r="F253">
        <v>11.8</v>
      </c>
      <c r="G253">
        <v>60</v>
      </c>
      <c r="H253" s="2" t="s">
        <v>26</v>
      </c>
      <c r="I253" s="2" t="s">
        <v>20</v>
      </c>
      <c r="J253" s="2" t="s">
        <v>21</v>
      </c>
      <c r="K253">
        <v>44334</v>
      </c>
      <c r="L253" s="2" t="s">
        <v>29</v>
      </c>
      <c r="M253">
        <v>0.16</v>
      </c>
      <c r="N253">
        <v>0.71</v>
      </c>
      <c r="O253">
        <v>9337.7000000000007</v>
      </c>
      <c r="P253">
        <v>0</v>
      </c>
      <c r="Q253">
        <v>42</v>
      </c>
      <c r="R253">
        <v>11261.92</v>
      </c>
      <c r="S253">
        <v>30349.919999999998</v>
      </c>
      <c r="T253">
        <v>-9750.2999999999993</v>
      </c>
      <c r="U253">
        <v>0</v>
      </c>
      <c r="V253" s="2" t="s">
        <v>2059</v>
      </c>
      <c r="W253" s="2" t="s">
        <v>2057</v>
      </c>
      <c r="X253">
        <v>18769.866699999999</v>
      </c>
      <c r="Y253">
        <v>-0.51080783738474433</v>
      </c>
      <c r="Z253" s="2" t="s">
        <v>2061</v>
      </c>
    </row>
    <row r="254" spans="1:26" x14ac:dyDescent="0.3">
      <c r="A254" s="2" t="s">
        <v>550</v>
      </c>
      <c r="B254" s="1">
        <v>44896</v>
      </c>
      <c r="C254" s="2" t="s">
        <v>551</v>
      </c>
      <c r="D254" s="2" t="s">
        <v>53</v>
      </c>
      <c r="E254">
        <v>34130</v>
      </c>
      <c r="F254">
        <v>11.2</v>
      </c>
      <c r="G254">
        <v>60</v>
      </c>
      <c r="H254" s="2" t="s">
        <v>19</v>
      </c>
      <c r="I254" s="2" t="s">
        <v>57</v>
      </c>
      <c r="J254" s="2" t="s">
        <v>37</v>
      </c>
      <c r="K254">
        <v>124715</v>
      </c>
      <c r="L254" s="2" t="s">
        <v>22</v>
      </c>
      <c r="M254">
        <v>0.11</v>
      </c>
      <c r="N254">
        <v>0.71</v>
      </c>
      <c r="O254">
        <v>37952.559999999998</v>
      </c>
      <c r="P254">
        <v>0</v>
      </c>
      <c r="Q254">
        <v>39</v>
      </c>
      <c r="R254">
        <v>19112.8</v>
      </c>
      <c r="S254">
        <v>53242.8</v>
      </c>
      <c r="T254">
        <v>3822.5599999999977</v>
      </c>
      <c r="U254">
        <v>0</v>
      </c>
      <c r="V254" s="2" t="s">
        <v>2056</v>
      </c>
      <c r="W254" s="2" t="s">
        <v>2057</v>
      </c>
      <c r="X254">
        <v>31854.666700000002</v>
      </c>
      <c r="Y254">
        <v>0.11199999999999993</v>
      </c>
      <c r="Z254" s="2" t="s">
        <v>2061</v>
      </c>
    </row>
    <row r="255" spans="1:26" x14ac:dyDescent="0.3">
      <c r="A255" s="2" t="s">
        <v>552</v>
      </c>
      <c r="B255" s="1">
        <v>45189</v>
      </c>
      <c r="C255" s="2" t="s">
        <v>553</v>
      </c>
      <c r="D255" s="2" t="s">
        <v>25</v>
      </c>
      <c r="E255">
        <v>33088</v>
      </c>
      <c r="F255">
        <v>23.9</v>
      </c>
      <c r="G255">
        <v>36</v>
      </c>
      <c r="H255" s="2" t="s">
        <v>19</v>
      </c>
      <c r="I255" s="2" t="s">
        <v>41</v>
      </c>
      <c r="J255" s="2" t="s">
        <v>32</v>
      </c>
      <c r="K255">
        <v>92767</v>
      </c>
      <c r="L255" s="2" t="s">
        <v>22</v>
      </c>
      <c r="M255">
        <v>0.28999999999999998</v>
      </c>
      <c r="N255">
        <v>0.85</v>
      </c>
      <c r="O255">
        <v>40996.03</v>
      </c>
      <c r="P255">
        <v>0</v>
      </c>
      <c r="Q255">
        <v>29</v>
      </c>
      <c r="R255">
        <v>23724.096000000001</v>
      </c>
      <c r="S255">
        <v>56812.096000000005</v>
      </c>
      <c r="T255">
        <v>7908.0299999999988</v>
      </c>
      <c r="U255">
        <v>0</v>
      </c>
      <c r="V255" s="2" t="s">
        <v>2056</v>
      </c>
      <c r="W255" s="2" t="s">
        <v>2062</v>
      </c>
      <c r="X255">
        <v>65900.266699999993</v>
      </c>
      <c r="Y255">
        <v>0.23899993955512569</v>
      </c>
      <c r="Z255" s="2" t="s">
        <v>2058</v>
      </c>
    </row>
    <row r="256" spans="1:26" x14ac:dyDescent="0.3">
      <c r="A256" s="2" t="s">
        <v>554</v>
      </c>
      <c r="B256" s="1">
        <v>44387</v>
      </c>
      <c r="C256" s="2" t="s">
        <v>555</v>
      </c>
      <c r="D256" s="2" t="s">
        <v>65</v>
      </c>
      <c r="E256">
        <v>27292</v>
      </c>
      <c r="F256">
        <v>24.3</v>
      </c>
      <c r="G256">
        <v>36</v>
      </c>
      <c r="H256" s="2" t="s">
        <v>19</v>
      </c>
      <c r="I256" s="2" t="s">
        <v>57</v>
      </c>
      <c r="J256" s="2" t="s">
        <v>21</v>
      </c>
      <c r="K256">
        <v>36644</v>
      </c>
      <c r="L256" s="2" t="s">
        <v>29</v>
      </c>
      <c r="M256">
        <v>0.48</v>
      </c>
      <c r="N256">
        <v>0.84</v>
      </c>
      <c r="O256">
        <v>33923.96</v>
      </c>
      <c r="P256">
        <v>0</v>
      </c>
      <c r="Q256">
        <v>56</v>
      </c>
      <c r="R256">
        <v>19895.867999999999</v>
      </c>
      <c r="S256">
        <v>47187.868000000002</v>
      </c>
      <c r="T256">
        <v>6631.9599999999991</v>
      </c>
      <c r="U256">
        <v>0</v>
      </c>
      <c r="V256" s="2" t="s">
        <v>2056</v>
      </c>
      <c r="W256" s="2" t="s">
        <v>2057</v>
      </c>
      <c r="X256">
        <v>55266.3</v>
      </c>
      <c r="Y256">
        <v>0.24300014656309538</v>
      </c>
      <c r="Z256" s="2" t="s">
        <v>2058</v>
      </c>
    </row>
    <row r="257" spans="1:26" x14ac:dyDescent="0.3">
      <c r="A257" s="2" t="s">
        <v>556</v>
      </c>
      <c r="B257" s="1">
        <v>44449</v>
      </c>
      <c r="C257" s="2" t="s">
        <v>557</v>
      </c>
      <c r="D257" s="2" t="s">
        <v>53</v>
      </c>
      <c r="E257">
        <v>21670</v>
      </c>
      <c r="F257">
        <v>8.6999999999999993</v>
      </c>
      <c r="G257">
        <v>60</v>
      </c>
      <c r="H257" s="2" t="s">
        <v>19</v>
      </c>
      <c r="I257" s="2" t="s">
        <v>73</v>
      </c>
      <c r="J257" s="2" t="s">
        <v>47</v>
      </c>
      <c r="K257">
        <v>131154</v>
      </c>
      <c r="L257" s="2" t="s">
        <v>22</v>
      </c>
      <c r="M257">
        <v>0.23</v>
      </c>
      <c r="N257">
        <v>0.71</v>
      </c>
      <c r="O257">
        <v>23555.29</v>
      </c>
      <c r="P257">
        <v>0</v>
      </c>
      <c r="Q257">
        <v>54</v>
      </c>
      <c r="R257">
        <v>9426.4499999999989</v>
      </c>
      <c r="S257">
        <v>31096.449999999997</v>
      </c>
      <c r="T257">
        <v>1885.2900000000009</v>
      </c>
      <c r="U257">
        <v>0</v>
      </c>
      <c r="V257" s="2" t="s">
        <v>2056</v>
      </c>
      <c r="W257" s="2" t="s">
        <v>2064</v>
      </c>
      <c r="X257">
        <v>15710.75</v>
      </c>
      <c r="Y257">
        <v>8.7000000000000036E-2</v>
      </c>
      <c r="Z257" s="2" t="s">
        <v>2061</v>
      </c>
    </row>
    <row r="258" spans="1:26" x14ac:dyDescent="0.3">
      <c r="A258" s="2" t="s">
        <v>558</v>
      </c>
      <c r="B258" s="1">
        <v>45177</v>
      </c>
      <c r="C258" s="2" t="s">
        <v>559</v>
      </c>
      <c r="D258" s="2" t="s">
        <v>53</v>
      </c>
      <c r="E258">
        <v>4738</v>
      </c>
      <c r="F258">
        <v>5.4</v>
      </c>
      <c r="G258">
        <v>36</v>
      </c>
      <c r="H258" s="2" t="s">
        <v>19</v>
      </c>
      <c r="I258" s="2" t="s">
        <v>27</v>
      </c>
      <c r="J258" s="2" t="s">
        <v>47</v>
      </c>
      <c r="K258">
        <v>143237</v>
      </c>
      <c r="L258" s="2" t="s">
        <v>33</v>
      </c>
      <c r="M258">
        <v>0.36</v>
      </c>
      <c r="N258">
        <v>0.88</v>
      </c>
      <c r="O258">
        <v>4993.8500000000004</v>
      </c>
      <c r="P258">
        <v>0</v>
      </c>
      <c r="Q258">
        <v>30</v>
      </c>
      <c r="R258">
        <v>767.55600000000004</v>
      </c>
      <c r="S258">
        <v>5505.5560000000005</v>
      </c>
      <c r="T258">
        <v>255.85000000000036</v>
      </c>
      <c r="U258">
        <v>0</v>
      </c>
      <c r="V258" s="2" t="s">
        <v>2056</v>
      </c>
      <c r="W258" s="2" t="s">
        <v>2060</v>
      </c>
      <c r="X258">
        <v>2132.1033000000002</v>
      </c>
      <c r="Y258">
        <v>5.3999577880962511E-2</v>
      </c>
      <c r="Z258" s="2" t="s">
        <v>2058</v>
      </c>
    </row>
    <row r="259" spans="1:26" x14ac:dyDescent="0.3">
      <c r="A259" s="2" t="s">
        <v>560</v>
      </c>
      <c r="B259" s="1">
        <v>45124</v>
      </c>
      <c r="C259" s="2" t="s">
        <v>561</v>
      </c>
      <c r="D259" s="2" t="s">
        <v>76</v>
      </c>
      <c r="E259">
        <v>3469</v>
      </c>
      <c r="F259">
        <v>19.399999999999999</v>
      </c>
      <c r="G259">
        <v>36</v>
      </c>
      <c r="H259" s="2" t="s">
        <v>26</v>
      </c>
      <c r="I259" s="2" t="s">
        <v>27</v>
      </c>
      <c r="J259" s="2" t="s">
        <v>21</v>
      </c>
      <c r="K259">
        <v>62933</v>
      </c>
      <c r="L259" s="2" t="s">
        <v>33</v>
      </c>
      <c r="M259">
        <v>0.36</v>
      </c>
      <c r="N259">
        <v>0.55000000000000004</v>
      </c>
      <c r="O259">
        <v>690.49</v>
      </c>
      <c r="P259">
        <v>0</v>
      </c>
      <c r="Q259">
        <v>32</v>
      </c>
      <c r="R259">
        <v>2018.9579999999996</v>
      </c>
      <c r="S259">
        <v>5487.9579999999996</v>
      </c>
      <c r="T259">
        <v>-2778.51</v>
      </c>
      <c r="U259">
        <v>0</v>
      </c>
      <c r="V259" s="2" t="s">
        <v>2059</v>
      </c>
      <c r="W259" s="2" t="s">
        <v>2060</v>
      </c>
      <c r="X259">
        <v>5608.2166999999999</v>
      </c>
      <c r="Y259">
        <v>-0.80095416546555209</v>
      </c>
      <c r="Z259" s="2" t="s">
        <v>2061</v>
      </c>
    </row>
    <row r="260" spans="1:26" x14ac:dyDescent="0.3">
      <c r="A260" s="2" t="s">
        <v>562</v>
      </c>
      <c r="B260" s="1">
        <v>44324</v>
      </c>
      <c r="C260" s="2" t="s">
        <v>563</v>
      </c>
      <c r="D260" s="2" t="s">
        <v>72</v>
      </c>
      <c r="E260">
        <v>23534</v>
      </c>
      <c r="F260">
        <v>13.4</v>
      </c>
      <c r="G260">
        <v>60</v>
      </c>
      <c r="H260" s="2" t="s">
        <v>19</v>
      </c>
      <c r="I260" s="2" t="s">
        <v>57</v>
      </c>
      <c r="J260" s="2" t="s">
        <v>21</v>
      </c>
      <c r="K260">
        <v>73469</v>
      </c>
      <c r="L260" s="2" t="s">
        <v>29</v>
      </c>
      <c r="M260">
        <v>0.2</v>
      </c>
      <c r="N260">
        <v>0.61</v>
      </c>
      <c r="O260">
        <v>26687.56</v>
      </c>
      <c r="P260">
        <v>0</v>
      </c>
      <c r="Q260">
        <v>58</v>
      </c>
      <c r="R260">
        <v>15767.780000000004</v>
      </c>
      <c r="S260">
        <v>39301.780000000006</v>
      </c>
      <c r="T260">
        <v>3153.5600000000013</v>
      </c>
      <c r="U260">
        <v>0</v>
      </c>
      <c r="V260" s="2" t="s">
        <v>2056</v>
      </c>
      <c r="W260" s="2" t="s">
        <v>2057</v>
      </c>
      <c r="X260">
        <v>26279.633300000001</v>
      </c>
      <c r="Y260">
        <v>0.13400016996685651</v>
      </c>
      <c r="Z260" s="2" t="s">
        <v>2061</v>
      </c>
    </row>
    <row r="261" spans="1:26" x14ac:dyDescent="0.3">
      <c r="A261" s="2" t="s">
        <v>564</v>
      </c>
      <c r="B261" s="1">
        <v>44214</v>
      </c>
      <c r="C261" s="2" t="s">
        <v>565</v>
      </c>
      <c r="D261" s="2" t="s">
        <v>76</v>
      </c>
      <c r="E261">
        <v>10017</v>
      </c>
      <c r="F261">
        <v>6.8</v>
      </c>
      <c r="G261">
        <v>36</v>
      </c>
      <c r="H261" s="2" t="s">
        <v>19</v>
      </c>
      <c r="I261" s="2" t="s">
        <v>73</v>
      </c>
      <c r="J261" s="2" t="s">
        <v>37</v>
      </c>
      <c r="K261">
        <v>63687</v>
      </c>
      <c r="L261" s="2" t="s">
        <v>22</v>
      </c>
      <c r="M261">
        <v>0.36</v>
      </c>
      <c r="N261">
        <v>0.87</v>
      </c>
      <c r="O261">
        <v>10698.16</v>
      </c>
      <c r="P261">
        <v>0</v>
      </c>
      <c r="Q261">
        <v>62</v>
      </c>
      <c r="R261">
        <v>2043.4679999999998</v>
      </c>
      <c r="S261">
        <v>12060.468000000001</v>
      </c>
      <c r="T261">
        <v>681.15999999999985</v>
      </c>
      <c r="U261">
        <v>0</v>
      </c>
      <c r="V261" s="2" t="s">
        <v>2056</v>
      </c>
      <c r="W261" s="2" t="s">
        <v>2064</v>
      </c>
      <c r="X261">
        <v>5676.3005000000003</v>
      </c>
      <c r="Y261">
        <v>6.8000399321154023E-2</v>
      </c>
      <c r="Z261" s="2" t="s">
        <v>2058</v>
      </c>
    </row>
    <row r="262" spans="1:26" x14ac:dyDescent="0.3">
      <c r="A262" s="2" t="s">
        <v>566</v>
      </c>
      <c r="B262" s="1">
        <v>44762</v>
      </c>
      <c r="C262" s="2" t="s">
        <v>567</v>
      </c>
      <c r="D262" s="2" t="s">
        <v>72</v>
      </c>
      <c r="E262">
        <v>3808</v>
      </c>
      <c r="F262">
        <v>18.7</v>
      </c>
      <c r="G262">
        <v>60</v>
      </c>
      <c r="H262" s="2" t="s">
        <v>19</v>
      </c>
      <c r="I262" s="2" t="s">
        <v>84</v>
      </c>
      <c r="J262" s="2" t="s">
        <v>21</v>
      </c>
      <c r="K262">
        <v>136609</v>
      </c>
      <c r="L262" s="2" t="s">
        <v>22</v>
      </c>
      <c r="M262">
        <v>0.18</v>
      </c>
      <c r="N262">
        <v>0.67</v>
      </c>
      <c r="O262">
        <v>4520.1000000000004</v>
      </c>
      <c r="P262">
        <v>0</v>
      </c>
      <c r="Q262">
        <v>43</v>
      </c>
      <c r="R262">
        <v>3560.4799999999996</v>
      </c>
      <c r="S262">
        <v>7368.48</v>
      </c>
      <c r="T262">
        <v>712.10000000000036</v>
      </c>
      <c r="U262">
        <v>0</v>
      </c>
      <c r="V262" s="2" t="s">
        <v>2056</v>
      </c>
      <c r="W262" s="2" t="s">
        <v>2062</v>
      </c>
      <c r="X262">
        <v>5934.1333000000004</v>
      </c>
      <c r="Y262">
        <v>0.18700105042016815</v>
      </c>
      <c r="Z262" s="2" t="s">
        <v>2061</v>
      </c>
    </row>
    <row r="263" spans="1:26" x14ac:dyDescent="0.3">
      <c r="A263" s="2" t="s">
        <v>568</v>
      </c>
      <c r="B263" s="1">
        <v>44766</v>
      </c>
      <c r="C263" s="2" t="s">
        <v>569</v>
      </c>
      <c r="D263" s="2" t="s">
        <v>46</v>
      </c>
      <c r="E263">
        <v>13713</v>
      </c>
      <c r="F263">
        <v>15.9</v>
      </c>
      <c r="G263">
        <v>36</v>
      </c>
      <c r="H263" s="2" t="s">
        <v>19</v>
      </c>
      <c r="I263" s="2" t="s">
        <v>20</v>
      </c>
      <c r="J263" s="2" t="s">
        <v>32</v>
      </c>
      <c r="K263">
        <v>82656</v>
      </c>
      <c r="L263" s="2" t="s">
        <v>22</v>
      </c>
      <c r="M263">
        <v>0.15</v>
      </c>
      <c r="N263">
        <v>0.94</v>
      </c>
      <c r="O263">
        <v>15893.37</v>
      </c>
      <c r="P263">
        <v>0</v>
      </c>
      <c r="Q263">
        <v>43</v>
      </c>
      <c r="R263">
        <v>6541.1009999999997</v>
      </c>
      <c r="S263">
        <v>20254.100999999999</v>
      </c>
      <c r="T263">
        <v>2180.3700000000008</v>
      </c>
      <c r="U263">
        <v>0</v>
      </c>
      <c r="V263" s="2" t="s">
        <v>2056</v>
      </c>
      <c r="W263" s="2" t="s">
        <v>2057</v>
      </c>
      <c r="X263">
        <v>18169.724999999999</v>
      </c>
      <c r="Y263">
        <v>0.15900021877050979</v>
      </c>
      <c r="Z263" s="2" t="s">
        <v>2058</v>
      </c>
    </row>
    <row r="264" spans="1:26" x14ac:dyDescent="0.3">
      <c r="A264" s="2" t="s">
        <v>570</v>
      </c>
      <c r="B264" s="1">
        <v>44882</v>
      </c>
      <c r="C264" s="2" t="s">
        <v>571</v>
      </c>
      <c r="D264" s="2" t="s">
        <v>18</v>
      </c>
      <c r="E264">
        <v>3719</v>
      </c>
      <c r="F264">
        <v>24.6</v>
      </c>
      <c r="G264">
        <v>60</v>
      </c>
      <c r="H264" s="2" t="s">
        <v>19</v>
      </c>
      <c r="I264" s="2" t="s">
        <v>57</v>
      </c>
      <c r="J264" s="2" t="s">
        <v>37</v>
      </c>
      <c r="K264">
        <v>47375</v>
      </c>
      <c r="L264" s="2" t="s">
        <v>29</v>
      </c>
      <c r="M264">
        <v>0.38</v>
      </c>
      <c r="N264">
        <v>0.71</v>
      </c>
      <c r="O264">
        <v>4633.87</v>
      </c>
      <c r="P264">
        <v>0</v>
      </c>
      <c r="Q264">
        <v>40</v>
      </c>
      <c r="R264">
        <v>4574.3700000000008</v>
      </c>
      <c r="S264">
        <v>8293.3700000000008</v>
      </c>
      <c r="T264">
        <v>914.86999999999989</v>
      </c>
      <c r="U264">
        <v>0</v>
      </c>
      <c r="V264" s="2" t="s">
        <v>2056</v>
      </c>
      <c r="W264" s="2" t="s">
        <v>2057</v>
      </c>
      <c r="X264">
        <v>7623.95</v>
      </c>
      <c r="Y264">
        <v>0.24599892444205429</v>
      </c>
      <c r="Z264" s="2" t="s">
        <v>2061</v>
      </c>
    </row>
    <row r="265" spans="1:26" x14ac:dyDescent="0.3">
      <c r="A265" s="2" t="s">
        <v>572</v>
      </c>
      <c r="B265" s="1">
        <v>44822</v>
      </c>
      <c r="C265" s="2" t="s">
        <v>573</v>
      </c>
      <c r="D265" s="2" t="s">
        <v>50</v>
      </c>
      <c r="E265">
        <v>23890</v>
      </c>
      <c r="F265">
        <v>9.5</v>
      </c>
      <c r="G265">
        <v>36</v>
      </c>
      <c r="H265" s="2" t="s">
        <v>19</v>
      </c>
      <c r="I265" s="2" t="s">
        <v>20</v>
      </c>
      <c r="J265" s="2" t="s">
        <v>28</v>
      </c>
      <c r="K265">
        <v>144019</v>
      </c>
      <c r="L265" s="2" t="s">
        <v>33</v>
      </c>
      <c r="M265">
        <v>0.15</v>
      </c>
      <c r="N265">
        <v>0.86</v>
      </c>
      <c r="O265">
        <v>26159.55</v>
      </c>
      <c r="P265">
        <v>0</v>
      </c>
      <c r="Q265">
        <v>42</v>
      </c>
      <c r="R265">
        <v>6808.6500000000005</v>
      </c>
      <c r="S265">
        <v>30698.65</v>
      </c>
      <c r="T265">
        <v>2269.5499999999993</v>
      </c>
      <c r="U265">
        <v>0</v>
      </c>
      <c r="V265" s="2" t="s">
        <v>2056</v>
      </c>
      <c r="W265" s="2" t="s">
        <v>2057</v>
      </c>
      <c r="X265">
        <v>18912.916700000002</v>
      </c>
      <c r="Y265">
        <v>9.4999999999999973E-2</v>
      </c>
      <c r="Z265" s="2" t="s">
        <v>2058</v>
      </c>
    </row>
    <row r="266" spans="1:26" x14ac:dyDescent="0.3">
      <c r="A266" s="2" t="s">
        <v>574</v>
      </c>
      <c r="B266" s="1">
        <v>45050</v>
      </c>
      <c r="C266" s="2" t="s">
        <v>575</v>
      </c>
      <c r="D266" s="2" t="s">
        <v>53</v>
      </c>
      <c r="E266">
        <v>12700</v>
      </c>
      <c r="F266">
        <v>13.1</v>
      </c>
      <c r="G266">
        <v>60</v>
      </c>
      <c r="H266" s="2" t="s">
        <v>26</v>
      </c>
      <c r="I266" s="2" t="s">
        <v>57</v>
      </c>
      <c r="J266" s="2" t="s">
        <v>32</v>
      </c>
      <c r="K266">
        <v>95206</v>
      </c>
      <c r="L266" s="2" t="s">
        <v>29</v>
      </c>
      <c r="M266">
        <v>0.5</v>
      </c>
      <c r="N266">
        <v>0.68</v>
      </c>
      <c r="O266">
        <v>1313.12</v>
      </c>
      <c r="P266">
        <v>0</v>
      </c>
      <c r="Q266">
        <v>34</v>
      </c>
      <c r="R266">
        <v>8318.5</v>
      </c>
      <c r="S266">
        <v>21018.5</v>
      </c>
      <c r="T266">
        <v>-11386.880000000001</v>
      </c>
      <c r="U266">
        <v>0</v>
      </c>
      <c r="V266" s="2" t="s">
        <v>2059</v>
      </c>
      <c r="W266" s="2" t="s">
        <v>2057</v>
      </c>
      <c r="X266">
        <v>13864.1667</v>
      </c>
      <c r="Y266">
        <v>-0.89660472440944894</v>
      </c>
      <c r="Z266" s="2" t="s">
        <v>2058</v>
      </c>
    </row>
    <row r="267" spans="1:26" x14ac:dyDescent="0.3">
      <c r="A267" s="2" t="s">
        <v>576</v>
      </c>
      <c r="B267" s="1">
        <v>45158</v>
      </c>
      <c r="C267" s="2" t="s">
        <v>577</v>
      </c>
      <c r="D267" s="2" t="s">
        <v>50</v>
      </c>
      <c r="E267">
        <v>37509</v>
      </c>
      <c r="F267">
        <v>15.9</v>
      </c>
      <c r="G267">
        <v>60</v>
      </c>
      <c r="H267" s="2" t="s">
        <v>19</v>
      </c>
      <c r="I267" s="2" t="s">
        <v>57</v>
      </c>
      <c r="J267" s="2" t="s">
        <v>37</v>
      </c>
      <c r="K267">
        <v>126462</v>
      </c>
      <c r="L267" s="2" t="s">
        <v>33</v>
      </c>
      <c r="M267">
        <v>0.17</v>
      </c>
      <c r="N267">
        <v>0.69</v>
      </c>
      <c r="O267">
        <v>43472.93</v>
      </c>
      <c r="P267">
        <v>0</v>
      </c>
      <c r="Q267">
        <v>30</v>
      </c>
      <c r="R267">
        <v>29819.654999999999</v>
      </c>
      <c r="S267">
        <v>67328.654999999999</v>
      </c>
      <c r="T267">
        <v>5963.93</v>
      </c>
      <c r="U267">
        <v>0</v>
      </c>
      <c r="V267" s="2" t="s">
        <v>2056</v>
      </c>
      <c r="W267" s="2" t="s">
        <v>2057</v>
      </c>
      <c r="X267">
        <v>49699.425000000003</v>
      </c>
      <c r="Y267">
        <v>0.15899997333973181</v>
      </c>
      <c r="Z267" s="2" t="s">
        <v>2061</v>
      </c>
    </row>
    <row r="268" spans="1:26" x14ac:dyDescent="0.3">
      <c r="A268" s="2" t="s">
        <v>578</v>
      </c>
      <c r="B268" s="1">
        <v>44351</v>
      </c>
      <c r="C268" s="2" t="s">
        <v>579</v>
      </c>
      <c r="D268" s="2" t="s">
        <v>53</v>
      </c>
      <c r="E268">
        <v>37766</v>
      </c>
      <c r="F268">
        <v>20.8</v>
      </c>
      <c r="G268">
        <v>60</v>
      </c>
      <c r="H268" s="2" t="s">
        <v>19</v>
      </c>
      <c r="I268" s="2" t="s">
        <v>27</v>
      </c>
      <c r="J268" s="2" t="s">
        <v>37</v>
      </c>
      <c r="K268">
        <v>66607</v>
      </c>
      <c r="L268" s="2" t="s">
        <v>29</v>
      </c>
      <c r="M268">
        <v>0.34</v>
      </c>
      <c r="N268">
        <v>0.67</v>
      </c>
      <c r="O268">
        <v>45621.33</v>
      </c>
      <c r="P268">
        <v>0</v>
      </c>
      <c r="Q268">
        <v>57</v>
      </c>
      <c r="R268">
        <v>39276.640000000007</v>
      </c>
      <c r="S268">
        <v>77042.640000000014</v>
      </c>
      <c r="T268">
        <v>7855.3300000000017</v>
      </c>
      <c r="U268">
        <v>0</v>
      </c>
      <c r="V268" s="2" t="s">
        <v>2056</v>
      </c>
      <c r="W268" s="2" t="s">
        <v>2060</v>
      </c>
      <c r="X268">
        <v>65461.066700000003</v>
      </c>
      <c r="Y268">
        <v>0.20800005295768687</v>
      </c>
      <c r="Z268" s="2" t="s">
        <v>2061</v>
      </c>
    </row>
    <row r="269" spans="1:26" x14ac:dyDescent="0.3">
      <c r="A269" s="2" t="s">
        <v>580</v>
      </c>
      <c r="B269" s="1">
        <v>44686</v>
      </c>
      <c r="C269" s="2" t="s">
        <v>581</v>
      </c>
      <c r="D269" s="2" t="s">
        <v>76</v>
      </c>
      <c r="E269">
        <v>27705</v>
      </c>
      <c r="F269">
        <v>16</v>
      </c>
      <c r="G269">
        <v>60</v>
      </c>
      <c r="H269" s="2" t="s">
        <v>19</v>
      </c>
      <c r="I269" s="2" t="s">
        <v>20</v>
      </c>
      <c r="J269" s="2" t="s">
        <v>47</v>
      </c>
      <c r="K269">
        <v>113178</v>
      </c>
      <c r="L269" s="2" t="s">
        <v>33</v>
      </c>
      <c r="M269">
        <v>0.26</v>
      </c>
      <c r="N269">
        <v>0.82</v>
      </c>
      <c r="O269">
        <v>32137.8</v>
      </c>
      <c r="P269">
        <v>0</v>
      </c>
      <c r="Q269">
        <v>46</v>
      </c>
      <c r="R269">
        <v>22164</v>
      </c>
      <c r="S269">
        <v>49869</v>
      </c>
      <c r="T269">
        <v>4432.7999999999993</v>
      </c>
      <c r="U269">
        <v>0</v>
      </c>
      <c r="V269" s="2" t="s">
        <v>2056</v>
      </c>
      <c r="W269" s="2" t="s">
        <v>2057</v>
      </c>
      <c r="X269">
        <v>36940</v>
      </c>
      <c r="Y269">
        <v>0.15999999999999998</v>
      </c>
      <c r="Z269" s="2" t="s">
        <v>2058</v>
      </c>
    </row>
    <row r="270" spans="1:26" x14ac:dyDescent="0.3">
      <c r="A270" s="2" t="s">
        <v>582</v>
      </c>
      <c r="B270" s="1">
        <v>44981</v>
      </c>
      <c r="C270" s="2" t="s">
        <v>583</v>
      </c>
      <c r="D270" s="2" t="s">
        <v>18</v>
      </c>
      <c r="E270">
        <v>19787</v>
      </c>
      <c r="F270">
        <v>17.3</v>
      </c>
      <c r="G270">
        <v>36</v>
      </c>
      <c r="H270" s="2" t="s">
        <v>19</v>
      </c>
      <c r="I270" s="2" t="s">
        <v>73</v>
      </c>
      <c r="J270" s="2" t="s">
        <v>37</v>
      </c>
      <c r="K270">
        <v>53993</v>
      </c>
      <c r="L270" s="2" t="s">
        <v>22</v>
      </c>
      <c r="M270">
        <v>0.15</v>
      </c>
      <c r="N270">
        <v>0.75</v>
      </c>
      <c r="O270">
        <v>23210.15</v>
      </c>
      <c r="P270">
        <v>0</v>
      </c>
      <c r="Q270">
        <v>36</v>
      </c>
      <c r="R270">
        <v>10269.453000000001</v>
      </c>
      <c r="S270">
        <v>30056.453000000001</v>
      </c>
      <c r="T270">
        <v>3423.1500000000015</v>
      </c>
      <c r="U270">
        <v>0</v>
      </c>
      <c r="V270" s="2" t="s">
        <v>2056</v>
      </c>
      <c r="W270" s="2" t="s">
        <v>2064</v>
      </c>
      <c r="X270">
        <v>28526.258300000001</v>
      </c>
      <c r="Y270">
        <v>0.17299994946176789</v>
      </c>
      <c r="Z270" s="2" t="s">
        <v>2061</v>
      </c>
    </row>
    <row r="271" spans="1:26" x14ac:dyDescent="0.3">
      <c r="A271" s="2" t="s">
        <v>584</v>
      </c>
      <c r="B271" s="1">
        <v>44442</v>
      </c>
      <c r="C271" s="2" t="s">
        <v>585</v>
      </c>
      <c r="D271" s="2" t="s">
        <v>76</v>
      </c>
      <c r="E271">
        <v>27588</v>
      </c>
      <c r="F271">
        <v>9.5</v>
      </c>
      <c r="G271">
        <v>36</v>
      </c>
      <c r="H271" s="2" t="s">
        <v>81</v>
      </c>
      <c r="I271" s="2" t="s">
        <v>73</v>
      </c>
      <c r="J271" s="2" t="s">
        <v>32</v>
      </c>
      <c r="K271">
        <v>74386</v>
      </c>
      <c r="L271" s="2" t="s">
        <v>22</v>
      </c>
      <c r="M271">
        <v>0.11</v>
      </c>
      <c r="N271">
        <v>0.92</v>
      </c>
      <c r="O271">
        <v>7479.55</v>
      </c>
      <c r="P271">
        <v>6127.76</v>
      </c>
      <c r="Q271">
        <v>54</v>
      </c>
      <c r="R271">
        <v>7862.5800000000008</v>
      </c>
      <c r="S271">
        <v>35450.58</v>
      </c>
      <c r="T271">
        <v>-13980.689999999999</v>
      </c>
      <c r="U271">
        <v>1</v>
      </c>
      <c r="V271" s="2" t="s">
        <v>2063</v>
      </c>
      <c r="W271" s="2" t="s">
        <v>2064</v>
      </c>
      <c r="X271">
        <v>21840.5</v>
      </c>
      <c r="Y271">
        <v>-0.50676707264027832</v>
      </c>
      <c r="Z271" s="2" t="s">
        <v>2058</v>
      </c>
    </row>
    <row r="272" spans="1:26" x14ac:dyDescent="0.3">
      <c r="A272" s="2" t="s">
        <v>586</v>
      </c>
      <c r="B272" s="1">
        <v>45259</v>
      </c>
      <c r="C272" s="2" t="s">
        <v>587</v>
      </c>
      <c r="D272" s="2" t="s">
        <v>76</v>
      </c>
      <c r="E272">
        <v>27123</v>
      </c>
      <c r="F272">
        <v>21.9</v>
      </c>
      <c r="G272">
        <v>60</v>
      </c>
      <c r="H272" s="2" t="s">
        <v>19</v>
      </c>
      <c r="I272" s="2" t="s">
        <v>73</v>
      </c>
      <c r="J272" s="2" t="s">
        <v>21</v>
      </c>
      <c r="K272">
        <v>76287</v>
      </c>
      <c r="L272" s="2" t="s">
        <v>22</v>
      </c>
      <c r="M272">
        <v>0.35</v>
      </c>
      <c r="N272">
        <v>0.61</v>
      </c>
      <c r="O272">
        <v>33062.94</v>
      </c>
      <c r="P272">
        <v>0</v>
      </c>
      <c r="Q272">
        <v>27</v>
      </c>
      <c r="R272">
        <v>29699.684999999998</v>
      </c>
      <c r="S272">
        <v>56822.684999999998</v>
      </c>
      <c r="T272">
        <v>5939.9400000000023</v>
      </c>
      <c r="U272">
        <v>0</v>
      </c>
      <c r="V272" s="2" t="s">
        <v>2056</v>
      </c>
      <c r="W272" s="2" t="s">
        <v>2064</v>
      </c>
      <c r="X272">
        <v>49499.474999999999</v>
      </c>
      <c r="Y272">
        <v>0.21900011060723379</v>
      </c>
      <c r="Z272" s="2" t="s">
        <v>2061</v>
      </c>
    </row>
    <row r="273" spans="1:26" x14ac:dyDescent="0.3">
      <c r="A273" s="2" t="s">
        <v>588</v>
      </c>
      <c r="B273" s="1">
        <v>44955</v>
      </c>
      <c r="C273" s="2" t="s">
        <v>589</v>
      </c>
      <c r="D273" s="2" t="s">
        <v>72</v>
      </c>
      <c r="E273">
        <v>34062</v>
      </c>
      <c r="F273">
        <v>13.6</v>
      </c>
      <c r="G273">
        <v>36</v>
      </c>
      <c r="H273" s="2" t="s">
        <v>81</v>
      </c>
      <c r="I273" s="2" t="s">
        <v>27</v>
      </c>
      <c r="J273" s="2" t="s">
        <v>32</v>
      </c>
      <c r="K273">
        <v>116724</v>
      </c>
      <c r="L273" s="2" t="s">
        <v>29</v>
      </c>
      <c r="M273">
        <v>0.42</v>
      </c>
      <c r="N273">
        <v>0.55000000000000004</v>
      </c>
      <c r="O273">
        <v>12667.87</v>
      </c>
      <c r="P273">
        <v>12334.49</v>
      </c>
      <c r="Q273">
        <v>37</v>
      </c>
      <c r="R273">
        <v>13897.296</v>
      </c>
      <c r="S273">
        <v>47959.296000000002</v>
      </c>
      <c r="T273">
        <v>-9059.64</v>
      </c>
      <c r="U273">
        <v>1</v>
      </c>
      <c r="V273" s="2" t="s">
        <v>2063</v>
      </c>
      <c r="W273" s="2" t="s">
        <v>2060</v>
      </c>
      <c r="X273">
        <v>38603.599999999999</v>
      </c>
      <c r="Y273">
        <v>-0.26597498678879689</v>
      </c>
      <c r="Z273" s="2" t="s">
        <v>2058</v>
      </c>
    </row>
    <row r="274" spans="1:26" x14ac:dyDescent="0.3">
      <c r="A274" s="2" t="s">
        <v>590</v>
      </c>
      <c r="B274" s="1">
        <v>44734</v>
      </c>
      <c r="C274" s="2" t="s">
        <v>591</v>
      </c>
      <c r="D274" s="2" t="s">
        <v>65</v>
      </c>
      <c r="E274">
        <v>11177</v>
      </c>
      <c r="F274">
        <v>7.8</v>
      </c>
      <c r="G274">
        <v>36</v>
      </c>
      <c r="H274" s="2" t="s">
        <v>19</v>
      </c>
      <c r="I274" s="2" t="s">
        <v>57</v>
      </c>
      <c r="J274" s="2" t="s">
        <v>28</v>
      </c>
      <c r="K274">
        <v>128132</v>
      </c>
      <c r="L274" s="2" t="s">
        <v>29</v>
      </c>
      <c r="M274">
        <v>0.44</v>
      </c>
      <c r="N274">
        <v>0.68</v>
      </c>
      <c r="O274">
        <v>12048.81</v>
      </c>
      <c r="P274">
        <v>0</v>
      </c>
      <c r="Q274">
        <v>44</v>
      </c>
      <c r="R274">
        <v>2615.4179999999997</v>
      </c>
      <c r="S274">
        <v>13792.418</v>
      </c>
      <c r="T274">
        <v>871.80999999999949</v>
      </c>
      <c r="U274">
        <v>0</v>
      </c>
      <c r="V274" s="2" t="s">
        <v>2056</v>
      </c>
      <c r="W274" s="2" t="s">
        <v>2057</v>
      </c>
      <c r="X274">
        <v>7265.0501000000004</v>
      </c>
      <c r="Y274">
        <v>7.8000357877784685E-2</v>
      </c>
      <c r="Z274" s="2" t="s">
        <v>2058</v>
      </c>
    </row>
    <row r="275" spans="1:26" x14ac:dyDescent="0.3">
      <c r="A275" s="2" t="s">
        <v>592</v>
      </c>
      <c r="B275" s="1">
        <v>45117</v>
      </c>
      <c r="C275" s="2" t="s">
        <v>593</v>
      </c>
      <c r="D275" s="2" t="s">
        <v>56</v>
      </c>
      <c r="E275">
        <v>22727</v>
      </c>
      <c r="F275">
        <v>18.3</v>
      </c>
      <c r="G275">
        <v>36</v>
      </c>
      <c r="H275" s="2" t="s">
        <v>26</v>
      </c>
      <c r="I275" s="2" t="s">
        <v>36</v>
      </c>
      <c r="J275" s="2" t="s">
        <v>37</v>
      </c>
      <c r="K275">
        <v>123308</v>
      </c>
      <c r="L275" s="2" t="s">
        <v>29</v>
      </c>
      <c r="M275">
        <v>0.28999999999999998</v>
      </c>
      <c r="N275">
        <v>0.78</v>
      </c>
      <c r="O275">
        <v>9155.07</v>
      </c>
      <c r="P275">
        <v>0</v>
      </c>
      <c r="Q275">
        <v>32</v>
      </c>
      <c r="R275">
        <v>12477.123</v>
      </c>
      <c r="S275">
        <v>35204.123</v>
      </c>
      <c r="T275">
        <v>-13571.93</v>
      </c>
      <c r="U275">
        <v>0</v>
      </c>
      <c r="V275" s="2" t="s">
        <v>2059</v>
      </c>
      <c r="W275" s="2" t="s">
        <v>2062</v>
      </c>
      <c r="X275">
        <v>34658.675000000003</v>
      </c>
      <c r="Y275">
        <v>-0.5971720860650328</v>
      </c>
      <c r="Z275" s="2" t="s">
        <v>2061</v>
      </c>
    </row>
    <row r="276" spans="1:26" x14ac:dyDescent="0.3">
      <c r="A276" s="2" t="s">
        <v>594</v>
      </c>
      <c r="B276" s="1">
        <v>44604</v>
      </c>
      <c r="C276" s="2" t="s">
        <v>595</v>
      </c>
      <c r="D276" s="2" t="s">
        <v>25</v>
      </c>
      <c r="E276">
        <v>31220</v>
      </c>
      <c r="F276">
        <v>9.3000000000000007</v>
      </c>
      <c r="G276">
        <v>36</v>
      </c>
      <c r="H276" s="2" t="s">
        <v>19</v>
      </c>
      <c r="I276" s="2" t="s">
        <v>73</v>
      </c>
      <c r="J276" s="2" t="s">
        <v>37</v>
      </c>
      <c r="K276">
        <v>126393</v>
      </c>
      <c r="L276" s="2" t="s">
        <v>22</v>
      </c>
      <c r="M276">
        <v>0.41</v>
      </c>
      <c r="N276">
        <v>0.89</v>
      </c>
      <c r="O276">
        <v>34123.46</v>
      </c>
      <c r="P276">
        <v>0</v>
      </c>
      <c r="Q276">
        <v>49</v>
      </c>
      <c r="R276">
        <v>8710.3799999999992</v>
      </c>
      <c r="S276">
        <v>39930.379999999997</v>
      </c>
      <c r="T276">
        <v>2903.4599999999991</v>
      </c>
      <c r="U276">
        <v>0</v>
      </c>
      <c r="V276" s="2" t="s">
        <v>2056</v>
      </c>
      <c r="W276" s="2" t="s">
        <v>2064</v>
      </c>
      <c r="X276">
        <v>24195.5</v>
      </c>
      <c r="Y276">
        <v>9.2999999999999972E-2</v>
      </c>
      <c r="Z276" s="2" t="s">
        <v>2058</v>
      </c>
    </row>
    <row r="277" spans="1:26" x14ac:dyDescent="0.3">
      <c r="A277" s="2" t="s">
        <v>596</v>
      </c>
      <c r="B277" s="1">
        <v>44721</v>
      </c>
      <c r="C277" s="2" t="s">
        <v>597</v>
      </c>
      <c r="D277" s="2" t="s">
        <v>50</v>
      </c>
      <c r="E277">
        <v>10882</v>
      </c>
      <c r="F277">
        <v>7</v>
      </c>
      <c r="G277">
        <v>36</v>
      </c>
      <c r="H277" s="2" t="s">
        <v>26</v>
      </c>
      <c r="I277" s="2" t="s">
        <v>73</v>
      </c>
      <c r="J277" s="2" t="s">
        <v>37</v>
      </c>
      <c r="K277">
        <v>106312</v>
      </c>
      <c r="L277" s="2" t="s">
        <v>33</v>
      </c>
      <c r="M277">
        <v>0.37</v>
      </c>
      <c r="N277">
        <v>0.66</v>
      </c>
      <c r="O277">
        <v>3592.5</v>
      </c>
      <c r="P277">
        <v>0</v>
      </c>
      <c r="Q277">
        <v>45</v>
      </c>
      <c r="R277">
        <v>2285.2199999999998</v>
      </c>
      <c r="S277">
        <v>13167.22</v>
      </c>
      <c r="T277">
        <v>-7289.5</v>
      </c>
      <c r="U277">
        <v>0</v>
      </c>
      <c r="V277" s="2" t="s">
        <v>2059</v>
      </c>
      <c r="W277" s="2" t="s">
        <v>2064</v>
      </c>
      <c r="X277">
        <v>6347.8337000000001</v>
      </c>
      <c r="Y277">
        <v>-0.66986767138393677</v>
      </c>
      <c r="Z277" s="2" t="s">
        <v>2061</v>
      </c>
    </row>
    <row r="278" spans="1:26" x14ac:dyDescent="0.3">
      <c r="A278" s="2" t="s">
        <v>598</v>
      </c>
      <c r="B278" s="1">
        <v>45024</v>
      </c>
      <c r="C278" s="2" t="s">
        <v>599</v>
      </c>
      <c r="D278" s="2" t="s">
        <v>46</v>
      </c>
      <c r="E278">
        <v>2136</v>
      </c>
      <c r="F278">
        <v>22.2</v>
      </c>
      <c r="G278">
        <v>60</v>
      </c>
      <c r="H278" s="2" t="s">
        <v>19</v>
      </c>
      <c r="I278" s="2" t="s">
        <v>84</v>
      </c>
      <c r="J278" s="2" t="s">
        <v>37</v>
      </c>
      <c r="K278">
        <v>128371</v>
      </c>
      <c r="L278" s="2" t="s">
        <v>22</v>
      </c>
      <c r="M278">
        <v>0.39</v>
      </c>
      <c r="N278">
        <v>0.79</v>
      </c>
      <c r="O278">
        <v>2610.19</v>
      </c>
      <c r="P278">
        <v>0</v>
      </c>
      <c r="Q278">
        <v>35</v>
      </c>
      <c r="R278">
        <v>2370.9599999999996</v>
      </c>
      <c r="S278">
        <v>4506.9599999999991</v>
      </c>
      <c r="T278">
        <v>474.19000000000005</v>
      </c>
      <c r="U278">
        <v>0</v>
      </c>
      <c r="V278" s="2" t="s">
        <v>2056</v>
      </c>
      <c r="W278" s="2" t="s">
        <v>2062</v>
      </c>
      <c r="X278">
        <v>3951.6</v>
      </c>
      <c r="Y278">
        <v>0.221999063670412</v>
      </c>
      <c r="Z278" s="2" t="s">
        <v>2061</v>
      </c>
    </row>
    <row r="279" spans="1:26" x14ac:dyDescent="0.3">
      <c r="A279" s="2" t="s">
        <v>600</v>
      </c>
      <c r="B279" s="1">
        <v>45099</v>
      </c>
      <c r="C279" s="2" t="s">
        <v>601</v>
      </c>
      <c r="D279" s="2" t="s">
        <v>53</v>
      </c>
      <c r="E279">
        <v>35832</v>
      </c>
      <c r="F279">
        <v>14.2</v>
      </c>
      <c r="G279">
        <v>60</v>
      </c>
      <c r="H279" s="2" t="s">
        <v>19</v>
      </c>
      <c r="I279" s="2" t="s">
        <v>57</v>
      </c>
      <c r="J279" s="2" t="s">
        <v>47</v>
      </c>
      <c r="K279">
        <v>105324</v>
      </c>
      <c r="L279" s="2" t="s">
        <v>22</v>
      </c>
      <c r="M279">
        <v>0.3</v>
      </c>
      <c r="N279">
        <v>0.66</v>
      </c>
      <c r="O279">
        <v>40920.14</v>
      </c>
      <c r="P279">
        <v>0</v>
      </c>
      <c r="Q279">
        <v>32</v>
      </c>
      <c r="R279">
        <v>25440.719999999998</v>
      </c>
      <c r="S279">
        <v>61272.72</v>
      </c>
      <c r="T279">
        <v>5088.1399999999994</v>
      </c>
      <c r="U279">
        <v>0</v>
      </c>
      <c r="V279" s="2" t="s">
        <v>2056</v>
      </c>
      <c r="W279" s="2" t="s">
        <v>2057</v>
      </c>
      <c r="X279">
        <v>42401.2</v>
      </c>
      <c r="Y279">
        <v>0.14199988836793925</v>
      </c>
      <c r="Z279" s="2" t="s">
        <v>2061</v>
      </c>
    </row>
    <row r="280" spans="1:26" x14ac:dyDescent="0.3">
      <c r="A280" s="2" t="s">
        <v>602</v>
      </c>
      <c r="B280" s="1">
        <v>44232</v>
      </c>
      <c r="C280" s="2" t="s">
        <v>603</v>
      </c>
      <c r="D280" s="2" t="s">
        <v>76</v>
      </c>
      <c r="E280">
        <v>32966</v>
      </c>
      <c r="F280">
        <v>20</v>
      </c>
      <c r="G280">
        <v>60</v>
      </c>
      <c r="H280" s="2" t="s">
        <v>26</v>
      </c>
      <c r="I280" s="2" t="s">
        <v>20</v>
      </c>
      <c r="J280" s="2" t="s">
        <v>47</v>
      </c>
      <c r="K280">
        <v>101196</v>
      </c>
      <c r="L280" s="2" t="s">
        <v>33</v>
      </c>
      <c r="M280">
        <v>0.35</v>
      </c>
      <c r="N280">
        <v>0.78</v>
      </c>
      <c r="O280">
        <v>6322.07</v>
      </c>
      <c r="P280">
        <v>0</v>
      </c>
      <c r="Q280">
        <v>61</v>
      </c>
      <c r="R280">
        <v>32966</v>
      </c>
      <c r="S280">
        <v>65932</v>
      </c>
      <c r="T280">
        <v>-26643.93</v>
      </c>
      <c r="U280">
        <v>0</v>
      </c>
      <c r="V280" s="2" t="s">
        <v>2059</v>
      </c>
      <c r="W280" s="2" t="s">
        <v>2057</v>
      </c>
      <c r="X280">
        <v>54943.333299999998</v>
      </c>
      <c r="Y280">
        <v>-0.80822453436874353</v>
      </c>
      <c r="Z280" s="2" t="s">
        <v>2061</v>
      </c>
    </row>
    <row r="281" spans="1:26" x14ac:dyDescent="0.3">
      <c r="A281" s="2" t="s">
        <v>604</v>
      </c>
      <c r="B281" s="1">
        <v>44881</v>
      </c>
      <c r="C281" s="2" t="s">
        <v>605</v>
      </c>
      <c r="D281" s="2" t="s">
        <v>65</v>
      </c>
      <c r="E281">
        <v>8009</v>
      </c>
      <c r="F281">
        <v>10.8</v>
      </c>
      <c r="G281">
        <v>60</v>
      </c>
      <c r="H281" s="2" t="s">
        <v>26</v>
      </c>
      <c r="I281" s="2" t="s">
        <v>27</v>
      </c>
      <c r="J281" s="2" t="s">
        <v>21</v>
      </c>
      <c r="K281">
        <v>100014</v>
      </c>
      <c r="L281" s="2" t="s">
        <v>33</v>
      </c>
      <c r="M281">
        <v>0.42</v>
      </c>
      <c r="N281">
        <v>0.9</v>
      </c>
      <c r="O281">
        <v>2353.41</v>
      </c>
      <c r="P281">
        <v>0</v>
      </c>
      <c r="Q281">
        <v>40</v>
      </c>
      <c r="R281">
        <v>4324.8600000000006</v>
      </c>
      <c r="S281">
        <v>12333.86</v>
      </c>
      <c r="T281">
        <v>-5655.59</v>
      </c>
      <c r="U281">
        <v>0</v>
      </c>
      <c r="V281" s="2" t="s">
        <v>2059</v>
      </c>
      <c r="W281" s="2" t="s">
        <v>2060</v>
      </c>
      <c r="X281">
        <v>7208.1</v>
      </c>
      <c r="Y281">
        <v>-0.70615432638281939</v>
      </c>
      <c r="Z281" s="2" t="s">
        <v>2058</v>
      </c>
    </row>
    <row r="282" spans="1:26" x14ac:dyDescent="0.3">
      <c r="A282" s="2" t="s">
        <v>606</v>
      </c>
      <c r="B282" s="1">
        <v>44216</v>
      </c>
      <c r="C282" s="2" t="s">
        <v>607</v>
      </c>
      <c r="D282" s="2" t="s">
        <v>76</v>
      </c>
      <c r="E282">
        <v>13987</v>
      </c>
      <c r="F282">
        <v>20.7</v>
      </c>
      <c r="G282">
        <v>36</v>
      </c>
      <c r="H282" s="2" t="s">
        <v>19</v>
      </c>
      <c r="I282" s="2" t="s">
        <v>73</v>
      </c>
      <c r="J282" s="2" t="s">
        <v>37</v>
      </c>
      <c r="K282">
        <v>38210</v>
      </c>
      <c r="L282" s="2" t="s">
        <v>33</v>
      </c>
      <c r="M282">
        <v>0.26</v>
      </c>
      <c r="N282">
        <v>0.6</v>
      </c>
      <c r="O282">
        <v>16882.310000000001</v>
      </c>
      <c r="P282">
        <v>0</v>
      </c>
      <c r="Q282">
        <v>61</v>
      </c>
      <c r="R282">
        <v>8685.9269999999997</v>
      </c>
      <c r="S282">
        <v>22672.927</v>
      </c>
      <c r="T282">
        <v>2895.3100000000013</v>
      </c>
      <c r="U282">
        <v>0</v>
      </c>
      <c r="V282" s="2" t="s">
        <v>2056</v>
      </c>
      <c r="W282" s="2" t="s">
        <v>2064</v>
      </c>
      <c r="X282">
        <v>24127.575000000001</v>
      </c>
      <c r="Y282">
        <v>0.20700007149495969</v>
      </c>
      <c r="Z282" s="2" t="s">
        <v>2061</v>
      </c>
    </row>
    <row r="283" spans="1:26" x14ac:dyDescent="0.3">
      <c r="A283" s="2" t="s">
        <v>608</v>
      </c>
      <c r="B283" s="1">
        <v>44517</v>
      </c>
      <c r="C283" s="2" t="s">
        <v>609</v>
      </c>
      <c r="D283" s="2" t="s">
        <v>18</v>
      </c>
      <c r="E283">
        <v>38311</v>
      </c>
      <c r="F283">
        <v>7.2</v>
      </c>
      <c r="G283">
        <v>36</v>
      </c>
      <c r="H283" s="2" t="s">
        <v>19</v>
      </c>
      <c r="I283" s="2" t="s">
        <v>36</v>
      </c>
      <c r="J283" s="2" t="s">
        <v>28</v>
      </c>
      <c r="K283">
        <v>40922</v>
      </c>
      <c r="L283" s="2" t="s">
        <v>33</v>
      </c>
      <c r="M283">
        <v>0.42</v>
      </c>
      <c r="N283">
        <v>0.68</v>
      </c>
      <c r="O283">
        <v>41069.39</v>
      </c>
      <c r="P283">
        <v>0</v>
      </c>
      <c r="Q283">
        <v>52</v>
      </c>
      <c r="R283">
        <v>8275.1760000000013</v>
      </c>
      <c r="S283">
        <v>46586.175999999999</v>
      </c>
      <c r="T283">
        <v>2758.3899999999994</v>
      </c>
      <c r="U283">
        <v>0</v>
      </c>
      <c r="V283" s="2" t="s">
        <v>2056</v>
      </c>
      <c r="W283" s="2" t="s">
        <v>2062</v>
      </c>
      <c r="X283">
        <v>22986.600999999999</v>
      </c>
      <c r="Y283">
        <v>7.1999947795672245E-2</v>
      </c>
      <c r="Z283" s="2" t="s">
        <v>2058</v>
      </c>
    </row>
    <row r="284" spans="1:26" x14ac:dyDescent="0.3">
      <c r="A284" s="2" t="s">
        <v>610</v>
      </c>
      <c r="B284" s="1">
        <v>44708</v>
      </c>
      <c r="C284" s="2" t="s">
        <v>611</v>
      </c>
      <c r="D284" s="2" t="s">
        <v>72</v>
      </c>
      <c r="E284">
        <v>32575</v>
      </c>
      <c r="F284">
        <v>12.1</v>
      </c>
      <c r="G284">
        <v>60</v>
      </c>
      <c r="H284" s="2" t="s">
        <v>19</v>
      </c>
      <c r="I284" s="2" t="s">
        <v>41</v>
      </c>
      <c r="J284" s="2" t="s">
        <v>21</v>
      </c>
      <c r="K284">
        <v>66289</v>
      </c>
      <c r="L284" s="2" t="s">
        <v>22</v>
      </c>
      <c r="M284">
        <v>0.34</v>
      </c>
      <c r="N284">
        <v>0.95</v>
      </c>
      <c r="O284">
        <v>36516.57</v>
      </c>
      <c r="P284">
        <v>0</v>
      </c>
      <c r="Q284">
        <v>45</v>
      </c>
      <c r="R284">
        <v>19707.875</v>
      </c>
      <c r="S284">
        <v>52282.875</v>
      </c>
      <c r="T284">
        <v>3941.5699999999997</v>
      </c>
      <c r="U284">
        <v>0</v>
      </c>
      <c r="V284" s="2" t="s">
        <v>2056</v>
      </c>
      <c r="W284" s="2" t="s">
        <v>2062</v>
      </c>
      <c r="X284">
        <v>32846.458299999998</v>
      </c>
      <c r="Y284">
        <v>0.12099984650805831</v>
      </c>
      <c r="Z284" s="2" t="s">
        <v>2058</v>
      </c>
    </row>
    <row r="285" spans="1:26" x14ac:dyDescent="0.3">
      <c r="A285" s="2" t="s">
        <v>612</v>
      </c>
      <c r="B285" s="1">
        <v>44596</v>
      </c>
      <c r="C285" s="2" t="s">
        <v>613</v>
      </c>
      <c r="D285" s="2" t="s">
        <v>46</v>
      </c>
      <c r="E285">
        <v>2007</v>
      </c>
      <c r="F285">
        <v>24.6</v>
      </c>
      <c r="G285">
        <v>36</v>
      </c>
      <c r="H285" s="2" t="s">
        <v>26</v>
      </c>
      <c r="I285" s="2" t="s">
        <v>57</v>
      </c>
      <c r="J285" s="2" t="s">
        <v>37</v>
      </c>
      <c r="K285">
        <v>63340</v>
      </c>
      <c r="L285" s="2" t="s">
        <v>29</v>
      </c>
      <c r="M285">
        <v>0.17</v>
      </c>
      <c r="N285">
        <v>0.89</v>
      </c>
      <c r="O285">
        <v>182.76</v>
      </c>
      <c r="P285">
        <v>0</v>
      </c>
      <c r="Q285">
        <v>49</v>
      </c>
      <c r="R285">
        <v>1481.1660000000002</v>
      </c>
      <c r="S285">
        <v>3488.1660000000002</v>
      </c>
      <c r="T285">
        <v>-1824.24</v>
      </c>
      <c r="U285">
        <v>0</v>
      </c>
      <c r="V285" s="2" t="s">
        <v>2059</v>
      </c>
      <c r="W285" s="2" t="s">
        <v>2057</v>
      </c>
      <c r="X285">
        <v>4114.3500000000004</v>
      </c>
      <c r="Y285">
        <v>-0.90893871449925268</v>
      </c>
      <c r="Z285" s="2" t="s">
        <v>2058</v>
      </c>
    </row>
    <row r="286" spans="1:26" x14ac:dyDescent="0.3">
      <c r="A286" s="2" t="s">
        <v>614</v>
      </c>
      <c r="B286" s="1">
        <v>44850</v>
      </c>
      <c r="C286" s="2" t="s">
        <v>615</v>
      </c>
      <c r="D286" s="2" t="s">
        <v>56</v>
      </c>
      <c r="E286">
        <v>6445</v>
      </c>
      <c r="F286">
        <v>20.9</v>
      </c>
      <c r="G286">
        <v>36</v>
      </c>
      <c r="H286" s="2" t="s">
        <v>19</v>
      </c>
      <c r="I286" s="2" t="s">
        <v>57</v>
      </c>
      <c r="J286" s="2" t="s">
        <v>47</v>
      </c>
      <c r="K286">
        <v>69850</v>
      </c>
      <c r="L286" s="2" t="s">
        <v>22</v>
      </c>
      <c r="M286">
        <v>0.11</v>
      </c>
      <c r="N286">
        <v>0.75</v>
      </c>
      <c r="O286">
        <v>7792</v>
      </c>
      <c r="P286">
        <v>0</v>
      </c>
      <c r="Q286">
        <v>41</v>
      </c>
      <c r="R286">
        <v>4041.0150000000008</v>
      </c>
      <c r="S286">
        <v>10486.015000000001</v>
      </c>
      <c r="T286">
        <v>1347</v>
      </c>
      <c r="U286">
        <v>0</v>
      </c>
      <c r="V286" s="2" t="s">
        <v>2056</v>
      </c>
      <c r="W286" s="2" t="s">
        <v>2057</v>
      </c>
      <c r="X286">
        <v>11225.0417</v>
      </c>
      <c r="Y286">
        <v>0.20899922420480993</v>
      </c>
      <c r="Z286" s="2" t="s">
        <v>2061</v>
      </c>
    </row>
    <row r="287" spans="1:26" x14ac:dyDescent="0.3">
      <c r="A287" s="2" t="s">
        <v>616</v>
      </c>
      <c r="B287" s="1">
        <v>45168</v>
      </c>
      <c r="C287" s="2" t="s">
        <v>617</v>
      </c>
      <c r="D287" s="2" t="s">
        <v>18</v>
      </c>
      <c r="E287">
        <v>11706</v>
      </c>
      <c r="F287">
        <v>14.9</v>
      </c>
      <c r="G287">
        <v>60</v>
      </c>
      <c r="H287" s="2" t="s">
        <v>19</v>
      </c>
      <c r="I287" s="2" t="s">
        <v>57</v>
      </c>
      <c r="J287" s="2" t="s">
        <v>28</v>
      </c>
      <c r="K287">
        <v>86984</v>
      </c>
      <c r="L287" s="2" t="s">
        <v>33</v>
      </c>
      <c r="M287">
        <v>0.25</v>
      </c>
      <c r="N287">
        <v>0.73</v>
      </c>
      <c r="O287">
        <v>13450.19</v>
      </c>
      <c r="P287">
        <v>0</v>
      </c>
      <c r="Q287">
        <v>30</v>
      </c>
      <c r="R287">
        <v>8720.9699999999993</v>
      </c>
      <c r="S287">
        <v>20426.97</v>
      </c>
      <c r="T287">
        <v>1744.1900000000005</v>
      </c>
      <c r="U287">
        <v>0</v>
      </c>
      <c r="V287" s="2" t="s">
        <v>2056</v>
      </c>
      <c r="W287" s="2" t="s">
        <v>2057</v>
      </c>
      <c r="X287">
        <v>14534.95</v>
      </c>
      <c r="Y287">
        <v>0.14899965829489156</v>
      </c>
      <c r="Z287" s="2" t="s">
        <v>2061</v>
      </c>
    </row>
    <row r="288" spans="1:26" x14ac:dyDescent="0.3">
      <c r="A288" s="2" t="s">
        <v>618</v>
      </c>
      <c r="B288" s="1">
        <v>44667</v>
      </c>
      <c r="C288" s="2" t="s">
        <v>619</v>
      </c>
      <c r="D288" s="2" t="s">
        <v>40</v>
      </c>
      <c r="E288">
        <v>30257</v>
      </c>
      <c r="F288">
        <v>11.8</v>
      </c>
      <c r="G288">
        <v>36</v>
      </c>
      <c r="H288" s="2" t="s">
        <v>26</v>
      </c>
      <c r="I288" s="2" t="s">
        <v>57</v>
      </c>
      <c r="J288" s="2" t="s">
        <v>21</v>
      </c>
      <c r="K288">
        <v>133699</v>
      </c>
      <c r="L288" s="2" t="s">
        <v>29</v>
      </c>
      <c r="M288">
        <v>0.32</v>
      </c>
      <c r="N288">
        <v>0.63</v>
      </c>
      <c r="O288">
        <v>10757.13</v>
      </c>
      <c r="P288">
        <v>0</v>
      </c>
      <c r="Q288">
        <v>47</v>
      </c>
      <c r="R288">
        <v>10710.978000000001</v>
      </c>
      <c r="S288">
        <v>40967.978000000003</v>
      </c>
      <c r="T288">
        <v>-19499.870000000003</v>
      </c>
      <c r="U288">
        <v>0</v>
      </c>
      <c r="V288" s="2" t="s">
        <v>2059</v>
      </c>
      <c r="W288" s="2" t="s">
        <v>2057</v>
      </c>
      <c r="X288">
        <v>29752.716700000001</v>
      </c>
      <c r="Y288">
        <v>-0.64447466701920231</v>
      </c>
      <c r="Z288" s="2" t="s">
        <v>2061</v>
      </c>
    </row>
    <row r="289" spans="1:26" x14ac:dyDescent="0.3">
      <c r="A289" s="2" t="s">
        <v>620</v>
      </c>
      <c r="B289" s="1">
        <v>45030</v>
      </c>
      <c r="C289" s="2" t="s">
        <v>621</v>
      </c>
      <c r="D289" s="2" t="s">
        <v>46</v>
      </c>
      <c r="E289">
        <v>22736</v>
      </c>
      <c r="F289">
        <v>22.4</v>
      </c>
      <c r="G289">
        <v>60</v>
      </c>
      <c r="H289" s="2" t="s">
        <v>81</v>
      </c>
      <c r="I289" s="2" t="s">
        <v>84</v>
      </c>
      <c r="J289" s="2" t="s">
        <v>28</v>
      </c>
      <c r="K289">
        <v>143711</v>
      </c>
      <c r="L289" s="2" t="s">
        <v>29</v>
      </c>
      <c r="M289">
        <v>0.44</v>
      </c>
      <c r="N289">
        <v>0.73</v>
      </c>
      <c r="O289">
        <v>7219.33</v>
      </c>
      <c r="P289">
        <v>8265.9599999999991</v>
      </c>
      <c r="Q289">
        <v>35</v>
      </c>
      <c r="R289">
        <v>25464.319999999996</v>
      </c>
      <c r="S289">
        <v>48200.319999999992</v>
      </c>
      <c r="T289">
        <v>-7250.7100000000009</v>
      </c>
      <c r="U289">
        <v>1</v>
      </c>
      <c r="V289" s="2" t="s">
        <v>2063</v>
      </c>
      <c r="W289" s="2" t="s">
        <v>2062</v>
      </c>
      <c r="X289">
        <v>42440.533300000003</v>
      </c>
      <c r="Y289">
        <v>-0.31890877902885295</v>
      </c>
      <c r="Z289" s="2" t="s">
        <v>2058</v>
      </c>
    </row>
    <row r="290" spans="1:26" x14ac:dyDescent="0.3">
      <c r="A290" s="2" t="s">
        <v>622</v>
      </c>
      <c r="B290" s="1">
        <v>44923</v>
      </c>
      <c r="C290" s="2" t="s">
        <v>623</v>
      </c>
      <c r="D290" s="2" t="s">
        <v>76</v>
      </c>
      <c r="E290">
        <v>14281</v>
      </c>
      <c r="F290">
        <v>15.9</v>
      </c>
      <c r="G290">
        <v>60</v>
      </c>
      <c r="H290" s="2" t="s">
        <v>26</v>
      </c>
      <c r="I290" s="2" t="s">
        <v>27</v>
      </c>
      <c r="J290" s="2" t="s">
        <v>37</v>
      </c>
      <c r="K290">
        <v>114178</v>
      </c>
      <c r="L290" s="2" t="s">
        <v>22</v>
      </c>
      <c r="M290">
        <v>0.15</v>
      </c>
      <c r="N290">
        <v>0.88</v>
      </c>
      <c r="O290">
        <v>6915.78</v>
      </c>
      <c r="P290">
        <v>0</v>
      </c>
      <c r="Q290">
        <v>38</v>
      </c>
      <c r="R290">
        <v>11353.394999999999</v>
      </c>
      <c r="S290">
        <v>25634.394999999997</v>
      </c>
      <c r="T290">
        <v>-7365.22</v>
      </c>
      <c r="U290">
        <v>0</v>
      </c>
      <c r="V290" s="2" t="s">
        <v>2059</v>
      </c>
      <c r="W290" s="2" t="s">
        <v>2060</v>
      </c>
      <c r="X290">
        <v>18922.325000000001</v>
      </c>
      <c r="Y290">
        <v>-0.5157355927456061</v>
      </c>
      <c r="Z290" s="2" t="s">
        <v>2058</v>
      </c>
    </row>
    <row r="291" spans="1:26" x14ac:dyDescent="0.3">
      <c r="A291" s="2" t="s">
        <v>624</v>
      </c>
      <c r="B291" s="1">
        <v>45050</v>
      </c>
      <c r="C291" s="2" t="s">
        <v>625</v>
      </c>
      <c r="D291" s="2" t="s">
        <v>18</v>
      </c>
      <c r="E291">
        <v>2435</v>
      </c>
      <c r="F291">
        <v>20.2</v>
      </c>
      <c r="G291">
        <v>36</v>
      </c>
      <c r="H291" s="2" t="s">
        <v>26</v>
      </c>
      <c r="I291" s="2" t="s">
        <v>73</v>
      </c>
      <c r="J291" s="2" t="s">
        <v>32</v>
      </c>
      <c r="K291">
        <v>41094</v>
      </c>
      <c r="L291" s="2" t="s">
        <v>22</v>
      </c>
      <c r="M291">
        <v>0.42</v>
      </c>
      <c r="N291">
        <v>0.81</v>
      </c>
      <c r="O291">
        <v>407.08</v>
      </c>
      <c r="P291">
        <v>0</v>
      </c>
      <c r="Q291">
        <v>34</v>
      </c>
      <c r="R291">
        <v>1475.61</v>
      </c>
      <c r="S291">
        <v>3910.6099999999997</v>
      </c>
      <c r="T291">
        <v>-2027.92</v>
      </c>
      <c r="U291">
        <v>0</v>
      </c>
      <c r="V291" s="2" t="s">
        <v>2059</v>
      </c>
      <c r="W291" s="2" t="s">
        <v>2064</v>
      </c>
      <c r="X291">
        <v>4098.9166999999998</v>
      </c>
      <c r="Y291">
        <v>-0.83282135523613965</v>
      </c>
      <c r="Z291" s="2" t="s">
        <v>2058</v>
      </c>
    </row>
    <row r="292" spans="1:26" x14ac:dyDescent="0.3">
      <c r="A292" s="2" t="s">
        <v>626</v>
      </c>
      <c r="B292" s="1">
        <v>44247</v>
      </c>
      <c r="C292" s="2" t="s">
        <v>627</v>
      </c>
      <c r="D292" s="2" t="s">
        <v>56</v>
      </c>
      <c r="E292">
        <v>34339</v>
      </c>
      <c r="F292">
        <v>20.100000000000001</v>
      </c>
      <c r="G292">
        <v>36</v>
      </c>
      <c r="H292" s="2" t="s">
        <v>26</v>
      </c>
      <c r="I292" s="2" t="s">
        <v>20</v>
      </c>
      <c r="J292" s="2" t="s">
        <v>28</v>
      </c>
      <c r="K292">
        <v>117959</v>
      </c>
      <c r="L292" s="2" t="s">
        <v>22</v>
      </c>
      <c r="M292">
        <v>0.45</v>
      </c>
      <c r="N292">
        <v>0.63</v>
      </c>
      <c r="O292">
        <v>2002.15</v>
      </c>
      <c r="P292">
        <v>0</v>
      </c>
      <c r="Q292">
        <v>60</v>
      </c>
      <c r="R292">
        <v>20706.417000000001</v>
      </c>
      <c r="S292">
        <v>55045.417000000001</v>
      </c>
      <c r="T292">
        <v>-32336.85</v>
      </c>
      <c r="U292">
        <v>0</v>
      </c>
      <c r="V292" s="2" t="s">
        <v>2059</v>
      </c>
      <c r="W292" s="2" t="s">
        <v>2057</v>
      </c>
      <c r="X292">
        <v>57517.824999999997</v>
      </c>
      <c r="Y292">
        <v>-0.94169457468184858</v>
      </c>
      <c r="Z292" s="2" t="s">
        <v>2058</v>
      </c>
    </row>
    <row r="293" spans="1:26" x14ac:dyDescent="0.3">
      <c r="A293" s="2" t="s">
        <v>628</v>
      </c>
      <c r="B293" s="1">
        <v>44771</v>
      </c>
      <c r="C293" s="2" t="s">
        <v>629</v>
      </c>
      <c r="D293" s="2" t="s">
        <v>65</v>
      </c>
      <c r="E293">
        <v>36150</v>
      </c>
      <c r="F293">
        <v>5.4</v>
      </c>
      <c r="G293">
        <v>60</v>
      </c>
      <c r="H293" s="2" t="s">
        <v>19</v>
      </c>
      <c r="I293" s="2" t="s">
        <v>57</v>
      </c>
      <c r="J293" s="2" t="s">
        <v>28</v>
      </c>
      <c r="K293">
        <v>63418</v>
      </c>
      <c r="L293" s="2" t="s">
        <v>29</v>
      </c>
      <c r="M293">
        <v>0.16</v>
      </c>
      <c r="N293">
        <v>0.59</v>
      </c>
      <c r="O293">
        <v>38102.1</v>
      </c>
      <c r="P293">
        <v>0</v>
      </c>
      <c r="Q293">
        <v>43</v>
      </c>
      <c r="R293">
        <v>9760.5</v>
      </c>
      <c r="S293">
        <v>45910.5</v>
      </c>
      <c r="T293">
        <v>1952.0999999999985</v>
      </c>
      <c r="U293">
        <v>0</v>
      </c>
      <c r="V293" s="2" t="s">
        <v>2056</v>
      </c>
      <c r="W293" s="2" t="s">
        <v>2057</v>
      </c>
      <c r="X293">
        <v>16267.5</v>
      </c>
      <c r="Y293">
        <v>5.3999999999999958E-2</v>
      </c>
      <c r="Z293" s="2" t="s">
        <v>2061</v>
      </c>
    </row>
    <row r="294" spans="1:26" x14ac:dyDescent="0.3">
      <c r="A294" s="2" t="s">
        <v>630</v>
      </c>
      <c r="B294" s="1">
        <v>44346</v>
      </c>
      <c r="C294" s="2" t="s">
        <v>631</v>
      </c>
      <c r="D294" s="2" t="s">
        <v>65</v>
      </c>
      <c r="E294">
        <v>26821</v>
      </c>
      <c r="F294">
        <v>7.5</v>
      </c>
      <c r="G294">
        <v>60</v>
      </c>
      <c r="H294" s="2" t="s">
        <v>19</v>
      </c>
      <c r="I294" s="2" t="s">
        <v>57</v>
      </c>
      <c r="J294" s="2" t="s">
        <v>47</v>
      </c>
      <c r="K294">
        <v>35741</v>
      </c>
      <c r="L294" s="2" t="s">
        <v>29</v>
      </c>
      <c r="M294">
        <v>0.44</v>
      </c>
      <c r="N294">
        <v>0.62</v>
      </c>
      <c r="O294">
        <v>28832.57</v>
      </c>
      <c r="P294">
        <v>0</v>
      </c>
      <c r="Q294">
        <v>57</v>
      </c>
      <c r="R294">
        <v>10057.875</v>
      </c>
      <c r="S294">
        <v>36878.875</v>
      </c>
      <c r="T294">
        <v>2011.5699999999997</v>
      </c>
      <c r="U294">
        <v>0</v>
      </c>
      <c r="V294" s="2" t="s">
        <v>2056</v>
      </c>
      <c r="W294" s="2" t="s">
        <v>2057</v>
      </c>
      <c r="X294">
        <v>16763.125</v>
      </c>
      <c r="Y294">
        <v>7.4999813578912042E-2</v>
      </c>
      <c r="Z294" s="2" t="s">
        <v>2058</v>
      </c>
    </row>
    <row r="295" spans="1:26" x14ac:dyDescent="0.3">
      <c r="A295" s="2" t="s">
        <v>632</v>
      </c>
      <c r="B295" s="1">
        <v>44510</v>
      </c>
      <c r="C295" s="2" t="s">
        <v>633</v>
      </c>
      <c r="D295" s="2" t="s">
        <v>50</v>
      </c>
      <c r="E295">
        <v>27660</v>
      </c>
      <c r="F295">
        <v>18.2</v>
      </c>
      <c r="G295">
        <v>36</v>
      </c>
      <c r="H295" s="2" t="s">
        <v>26</v>
      </c>
      <c r="I295" s="2" t="s">
        <v>84</v>
      </c>
      <c r="J295" s="2" t="s">
        <v>37</v>
      </c>
      <c r="K295">
        <v>141585</v>
      </c>
      <c r="L295" s="2" t="s">
        <v>29</v>
      </c>
      <c r="M295">
        <v>0.5</v>
      </c>
      <c r="N295">
        <v>0.57999999999999996</v>
      </c>
      <c r="O295">
        <v>8174.19</v>
      </c>
      <c r="P295">
        <v>0</v>
      </c>
      <c r="Q295">
        <v>52</v>
      </c>
      <c r="R295">
        <v>15102.36</v>
      </c>
      <c r="S295">
        <v>42762.36</v>
      </c>
      <c r="T295">
        <v>-19485.810000000001</v>
      </c>
      <c r="U295">
        <v>0</v>
      </c>
      <c r="V295" s="2" t="s">
        <v>2059</v>
      </c>
      <c r="W295" s="2" t="s">
        <v>2062</v>
      </c>
      <c r="X295">
        <v>41951</v>
      </c>
      <c r="Y295">
        <v>-0.70447613882863347</v>
      </c>
      <c r="Z295" s="2" t="s">
        <v>2058</v>
      </c>
    </row>
    <row r="296" spans="1:26" x14ac:dyDescent="0.3">
      <c r="A296" s="2" t="s">
        <v>634</v>
      </c>
      <c r="B296" s="1">
        <v>44766</v>
      </c>
      <c r="C296" s="2" t="s">
        <v>635</v>
      </c>
      <c r="D296" s="2" t="s">
        <v>56</v>
      </c>
      <c r="E296">
        <v>6084</v>
      </c>
      <c r="F296">
        <v>8.1999999999999993</v>
      </c>
      <c r="G296">
        <v>60</v>
      </c>
      <c r="H296" s="2" t="s">
        <v>19</v>
      </c>
      <c r="I296" s="2" t="s">
        <v>20</v>
      </c>
      <c r="J296" s="2" t="s">
        <v>28</v>
      </c>
      <c r="K296">
        <v>102374</v>
      </c>
      <c r="L296" s="2" t="s">
        <v>33</v>
      </c>
      <c r="M296">
        <v>0.39</v>
      </c>
      <c r="N296">
        <v>0.54</v>
      </c>
      <c r="O296">
        <v>6582.89</v>
      </c>
      <c r="P296">
        <v>0</v>
      </c>
      <c r="Q296">
        <v>43</v>
      </c>
      <c r="R296">
        <v>2494.44</v>
      </c>
      <c r="S296">
        <v>8578.44</v>
      </c>
      <c r="T296">
        <v>498.89000000000033</v>
      </c>
      <c r="U296">
        <v>0</v>
      </c>
      <c r="V296" s="2" t="s">
        <v>2056</v>
      </c>
      <c r="W296" s="2" t="s">
        <v>2057</v>
      </c>
      <c r="X296">
        <v>4157.3999999999996</v>
      </c>
      <c r="Y296">
        <v>8.2000328731098013E-2</v>
      </c>
      <c r="Z296" s="2" t="s">
        <v>2061</v>
      </c>
    </row>
    <row r="297" spans="1:26" x14ac:dyDescent="0.3">
      <c r="A297" s="2" t="s">
        <v>636</v>
      </c>
      <c r="B297" s="1">
        <v>44501</v>
      </c>
      <c r="C297" s="2" t="s">
        <v>637</v>
      </c>
      <c r="D297" s="2" t="s">
        <v>65</v>
      </c>
      <c r="E297">
        <v>17661</v>
      </c>
      <c r="F297">
        <v>10.1</v>
      </c>
      <c r="G297">
        <v>60</v>
      </c>
      <c r="H297" s="2" t="s">
        <v>81</v>
      </c>
      <c r="I297" s="2" t="s">
        <v>84</v>
      </c>
      <c r="J297" s="2" t="s">
        <v>37</v>
      </c>
      <c r="K297">
        <v>147275</v>
      </c>
      <c r="L297" s="2" t="s">
        <v>33</v>
      </c>
      <c r="M297">
        <v>0.41</v>
      </c>
      <c r="N297">
        <v>0.69</v>
      </c>
      <c r="O297">
        <v>5510.89</v>
      </c>
      <c r="P297">
        <v>3016.27</v>
      </c>
      <c r="Q297">
        <v>52</v>
      </c>
      <c r="R297">
        <v>8918.8050000000003</v>
      </c>
      <c r="S297">
        <v>26579.805</v>
      </c>
      <c r="T297">
        <v>-9133.84</v>
      </c>
      <c r="U297">
        <v>1</v>
      </c>
      <c r="V297" s="2" t="s">
        <v>2063</v>
      </c>
      <c r="W297" s="2" t="s">
        <v>2062</v>
      </c>
      <c r="X297">
        <v>14864.674999999999</v>
      </c>
      <c r="Y297">
        <v>-0.517175697865353</v>
      </c>
      <c r="Z297" s="2" t="s">
        <v>2058</v>
      </c>
    </row>
    <row r="298" spans="1:26" x14ac:dyDescent="0.3">
      <c r="A298" s="2" t="s">
        <v>638</v>
      </c>
      <c r="B298" s="1">
        <v>44878</v>
      </c>
      <c r="C298" s="2" t="s">
        <v>639</v>
      </c>
      <c r="D298" s="2" t="s">
        <v>18</v>
      </c>
      <c r="E298">
        <v>14507</v>
      </c>
      <c r="F298">
        <v>23.9</v>
      </c>
      <c r="G298">
        <v>60</v>
      </c>
      <c r="H298" s="2" t="s">
        <v>19</v>
      </c>
      <c r="I298" s="2" t="s">
        <v>27</v>
      </c>
      <c r="J298" s="2" t="s">
        <v>47</v>
      </c>
      <c r="K298">
        <v>98798</v>
      </c>
      <c r="L298" s="2" t="s">
        <v>22</v>
      </c>
      <c r="M298">
        <v>0.5</v>
      </c>
      <c r="N298">
        <v>0.55000000000000004</v>
      </c>
      <c r="O298">
        <v>17974.169999999998</v>
      </c>
      <c r="P298">
        <v>0</v>
      </c>
      <c r="Q298">
        <v>40</v>
      </c>
      <c r="R298">
        <v>17335.864999999998</v>
      </c>
      <c r="S298">
        <v>31842.864999999998</v>
      </c>
      <c r="T298">
        <v>3467.1699999999983</v>
      </c>
      <c r="U298">
        <v>0</v>
      </c>
      <c r="V298" s="2" t="s">
        <v>2056</v>
      </c>
      <c r="W298" s="2" t="s">
        <v>2060</v>
      </c>
      <c r="X298">
        <v>28893.1083</v>
      </c>
      <c r="Y298">
        <v>0.23899979320328105</v>
      </c>
      <c r="Z298" s="2" t="s">
        <v>2058</v>
      </c>
    </row>
    <row r="299" spans="1:26" x14ac:dyDescent="0.3">
      <c r="A299" s="2" t="s">
        <v>640</v>
      </c>
      <c r="B299" s="1">
        <v>45034</v>
      </c>
      <c r="C299" s="2" t="s">
        <v>641</v>
      </c>
      <c r="D299" s="2" t="s">
        <v>50</v>
      </c>
      <c r="E299">
        <v>8059</v>
      </c>
      <c r="F299">
        <v>16.2</v>
      </c>
      <c r="G299">
        <v>36</v>
      </c>
      <c r="H299" s="2" t="s">
        <v>19</v>
      </c>
      <c r="I299" s="2" t="s">
        <v>27</v>
      </c>
      <c r="J299" s="2" t="s">
        <v>37</v>
      </c>
      <c r="K299">
        <v>146026</v>
      </c>
      <c r="L299" s="2" t="s">
        <v>29</v>
      </c>
      <c r="M299">
        <v>0.34</v>
      </c>
      <c r="N299">
        <v>0.57999999999999996</v>
      </c>
      <c r="O299">
        <v>9364.56</v>
      </c>
      <c r="P299">
        <v>0</v>
      </c>
      <c r="Q299">
        <v>35</v>
      </c>
      <c r="R299">
        <v>3916.6740000000004</v>
      </c>
      <c r="S299">
        <v>11975.674000000001</v>
      </c>
      <c r="T299">
        <v>1305.5599999999995</v>
      </c>
      <c r="U299">
        <v>0</v>
      </c>
      <c r="V299" s="2" t="s">
        <v>2056</v>
      </c>
      <c r="W299" s="2" t="s">
        <v>2060</v>
      </c>
      <c r="X299">
        <v>10879.65</v>
      </c>
      <c r="Y299">
        <v>0.16200024816974803</v>
      </c>
      <c r="Z299" s="2" t="s">
        <v>2061</v>
      </c>
    </row>
    <row r="300" spans="1:26" x14ac:dyDescent="0.3">
      <c r="A300" s="2" t="s">
        <v>642</v>
      </c>
      <c r="B300" s="1">
        <v>45274</v>
      </c>
      <c r="C300" s="2" t="s">
        <v>643</v>
      </c>
      <c r="D300" s="2" t="s">
        <v>65</v>
      </c>
      <c r="E300">
        <v>19271</v>
      </c>
      <c r="F300">
        <v>20</v>
      </c>
      <c r="G300">
        <v>60</v>
      </c>
      <c r="H300" s="2" t="s">
        <v>81</v>
      </c>
      <c r="I300" s="2" t="s">
        <v>57</v>
      </c>
      <c r="J300" s="2" t="s">
        <v>47</v>
      </c>
      <c r="K300">
        <v>100532</v>
      </c>
      <c r="L300" s="2" t="s">
        <v>22</v>
      </c>
      <c r="M300">
        <v>0.22</v>
      </c>
      <c r="N300">
        <v>0.75</v>
      </c>
      <c r="O300">
        <v>6496.68</v>
      </c>
      <c r="P300">
        <v>2294.8000000000002</v>
      </c>
      <c r="Q300">
        <v>27</v>
      </c>
      <c r="R300">
        <v>19271</v>
      </c>
      <c r="S300">
        <v>38542</v>
      </c>
      <c r="T300">
        <v>-10479.52</v>
      </c>
      <c r="U300">
        <v>1</v>
      </c>
      <c r="V300" s="2" t="s">
        <v>2063</v>
      </c>
      <c r="W300" s="2" t="s">
        <v>2057</v>
      </c>
      <c r="X300">
        <v>32118.333299999998</v>
      </c>
      <c r="Y300">
        <v>-0.54379741580613361</v>
      </c>
      <c r="Z300" s="2" t="s">
        <v>2061</v>
      </c>
    </row>
    <row r="301" spans="1:26" x14ac:dyDescent="0.3">
      <c r="A301" s="2" t="s">
        <v>644</v>
      </c>
      <c r="B301" s="1">
        <v>45199</v>
      </c>
      <c r="C301" s="2" t="s">
        <v>645</v>
      </c>
      <c r="D301" s="2" t="s">
        <v>46</v>
      </c>
      <c r="E301">
        <v>8491</v>
      </c>
      <c r="F301">
        <v>16.2</v>
      </c>
      <c r="G301">
        <v>36</v>
      </c>
      <c r="H301" s="2" t="s">
        <v>26</v>
      </c>
      <c r="I301" s="2" t="s">
        <v>27</v>
      </c>
      <c r="J301" s="2" t="s">
        <v>47</v>
      </c>
      <c r="K301">
        <v>140130</v>
      </c>
      <c r="L301" s="2" t="s">
        <v>29</v>
      </c>
      <c r="M301">
        <v>0.44</v>
      </c>
      <c r="N301">
        <v>0.56999999999999995</v>
      </c>
      <c r="O301">
        <v>1164.82</v>
      </c>
      <c r="P301">
        <v>0</v>
      </c>
      <c r="Q301">
        <v>29</v>
      </c>
      <c r="R301">
        <v>4126.6259999999993</v>
      </c>
      <c r="S301">
        <v>12617.626</v>
      </c>
      <c r="T301">
        <v>-7326.18</v>
      </c>
      <c r="U301">
        <v>0</v>
      </c>
      <c r="V301" s="2" t="s">
        <v>2059</v>
      </c>
      <c r="W301" s="2" t="s">
        <v>2060</v>
      </c>
      <c r="X301">
        <v>11462.85</v>
      </c>
      <c r="Y301">
        <v>-0.86281710045930993</v>
      </c>
      <c r="Z301" s="2" t="s">
        <v>2058</v>
      </c>
    </row>
    <row r="302" spans="1:26" x14ac:dyDescent="0.3">
      <c r="A302" s="2" t="s">
        <v>646</v>
      </c>
      <c r="B302" s="1">
        <v>44640</v>
      </c>
      <c r="C302" s="2" t="s">
        <v>647</v>
      </c>
      <c r="D302" s="2" t="s">
        <v>72</v>
      </c>
      <c r="E302">
        <v>15859</v>
      </c>
      <c r="F302">
        <v>16.100000000000001</v>
      </c>
      <c r="G302">
        <v>60</v>
      </c>
      <c r="H302" s="2" t="s">
        <v>19</v>
      </c>
      <c r="I302" s="2" t="s">
        <v>73</v>
      </c>
      <c r="J302" s="2" t="s">
        <v>21</v>
      </c>
      <c r="K302">
        <v>52164</v>
      </c>
      <c r="L302" s="2" t="s">
        <v>22</v>
      </c>
      <c r="M302">
        <v>0.35</v>
      </c>
      <c r="N302">
        <v>0.53</v>
      </c>
      <c r="O302">
        <v>18412.3</v>
      </c>
      <c r="P302">
        <v>0</v>
      </c>
      <c r="Q302">
        <v>47</v>
      </c>
      <c r="R302">
        <v>12766.495000000003</v>
      </c>
      <c r="S302">
        <v>28625.495000000003</v>
      </c>
      <c r="T302">
        <v>2553.2999999999993</v>
      </c>
      <c r="U302">
        <v>0</v>
      </c>
      <c r="V302" s="2" t="s">
        <v>2056</v>
      </c>
      <c r="W302" s="2" t="s">
        <v>2064</v>
      </c>
      <c r="X302">
        <v>21277.491699999999</v>
      </c>
      <c r="Y302">
        <v>0.16100006305567813</v>
      </c>
      <c r="Z302" s="2" t="s">
        <v>2061</v>
      </c>
    </row>
    <row r="303" spans="1:26" x14ac:dyDescent="0.3">
      <c r="A303" s="2" t="s">
        <v>648</v>
      </c>
      <c r="B303" s="1">
        <v>44809</v>
      </c>
      <c r="C303" s="2" t="s">
        <v>649</v>
      </c>
      <c r="D303" s="2" t="s">
        <v>40</v>
      </c>
      <c r="E303">
        <v>9073</v>
      </c>
      <c r="F303">
        <v>6.9</v>
      </c>
      <c r="G303">
        <v>36</v>
      </c>
      <c r="H303" s="2" t="s">
        <v>26</v>
      </c>
      <c r="I303" s="2" t="s">
        <v>27</v>
      </c>
      <c r="J303" s="2" t="s">
        <v>37</v>
      </c>
      <c r="K303">
        <v>65595</v>
      </c>
      <c r="L303" s="2" t="s">
        <v>33</v>
      </c>
      <c r="M303">
        <v>0.33</v>
      </c>
      <c r="N303">
        <v>0.64</v>
      </c>
      <c r="O303">
        <v>1522.35</v>
      </c>
      <c r="P303">
        <v>0</v>
      </c>
      <c r="Q303">
        <v>42</v>
      </c>
      <c r="R303">
        <v>1878.1110000000001</v>
      </c>
      <c r="S303">
        <v>10951.111000000001</v>
      </c>
      <c r="T303">
        <v>-7550.65</v>
      </c>
      <c r="U303">
        <v>0</v>
      </c>
      <c r="V303" s="2" t="s">
        <v>2059</v>
      </c>
      <c r="W303" s="2" t="s">
        <v>2060</v>
      </c>
      <c r="X303">
        <v>5216.9754000000003</v>
      </c>
      <c r="Y303">
        <v>-0.83221095558249747</v>
      </c>
      <c r="Z303" s="2" t="s">
        <v>2061</v>
      </c>
    </row>
    <row r="304" spans="1:26" x14ac:dyDescent="0.3">
      <c r="A304" s="2" t="s">
        <v>650</v>
      </c>
      <c r="B304" s="1">
        <v>45189</v>
      </c>
      <c r="C304" s="2" t="s">
        <v>651</v>
      </c>
      <c r="D304" s="2" t="s">
        <v>56</v>
      </c>
      <c r="E304">
        <v>10077</v>
      </c>
      <c r="F304">
        <v>11.9</v>
      </c>
      <c r="G304">
        <v>60</v>
      </c>
      <c r="H304" s="2" t="s">
        <v>26</v>
      </c>
      <c r="I304" s="2" t="s">
        <v>57</v>
      </c>
      <c r="J304" s="2" t="s">
        <v>32</v>
      </c>
      <c r="K304">
        <v>60257</v>
      </c>
      <c r="L304" s="2" t="s">
        <v>29</v>
      </c>
      <c r="M304">
        <v>0.2</v>
      </c>
      <c r="N304">
        <v>0.6</v>
      </c>
      <c r="O304">
        <v>2828.27</v>
      </c>
      <c r="P304">
        <v>0</v>
      </c>
      <c r="Q304">
        <v>29</v>
      </c>
      <c r="R304">
        <v>5995.8149999999996</v>
      </c>
      <c r="S304">
        <v>16072.814999999999</v>
      </c>
      <c r="T304">
        <v>-7248.73</v>
      </c>
      <c r="U304">
        <v>0</v>
      </c>
      <c r="V304" s="2" t="s">
        <v>2059</v>
      </c>
      <c r="W304" s="2" t="s">
        <v>2057</v>
      </c>
      <c r="X304">
        <v>9993.0249999999996</v>
      </c>
      <c r="Y304">
        <v>-0.71933412722040291</v>
      </c>
      <c r="Z304" s="2" t="s">
        <v>2061</v>
      </c>
    </row>
    <row r="305" spans="1:26" x14ac:dyDescent="0.3">
      <c r="A305" s="2" t="s">
        <v>652</v>
      </c>
      <c r="B305" s="1">
        <v>44460</v>
      </c>
      <c r="C305" s="2" t="s">
        <v>653</v>
      </c>
      <c r="D305" s="2" t="s">
        <v>18</v>
      </c>
      <c r="E305">
        <v>21953</v>
      </c>
      <c r="F305">
        <v>10.6</v>
      </c>
      <c r="G305">
        <v>36</v>
      </c>
      <c r="H305" s="2" t="s">
        <v>19</v>
      </c>
      <c r="I305" s="2" t="s">
        <v>73</v>
      </c>
      <c r="J305" s="2" t="s">
        <v>21</v>
      </c>
      <c r="K305">
        <v>44211</v>
      </c>
      <c r="L305" s="2" t="s">
        <v>33</v>
      </c>
      <c r="M305">
        <v>0.4</v>
      </c>
      <c r="N305">
        <v>0.73</v>
      </c>
      <c r="O305">
        <v>24280.02</v>
      </c>
      <c r="P305">
        <v>0</v>
      </c>
      <c r="Q305">
        <v>53</v>
      </c>
      <c r="R305">
        <v>6981.0540000000001</v>
      </c>
      <c r="S305">
        <v>28934.054</v>
      </c>
      <c r="T305">
        <v>2327.0200000000004</v>
      </c>
      <c r="U305">
        <v>0</v>
      </c>
      <c r="V305" s="2" t="s">
        <v>2056</v>
      </c>
      <c r="W305" s="2" t="s">
        <v>2064</v>
      </c>
      <c r="X305">
        <v>19391.816699999999</v>
      </c>
      <c r="Y305">
        <v>0.10600009110372161</v>
      </c>
      <c r="Z305" s="2" t="s">
        <v>2061</v>
      </c>
    </row>
    <row r="306" spans="1:26" x14ac:dyDescent="0.3">
      <c r="A306" s="2" t="s">
        <v>654</v>
      </c>
      <c r="B306" s="1">
        <v>45273</v>
      </c>
      <c r="C306" s="2" t="s">
        <v>655</v>
      </c>
      <c r="D306" s="2" t="s">
        <v>53</v>
      </c>
      <c r="E306">
        <v>12383</v>
      </c>
      <c r="F306">
        <v>12.8</v>
      </c>
      <c r="G306">
        <v>36</v>
      </c>
      <c r="H306" s="2" t="s">
        <v>19</v>
      </c>
      <c r="I306" s="2" t="s">
        <v>27</v>
      </c>
      <c r="J306" s="2" t="s">
        <v>47</v>
      </c>
      <c r="K306">
        <v>125989</v>
      </c>
      <c r="L306" s="2" t="s">
        <v>29</v>
      </c>
      <c r="M306">
        <v>0.13</v>
      </c>
      <c r="N306">
        <v>0.55000000000000004</v>
      </c>
      <c r="O306">
        <v>13968.02</v>
      </c>
      <c r="P306">
        <v>0</v>
      </c>
      <c r="Q306">
        <v>27</v>
      </c>
      <c r="R306">
        <v>4755.072000000001</v>
      </c>
      <c r="S306">
        <v>17138.072</v>
      </c>
      <c r="T306">
        <v>1585.0200000000004</v>
      </c>
      <c r="U306">
        <v>0</v>
      </c>
      <c r="V306" s="2" t="s">
        <v>2056</v>
      </c>
      <c r="W306" s="2" t="s">
        <v>2060</v>
      </c>
      <c r="X306">
        <v>13208.533299999999</v>
      </c>
      <c r="Y306">
        <v>0.12799967697650008</v>
      </c>
      <c r="Z306" s="2" t="s">
        <v>2061</v>
      </c>
    </row>
    <row r="307" spans="1:26" x14ac:dyDescent="0.3">
      <c r="A307" s="2" t="s">
        <v>656</v>
      </c>
      <c r="B307" s="1">
        <v>45200</v>
      </c>
      <c r="C307" s="2" t="s">
        <v>657</v>
      </c>
      <c r="D307" s="2" t="s">
        <v>76</v>
      </c>
      <c r="E307">
        <v>3353</v>
      </c>
      <c r="F307">
        <v>21</v>
      </c>
      <c r="G307">
        <v>36</v>
      </c>
      <c r="H307" s="2" t="s">
        <v>26</v>
      </c>
      <c r="I307" s="2" t="s">
        <v>20</v>
      </c>
      <c r="J307" s="2" t="s">
        <v>32</v>
      </c>
      <c r="K307">
        <v>35232</v>
      </c>
      <c r="L307" s="2" t="s">
        <v>22</v>
      </c>
      <c r="M307">
        <v>0.47</v>
      </c>
      <c r="N307">
        <v>0.84</v>
      </c>
      <c r="O307">
        <v>666.48</v>
      </c>
      <c r="P307">
        <v>0</v>
      </c>
      <c r="Q307">
        <v>29</v>
      </c>
      <c r="R307">
        <v>2112.39</v>
      </c>
      <c r="S307">
        <v>5465.3899999999994</v>
      </c>
      <c r="T307">
        <v>-2686.52</v>
      </c>
      <c r="U307">
        <v>0</v>
      </c>
      <c r="V307" s="2" t="s">
        <v>2059</v>
      </c>
      <c r="W307" s="2" t="s">
        <v>2057</v>
      </c>
      <c r="X307">
        <v>5867.75</v>
      </c>
      <c r="Y307">
        <v>-0.8012287503728005</v>
      </c>
      <c r="Z307" s="2" t="s">
        <v>2058</v>
      </c>
    </row>
    <row r="308" spans="1:26" x14ac:dyDescent="0.3">
      <c r="A308" s="2" t="s">
        <v>658</v>
      </c>
      <c r="B308" s="1">
        <v>44201</v>
      </c>
      <c r="C308" s="2" t="s">
        <v>659</v>
      </c>
      <c r="D308" s="2" t="s">
        <v>18</v>
      </c>
      <c r="E308">
        <v>24821</v>
      </c>
      <c r="F308">
        <v>12.4</v>
      </c>
      <c r="G308">
        <v>60</v>
      </c>
      <c r="H308" s="2" t="s">
        <v>81</v>
      </c>
      <c r="I308" s="2" t="s">
        <v>57</v>
      </c>
      <c r="J308" s="2" t="s">
        <v>28</v>
      </c>
      <c r="K308">
        <v>97753</v>
      </c>
      <c r="L308" s="2" t="s">
        <v>29</v>
      </c>
      <c r="M308">
        <v>0.23</v>
      </c>
      <c r="N308">
        <v>0.91</v>
      </c>
      <c r="O308">
        <v>8889.73</v>
      </c>
      <c r="P308">
        <v>5061.28</v>
      </c>
      <c r="Q308">
        <v>62</v>
      </c>
      <c r="R308">
        <v>15389.019999999999</v>
      </c>
      <c r="S308">
        <v>40210.019999999997</v>
      </c>
      <c r="T308">
        <v>-10869.990000000002</v>
      </c>
      <c r="U308">
        <v>1</v>
      </c>
      <c r="V308" s="2" t="s">
        <v>2063</v>
      </c>
      <c r="W308" s="2" t="s">
        <v>2057</v>
      </c>
      <c r="X308">
        <v>25648.366699999999</v>
      </c>
      <c r="Y308">
        <v>-0.43793521614761699</v>
      </c>
      <c r="Z308" s="2" t="s">
        <v>2058</v>
      </c>
    </row>
    <row r="309" spans="1:26" x14ac:dyDescent="0.3">
      <c r="A309" s="2" t="s">
        <v>660</v>
      </c>
      <c r="B309" s="1">
        <v>44970</v>
      </c>
      <c r="C309" s="2" t="s">
        <v>661</v>
      </c>
      <c r="D309" s="2" t="s">
        <v>65</v>
      </c>
      <c r="E309">
        <v>38567</v>
      </c>
      <c r="F309">
        <v>14</v>
      </c>
      <c r="G309">
        <v>60</v>
      </c>
      <c r="H309" s="2" t="s">
        <v>19</v>
      </c>
      <c r="I309" s="2" t="s">
        <v>41</v>
      </c>
      <c r="J309" s="2" t="s">
        <v>28</v>
      </c>
      <c r="K309">
        <v>82691</v>
      </c>
      <c r="L309" s="2" t="s">
        <v>33</v>
      </c>
      <c r="M309">
        <v>0.15</v>
      </c>
      <c r="N309">
        <v>0.83</v>
      </c>
      <c r="O309">
        <v>43966.38</v>
      </c>
      <c r="P309">
        <v>0</v>
      </c>
      <c r="Q309">
        <v>37</v>
      </c>
      <c r="R309">
        <v>26996.899999999998</v>
      </c>
      <c r="S309">
        <v>65563.899999999994</v>
      </c>
      <c r="T309">
        <v>5399.3799999999974</v>
      </c>
      <c r="U309">
        <v>0</v>
      </c>
      <c r="V309" s="2" t="s">
        <v>2056</v>
      </c>
      <c r="W309" s="2" t="s">
        <v>2062</v>
      </c>
      <c r="X309">
        <v>44994.833299999998</v>
      </c>
      <c r="Y309">
        <v>0.13999999999999993</v>
      </c>
      <c r="Z309" s="2" t="s">
        <v>2058</v>
      </c>
    </row>
    <row r="310" spans="1:26" x14ac:dyDescent="0.3">
      <c r="A310" s="2" t="s">
        <v>662</v>
      </c>
      <c r="B310" s="1">
        <v>45073</v>
      </c>
      <c r="C310" s="2" t="s">
        <v>663</v>
      </c>
      <c r="D310" s="2" t="s">
        <v>18</v>
      </c>
      <c r="E310">
        <v>25860</v>
      </c>
      <c r="F310">
        <v>12.9</v>
      </c>
      <c r="G310">
        <v>60</v>
      </c>
      <c r="H310" s="2" t="s">
        <v>81</v>
      </c>
      <c r="I310" s="2" t="s">
        <v>20</v>
      </c>
      <c r="J310" s="2" t="s">
        <v>21</v>
      </c>
      <c r="K310">
        <v>119765</v>
      </c>
      <c r="L310" s="2" t="s">
        <v>29</v>
      </c>
      <c r="M310">
        <v>0.28000000000000003</v>
      </c>
      <c r="N310">
        <v>0.74</v>
      </c>
      <c r="O310">
        <v>6261.43</v>
      </c>
      <c r="P310">
        <v>5898.18</v>
      </c>
      <c r="Q310">
        <v>33</v>
      </c>
      <c r="R310">
        <v>16679.7</v>
      </c>
      <c r="S310">
        <v>42539.7</v>
      </c>
      <c r="T310">
        <v>-13700.39</v>
      </c>
      <c r="U310">
        <v>1</v>
      </c>
      <c r="V310" s="2" t="s">
        <v>2063</v>
      </c>
      <c r="W310" s="2" t="s">
        <v>2057</v>
      </c>
      <c r="X310">
        <v>27799.5</v>
      </c>
      <c r="Y310">
        <v>-0.52979079659706108</v>
      </c>
      <c r="Z310" s="2" t="s">
        <v>2061</v>
      </c>
    </row>
    <row r="311" spans="1:26" x14ac:dyDescent="0.3">
      <c r="A311" s="2" t="s">
        <v>664</v>
      </c>
      <c r="B311" s="1">
        <v>45188</v>
      </c>
      <c r="C311" s="2" t="s">
        <v>665</v>
      </c>
      <c r="D311" s="2" t="s">
        <v>53</v>
      </c>
      <c r="E311">
        <v>22195</v>
      </c>
      <c r="F311">
        <v>6.9</v>
      </c>
      <c r="G311">
        <v>36</v>
      </c>
      <c r="H311" s="2" t="s">
        <v>81</v>
      </c>
      <c r="I311" s="2" t="s">
        <v>57</v>
      </c>
      <c r="J311" s="2" t="s">
        <v>32</v>
      </c>
      <c r="K311">
        <v>109768</v>
      </c>
      <c r="L311" s="2" t="s">
        <v>22</v>
      </c>
      <c r="M311">
        <v>0.12</v>
      </c>
      <c r="N311">
        <v>0.89</v>
      </c>
      <c r="O311">
        <v>7543.49</v>
      </c>
      <c r="P311">
        <v>5682.73</v>
      </c>
      <c r="Q311">
        <v>30</v>
      </c>
      <c r="R311">
        <v>4594.3649999999998</v>
      </c>
      <c r="S311">
        <v>26789.364999999998</v>
      </c>
      <c r="T311">
        <v>-8968.7800000000007</v>
      </c>
      <c r="U311">
        <v>1</v>
      </c>
      <c r="V311" s="2" t="s">
        <v>2063</v>
      </c>
      <c r="W311" s="2" t="s">
        <v>2057</v>
      </c>
      <c r="X311">
        <v>12762.126</v>
      </c>
      <c r="Y311">
        <v>-0.40409011038522191</v>
      </c>
      <c r="Z311" s="2" t="s">
        <v>2058</v>
      </c>
    </row>
    <row r="312" spans="1:26" x14ac:dyDescent="0.3">
      <c r="A312" s="2" t="s">
        <v>666</v>
      </c>
      <c r="B312" s="1">
        <v>45080</v>
      </c>
      <c r="C312" s="2" t="s">
        <v>667</v>
      </c>
      <c r="D312" s="2" t="s">
        <v>76</v>
      </c>
      <c r="E312">
        <v>12939</v>
      </c>
      <c r="F312">
        <v>13.8</v>
      </c>
      <c r="G312">
        <v>60</v>
      </c>
      <c r="H312" s="2" t="s">
        <v>19</v>
      </c>
      <c r="I312" s="2" t="s">
        <v>57</v>
      </c>
      <c r="J312" s="2" t="s">
        <v>37</v>
      </c>
      <c r="K312">
        <v>55613</v>
      </c>
      <c r="L312" s="2" t="s">
        <v>29</v>
      </c>
      <c r="M312">
        <v>0.37</v>
      </c>
      <c r="N312">
        <v>0.81</v>
      </c>
      <c r="O312">
        <v>14724.58</v>
      </c>
      <c r="P312">
        <v>0</v>
      </c>
      <c r="Q312">
        <v>33</v>
      </c>
      <c r="R312">
        <v>8927.9100000000017</v>
      </c>
      <c r="S312">
        <v>21866.910000000003</v>
      </c>
      <c r="T312">
        <v>1785.58</v>
      </c>
      <c r="U312">
        <v>0</v>
      </c>
      <c r="V312" s="2" t="s">
        <v>2056</v>
      </c>
      <c r="W312" s="2" t="s">
        <v>2057</v>
      </c>
      <c r="X312">
        <v>14879.85</v>
      </c>
      <c r="Y312">
        <v>0.13799984542854934</v>
      </c>
      <c r="Z312" s="2" t="s">
        <v>2058</v>
      </c>
    </row>
    <row r="313" spans="1:26" x14ac:dyDescent="0.3">
      <c r="A313" s="2" t="s">
        <v>668</v>
      </c>
      <c r="B313" s="1">
        <v>44243</v>
      </c>
      <c r="C313" s="2" t="s">
        <v>669</v>
      </c>
      <c r="D313" s="2" t="s">
        <v>50</v>
      </c>
      <c r="E313">
        <v>26338</v>
      </c>
      <c r="F313">
        <v>8.9</v>
      </c>
      <c r="G313">
        <v>36</v>
      </c>
      <c r="H313" s="2" t="s">
        <v>26</v>
      </c>
      <c r="I313" s="2" t="s">
        <v>27</v>
      </c>
      <c r="J313" s="2" t="s">
        <v>32</v>
      </c>
      <c r="K313">
        <v>44026</v>
      </c>
      <c r="L313" s="2" t="s">
        <v>33</v>
      </c>
      <c r="M313">
        <v>0.46</v>
      </c>
      <c r="N313">
        <v>0.5</v>
      </c>
      <c r="O313">
        <v>8198.4599999999991</v>
      </c>
      <c r="P313">
        <v>0</v>
      </c>
      <c r="Q313">
        <v>61</v>
      </c>
      <c r="R313">
        <v>7032.2460000000019</v>
      </c>
      <c r="S313">
        <v>33370.245999999999</v>
      </c>
      <c r="T313">
        <v>-18139.54</v>
      </c>
      <c r="U313">
        <v>0</v>
      </c>
      <c r="V313" s="2" t="s">
        <v>2059</v>
      </c>
      <c r="W313" s="2" t="s">
        <v>2060</v>
      </c>
      <c r="X313">
        <v>19534.0167</v>
      </c>
      <c r="Y313">
        <v>-0.68872123927405271</v>
      </c>
      <c r="Z313" s="2" t="s">
        <v>2058</v>
      </c>
    </row>
    <row r="314" spans="1:26" x14ac:dyDescent="0.3">
      <c r="A314" s="2" t="s">
        <v>670</v>
      </c>
      <c r="B314" s="1">
        <v>45063</v>
      </c>
      <c r="C314" s="2" t="s">
        <v>671</v>
      </c>
      <c r="D314" s="2" t="s">
        <v>65</v>
      </c>
      <c r="E314">
        <v>22730</v>
      </c>
      <c r="F314">
        <v>8.6999999999999993</v>
      </c>
      <c r="G314">
        <v>60</v>
      </c>
      <c r="H314" s="2" t="s">
        <v>19</v>
      </c>
      <c r="I314" s="2" t="s">
        <v>20</v>
      </c>
      <c r="J314" s="2" t="s">
        <v>21</v>
      </c>
      <c r="K314">
        <v>83535</v>
      </c>
      <c r="L314" s="2" t="s">
        <v>22</v>
      </c>
      <c r="M314">
        <v>0.43</v>
      </c>
      <c r="N314">
        <v>0.68</v>
      </c>
      <c r="O314">
        <v>24707.51</v>
      </c>
      <c r="P314">
        <v>0</v>
      </c>
      <c r="Q314">
        <v>34</v>
      </c>
      <c r="R314">
        <v>9887.5499999999993</v>
      </c>
      <c r="S314">
        <v>32617.55</v>
      </c>
      <c r="T314">
        <v>1977.5099999999984</v>
      </c>
      <c r="U314">
        <v>0</v>
      </c>
      <c r="V314" s="2" t="s">
        <v>2056</v>
      </c>
      <c r="W314" s="2" t="s">
        <v>2057</v>
      </c>
      <c r="X314">
        <v>16479.25</v>
      </c>
      <c r="Y314">
        <v>8.6999999999999925E-2</v>
      </c>
      <c r="Z314" s="2" t="s">
        <v>2058</v>
      </c>
    </row>
    <row r="315" spans="1:26" x14ac:dyDescent="0.3">
      <c r="A315" s="2" t="s">
        <v>672</v>
      </c>
      <c r="B315" s="1">
        <v>45019</v>
      </c>
      <c r="C315" s="2" t="s">
        <v>673</v>
      </c>
      <c r="D315" s="2" t="s">
        <v>25</v>
      </c>
      <c r="E315">
        <v>22427</v>
      </c>
      <c r="F315">
        <v>6.9</v>
      </c>
      <c r="G315">
        <v>36</v>
      </c>
      <c r="H315" s="2" t="s">
        <v>19</v>
      </c>
      <c r="I315" s="2" t="s">
        <v>73</v>
      </c>
      <c r="J315" s="2" t="s">
        <v>37</v>
      </c>
      <c r="K315">
        <v>124090</v>
      </c>
      <c r="L315" s="2" t="s">
        <v>33</v>
      </c>
      <c r="M315">
        <v>0.15</v>
      </c>
      <c r="N315">
        <v>0.88</v>
      </c>
      <c r="O315">
        <v>23974.46</v>
      </c>
      <c r="P315">
        <v>0</v>
      </c>
      <c r="Q315">
        <v>35</v>
      </c>
      <c r="R315">
        <v>4642.3890000000001</v>
      </c>
      <c r="S315">
        <v>27069.388999999999</v>
      </c>
      <c r="T315">
        <v>1547.4599999999991</v>
      </c>
      <c r="U315">
        <v>0</v>
      </c>
      <c r="V315" s="2" t="s">
        <v>2056</v>
      </c>
      <c r="W315" s="2" t="s">
        <v>2064</v>
      </c>
      <c r="X315">
        <v>12895.526</v>
      </c>
      <c r="Y315">
        <v>6.8999866232665949E-2</v>
      </c>
      <c r="Z315" s="2" t="s">
        <v>2058</v>
      </c>
    </row>
    <row r="316" spans="1:26" x14ac:dyDescent="0.3">
      <c r="A316" s="2" t="s">
        <v>674</v>
      </c>
      <c r="B316" s="1">
        <v>45132</v>
      </c>
      <c r="C316" s="2" t="s">
        <v>675</v>
      </c>
      <c r="D316" s="2" t="s">
        <v>65</v>
      </c>
      <c r="E316">
        <v>36196</v>
      </c>
      <c r="F316">
        <v>12.1</v>
      </c>
      <c r="G316">
        <v>36</v>
      </c>
      <c r="H316" s="2" t="s">
        <v>26</v>
      </c>
      <c r="I316" s="2" t="s">
        <v>20</v>
      </c>
      <c r="J316" s="2" t="s">
        <v>37</v>
      </c>
      <c r="K316">
        <v>60908</v>
      </c>
      <c r="L316" s="2" t="s">
        <v>29</v>
      </c>
      <c r="M316">
        <v>0.15</v>
      </c>
      <c r="N316">
        <v>0.66</v>
      </c>
      <c r="O316">
        <v>14402.05</v>
      </c>
      <c r="P316">
        <v>0</v>
      </c>
      <c r="Q316">
        <v>31</v>
      </c>
      <c r="R316">
        <v>13139.147999999999</v>
      </c>
      <c r="S316">
        <v>49335.148000000001</v>
      </c>
      <c r="T316">
        <v>-21793.95</v>
      </c>
      <c r="U316">
        <v>0</v>
      </c>
      <c r="V316" s="2" t="s">
        <v>2059</v>
      </c>
      <c r="W316" s="2" t="s">
        <v>2057</v>
      </c>
      <c r="X316">
        <v>36497.633300000001</v>
      </c>
      <c r="Y316">
        <v>-0.60210934909934799</v>
      </c>
      <c r="Z316" s="2" t="s">
        <v>2061</v>
      </c>
    </row>
    <row r="317" spans="1:26" x14ac:dyDescent="0.3">
      <c r="A317" s="2" t="s">
        <v>676</v>
      </c>
      <c r="B317" s="1">
        <v>44852</v>
      </c>
      <c r="C317" s="2" t="s">
        <v>677</v>
      </c>
      <c r="D317" s="2" t="s">
        <v>40</v>
      </c>
      <c r="E317">
        <v>28083</v>
      </c>
      <c r="F317">
        <v>20.100000000000001</v>
      </c>
      <c r="G317">
        <v>36</v>
      </c>
      <c r="H317" s="2" t="s">
        <v>81</v>
      </c>
      <c r="I317" s="2" t="s">
        <v>20</v>
      </c>
      <c r="J317" s="2" t="s">
        <v>28</v>
      </c>
      <c r="K317">
        <v>82113</v>
      </c>
      <c r="L317" s="2" t="s">
        <v>33</v>
      </c>
      <c r="M317">
        <v>0.43</v>
      </c>
      <c r="N317">
        <v>0.52</v>
      </c>
      <c r="O317">
        <v>5611.04</v>
      </c>
      <c r="P317">
        <v>8802.11</v>
      </c>
      <c r="Q317">
        <v>41</v>
      </c>
      <c r="R317">
        <v>16934.049000000003</v>
      </c>
      <c r="S317">
        <v>45017.048999999999</v>
      </c>
      <c r="T317">
        <v>-13669.849999999999</v>
      </c>
      <c r="U317">
        <v>1</v>
      </c>
      <c r="V317" s="2" t="s">
        <v>2063</v>
      </c>
      <c r="W317" s="2" t="s">
        <v>2057</v>
      </c>
      <c r="X317">
        <v>47039.025000000001</v>
      </c>
      <c r="Y317">
        <v>-0.48676601502688455</v>
      </c>
      <c r="Z317" s="2" t="s">
        <v>2058</v>
      </c>
    </row>
    <row r="318" spans="1:26" x14ac:dyDescent="0.3">
      <c r="A318" s="2" t="s">
        <v>678</v>
      </c>
      <c r="B318" s="1">
        <v>44465</v>
      </c>
      <c r="C318" s="2" t="s">
        <v>679</v>
      </c>
      <c r="D318" s="2" t="s">
        <v>25</v>
      </c>
      <c r="E318">
        <v>22510</v>
      </c>
      <c r="F318">
        <v>10.5</v>
      </c>
      <c r="G318">
        <v>60</v>
      </c>
      <c r="H318" s="2" t="s">
        <v>26</v>
      </c>
      <c r="I318" s="2" t="s">
        <v>27</v>
      </c>
      <c r="J318" s="2" t="s">
        <v>32</v>
      </c>
      <c r="K318">
        <v>49610</v>
      </c>
      <c r="L318" s="2" t="s">
        <v>29</v>
      </c>
      <c r="M318">
        <v>0.47</v>
      </c>
      <c r="N318">
        <v>0.84</v>
      </c>
      <c r="O318">
        <v>9547.33</v>
      </c>
      <c r="P318">
        <v>0</v>
      </c>
      <c r="Q318">
        <v>53</v>
      </c>
      <c r="R318">
        <v>11817.75</v>
      </c>
      <c r="S318">
        <v>34327.75</v>
      </c>
      <c r="T318">
        <v>-12962.67</v>
      </c>
      <c r="U318">
        <v>0</v>
      </c>
      <c r="V318" s="2" t="s">
        <v>2059</v>
      </c>
      <c r="W318" s="2" t="s">
        <v>2060</v>
      </c>
      <c r="X318">
        <v>19696.25</v>
      </c>
      <c r="Y318">
        <v>-0.57586272767658819</v>
      </c>
      <c r="Z318" s="2" t="s">
        <v>2058</v>
      </c>
    </row>
    <row r="319" spans="1:26" x14ac:dyDescent="0.3">
      <c r="A319" s="2" t="s">
        <v>680</v>
      </c>
      <c r="B319" s="1">
        <v>44566</v>
      </c>
      <c r="C319" s="2" t="s">
        <v>681</v>
      </c>
      <c r="D319" s="2" t="s">
        <v>40</v>
      </c>
      <c r="E319">
        <v>8813</v>
      </c>
      <c r="F319">
        <v>11.2</v>
      </c>
      <c r="G319">
        <v>60</v>
      </c>
      <c r="H319" s="2" t="s">
        <v>19</v>
      </c>
      <c r="I319" s="2" t="s">
        <v>57</v>
      </c>
      <c r="J319" s="2" t="s">
        <v>37</v>
      </c>
      <c r="K319">
        <v>76646</v>
      </c>
      <c r="L319" s="2" t="s">
        <v>22</v>
      </c>
      <c r="M319">
        <v>0.28000000000000003</v>
      </c>
      <c r="N319">
        <v>0.86</v>
      </c>
      <c r="O319">
        <v>9800.06</v>
      </c>
      <c r="P319">
        <v>0</v>
      </c>
      <c r="Q319">
        <v>50</v>
      </c>
      <c r="R319">
        <v>4935.28</v>
      </c>
      <c r="S319">
        <v>13748.279999999999</v>
      </c>
      <c r="T319">
        <v>987.05999999999949</v>
      </c>
      <c r="U319">
        <v>0</v>
      </c>
      <c r="V319" s="2" t="s">
        <v>2056</v>
      </c>
      <c r="W319" s="2" t="s">
        <v>2057</v>
      </c>
      <c r="X319">
        <v>8225.4667000000009</v>
      </c>
      <c r="Y319">
        <v>0.1120004538749574</v>
      </c>
      <c r="Z319" s="2" t="s">
        <v>2058</v>
      </c>
    </row>
    <row r="320" spans="1:26" x14ac:dyDescent="0.3">
      <c r="A320" s="2" t="s">
        <v>682</v>
      </c>
      <c r="B320" s="1">
        <v>44832</v>
      </c>
      <c r="C320" s="2" t="s">
        <v>683</v>
      </c>
      <c r="D320" s="2" t="s">
        <v>53</v>
      </c>
      <c r="E320">
        <v>32598</v>
      </c>
      <c r="F320">
        <v>17.899999999999999</v>
      </c>
      <c r="G320">
        <v>60</v>
      </c>
      <c r="H320" s="2" t="s">
        <v>19</v>
      </c>
      <c r="I320" s="2" t="s">
        <v>41</v>
      </c>
      <c r="J320" s="2" t="s">
        <v>21</v>
      </c>
      <c r="K320">
        <v>135141</v>
      </c>
      <c r="L320" s="2" t="s">
        <v>33</v>
      </c>
      <c r="M320">
        <v>0.3</v>
      </c>
      <c r="N320">
        <v>0.56999999999999995</v>
      </c>
      <c r="O320">
        <v>38433.040000000001</v>
      </c>
      <c r="P320">
        <v>0</v>
      </c>
      <c r="Q320">
        <v>41</v>
      </c>
      <c r="R320">
        <v>29175.209999999995</v>
      </c>
      <c r="S320">
        <v>61773.209999999992</v>
      </c>
      <c r="T320">
        <v>5835.0400000000009</v>
      </c>
      <c r="U320">
        <v>0</v>
      </c>
      <c r="V320" s="2" t="s">
        <v>2056</v>
      </c>
      <c r="W320" s="2" t="s">
        <v>2062</v>
      </c>
      <c r="X320">
        <v>48625.35</v>
      </c>
      <c r="Y320">
        <v>0.17899993864654276</v>
      </c>
      <c r="Z320" s="2" t="s">
        <v>2061</v>
      </c>
    </row>
    <row r="321" spans="1:26" x14ac:dyDescent="0.3">
      <c r="A321" s="2" t="s">
        <v>684</v>
      </c>
      <c r="B321" s="1">
        <v>44853</v>
      </c>
      <c r="C321" s="2" t="s">
        <v>685</v>
      </c>
      <c r="D321" s="2" t="s">
        <v>56</v>
      </c>
      <c r="E321">
        <v>28570</v>
      </c>
      <c r="F321">
        <v>8.9</v>
      </c>
      <c r="G321">
        <v>36</v>
      </c>
      <c r="H321" s="2" t="s">
        <v>19</v>
      </c>
      <c r="I321" s="2" t="s">
        <v>20</v>
      </c>
      <c r="J321" s="2" t="s">
        <v>28</v>
      </c>
      <c r="K321">
        <v>93185</v>
      </c>
      <c r="L321" s="2" t="s">
        <v>33</v>
      </c>
      <c r="M321">
        <v>0.23</v>
      </c>
      <c r="N321">
        <v>0.74</v>
      </c>
      <c r="O321">
        <v>31112.73</v>
      </c>
      <c r="P321">
        <v>0</v>
      </c>
      <c r="Q321">
        <v>41</v>
      </c>
      <c r="R321">
        <v>7628.19</v>
      </c>
      <c r="S321">
        <v>36198.19</v>
      </c>
      <c r="T321">
        <v>2542.7299999999996</v>
      </c>
      <c r="U321">
        <v>0</v>
      </c>
      <c r="V321" s="2" t="s">
        <v>2056</v>
      </c>
      <c r="W321" s="2" t="s">
        <v>2057</v>
      </c>
      <c r="X321">
        <v>21189.416700000002</v>
      </c>
      <c r="Y321">
        <v>8.8999999999999982E-2</v>
      </c>
      <c r="Z321" s="2" t="s">
        <v>2061</v>
      </c>
    </row>
    <row r="322" spans="1:26" x14ac:dyDescent="0.3">
      <c r="A322" s="2" t="s">
        <v>686</v>
      </c>
      <c r="B322" s="1">
        <v>44316</v>
      </c>
      <c r="C322" s="2" t="s">
        <v>687</v>
      </c>
      <c r="D322" s="2" t="s">
        <v>76</v>
      </c>
      <c r="E322">
        <v>28082</v>
      </c>
      <c r="F322">
        <v>22.9</v>
      </c>
      <c r="G322">
        <v>36</v>
      </c>
      <c r="H322" s="2" t="s">
        <v>19</v>
      </c>
      <c r="I322" s="2" t="s">
        <v>57</v>
      </c>
      <c r="J322" s="2" t="s">
        <v>37</v>
      </c>
      <c r="K322">
        <v>102567</v>
      </c>
      <c r="L322" s="2" t="s">
        <v>29</v>
      </c>
      <c r="M322">
        <v>0.46</v>
      </c>
      <c r="N322">
        <v>0.59</v>
      </c>
      <c r="O322">
        <v>34512.78</v>
      </c>
      <c r="P322">
        <v>0</v>
      </c>
      <c r="Q322">
        <v>58</v>
      </c>
      <c r="R322">
        <v>19292.333999999999</v>
      </c>
      <c r="S322">
        <v>47374.334000000003</v>
      </c>
      <c r="T322">
        <v>6430.7799999999988</v>
      </c>
      <c r="U322">
        <v>0</v>
      </c>
      <c r="V322" s="2" t="s">
        <v>2056</v>
      </c>
      <c r="W322" s="2" t="s">
        <v>2057</v>
      </c>
      <c r="X322">
        <v>53589.816700000003</v>
      </c>
      <c r="Y322">
        <v>0.22900007121999855</v>
      </c>
      <c r="Z322" s="2" t="s">
        <v>2058</v>
      </c>
    </row>
    <row r="323" spans="1:26" x14ac:dyDescent="0.3">
      <c r="A323" s="2" t="s">
        <v>688</v>
      </c>
      <c r="B323" s="1">
        <v>45027</v>
      </c>
      <c r="C323" s="2" t="s">
        <v>689</v>
      </c>
      <c r="D323" s="2" t="s">
        <v>72</v>
      </c>
      <c r="E323">
        <v>30241</v>
      </c>
      <c r="F323">
        <v>15.4</v>
      </c>
      <c r="G323">
        <v>60</v>
      </c>
      <c r="H323" s="2" t="s">
        <v>19</v>
      </c>
      <c r="I323" s="2" t="s">
        <v>20</v>
      </c>
      <c r="J323" s="2" t="s">
        <v>32</v>
      </c>
      <c r="K323">
        <v>77574</v>
      </c>
      <c r="L323" s="2" t="s">
        <v>33</v>
      </c>
      <c r="M323">
        <v>0.36</v>
      </c>
      <c r="N323">
        <v>0.82</v>
      </c>
      <c r="O323">
        <v>34898.11</v>
      </c>
      <c r="P323">
        <v>0</v>
      </c>
      <c r="Q323">
        <v>35</v>
      </c>
      <c r="R323">
        <v>23285.570000000003</v>
      </c>
      <c r="S323">
        <v>53526.570000000007</v>
      </c>
      <c r="T323">
        <v>4657.1100000000006</v>
      </c>
      <c r="U323">
        <v>0</v>
      </c>
      <c r="V323" s="2" t="s">
        <v>2056</v>
      </c>
      <c r="W323" s="2" t="s">
        <v>2057</v>
      </c>
      <c r="X323">
        <v>38809.283300000003</v>
      </c>
      <c r="Y323">
        <v>0.15399986772924179</v>
      </c>
      <c r="Z323" s="2" t="s">
        <v>2058</v>
      </c>
    </row>
    <row r="324" spans="1:26" x14ac:dyDescent="0.3">
      <c r="A324" s="2" t="s">
        <v>690</v>
      </c>
      <c r="B324" s="1">
        <v>45278</v>
      </c>
      <c r="C324" s="2" t="s">
        <v>691</v>
      </c>
      <c r="D324" s="2" t="s">
        <v>50</v>
      </c>
      <c r="E324">
        <v>31678</v>
      </c>
      <c r="F324">
        <v>14</v>
      </c>
      <c r="G324">
        <v>60</v>
      </c>
      <c r="H324" s="2" t="s">
        <v>26</v>
      </c>
      <c r="I324" s="2" t="s">
        <v>57</v>
      </c>
      <c r="J324" s="2" t="s">
        <v>28</v>
      </c>
      <c r="K324">
        <v>121051</v>
      </c>
      <c r="L324" s="2" t="s">
        <v>33</v>
      </c>
      <c r="M324">
        <v>0.22</v>
      </c>
      <c r="N324">
        <v>0.62</v>
      </c>
      <c r="O324">
        <v>5497.96</v>
      </c>
      <c r="P324">
        <v>0</v>
      </c>
      <c r="Q324">
        <v>27</v>
      </c>
      <c r="R324">
        <v>22174.600000000002</v>
      </c>
      <c r="S324">
        <v>53852.600000000006</v>
      </c>
      <c r="T324">
        <v>-26180.04</v>
      </c>
      <c r="U324">
        <v>0</v>
      </c>
      <c r="V324" s="2" t="s">
        <v>2059</v>
      </c>
      <c r="W324" s="2" t="s">
        <v>2057</v>
      </c>
      <c r="X324">
        <v>36957.666700000002</v>
      </c>
      <c r="Y324">
        <v>-0.82644232590441313</v>
      </c>
      <c r="Z324" s="2" t="s">
        <v>2061</v>
      </c>
    </row>
    <row r="325" spans="1:26" x14ac:dyDescent="0.3">
      <c r="A325" s="2" t="s">
        <v>692</v>
      </c>
      <c r="B325" s="1">
        <v>44937</v>
      </c>
      <c r="C325" s="2" t="s">
        <v>693</v>
      </c>
      <c r="D325" s="2" t="s">
        <v>72</v>
      </c>
      <c r="E325">
        <v>12745</v>
      </c>
      <c r="F325">
        <v>16.2</v>
      </c>
      <c r="G325">
        <v>60</v>
      </c>
      <c r="H325" s="2" t="s">
        <v>19</v>
      </c>
      <c r="I325" s="2" t="s">
        <v>41</v>
      </c>
      <c r="J325" s="2" t="s">
        <v>32</v>
      </c>
      <c r="K325">
        <v>132020</v>
      </c>
      <c r="L325" s="2" t="s">
        <v>22</v>
      </c>
      <c r="M325">
        <v>0.22</v>
      </c>
      <c r="N325">
        <v>0.64</v>
      </c>
      <c r="O325">
        <v>14809.69</v>
      </c>
      <c r="P325">
        <v>0</v>
      </c>
      <c r="Q325">
        <v>38</v>
      </c>
      <c r="R325">
        <v>10323.450000000001</v>
      </c>
      <c r="S325">
        <v>23068.45</v>
      </c>
      <c r="T325">
        <v>2064.6900000000005</v>
      </c>
      <c r="U325">
        <v>0</v>
      </c>
      <c r="V325" s="2" t="s">
        <v>2056</v>
      </c>
      <c r="W325" s="2" t="s">
        <v>2062</v>
      </c>
      <c r="X325">
        <v>17205.75</v>
      </c>
      <c r="Y325">
        <v>0.16200000000000003</v>
      </c>
      <c r="Z325" s="2" t="s">
        <v>2061</v>
      </c>
    </row>
    <row r="326" spans="1:26" x14ac:dyDescent="0.3">
      <c r="A326" s="2" t="s">
        <v>694</v>
      </c>
      <c r="B326" s="1">
        <v>44313</v>
      </c>
      <c r="C326" s="2" t="s">
        <v>695</v>
      </c>
      <c r="D326" s="2" t="s">
        <v>46</v>
      </c>
      <c r="E326">
        <v>27029</v>
      </c>
      <c r="F326">
        <v>8.3000000000000007</v>
      </c>
      <c r="G326">
        <v>36</v>
      </c>
      <c r="H326" s="2" t="s">
        <v>26</v>
      </c>
      <c r="I326" s="2" t="s">
        <v>36</v>
      </c>
      <c r="J326" s="2" t="s">
        <v>32</v>
      </c>
      <c r="K326">
        <v>66182</v>
      </c>
      <c r="L326" s="2" t="s">
        <v>29</v>
      </c>
      <c r="M326">
        <v>0.46</v>
      </c>
      <c r="N326">
        <v>0.88</v>
      </c>
      <c r="O326">
        <v>7993.68</v>
      </c>
      <c r="P326">
        <v>0</v>
      </c>
      <c r="Q326">
        <v>58</v>
      </c>
      <c r="R326">
        <v>6730.2210000000005</v>
      </c>
      <c r="S326">
        <v>33759.220999999998</v>
      </c>
      <c r="T326">
        <v>-19035.32</v>
      </c>
      <c r="U326">
        <v>0</v>
      </c>
      <c r="V326" s="2" t="s">
        <v>2059</v>
      </c>
      <c r="W326" s="2" t="s">
        <v>2062</v>
      </c>
      <c r="X326">
        <v>18695.058400000002</v>
      </c>
      <c r="Y326">
        <v>-0.70425542935365715</v>
      </c>
      <c r="Z326" s="2" t="s">
        <v>2058</v>
      </c>
    </row>
    <row r="327" spans="1:26" x14ac:dyDescent="0.3">
      <c r="A327" s="2" t="s">
        <v>696</v>
      </c>
      <c r="B327" s="1">
        <v>44987</v>
      </c>
      <c r="C327" s="2" t="s">
        <v>697</v>
      </c>
      <c r="D327" s="2" t="s">
        <v>46</v>
      </c>
      <c r="E327">
        <v>14025</v>
      </c>
      <c r="F327">
        <v>17.3</v>
      </c>
      <c r="G327">
        <v>36</v>
      </c>
      <c r="H327" s="2" t="s">
        <v>19</v>
      </c>
      <c r="I327" s="2" t="s">
        <v>20</v>
      </c>
      <c r="J327" s="2" t="s">
        <v>32</v>
      </c>
      <c r="K327">
        <v>146136</v>
      </c>
      <c r="L327" s="2" t="s">
        <v>29</v>
      </c>
      <c r="M327">
        <v>0.11</v>
      </c>
      <c r="N327">
        <v>0.71</v>
      </c>
      <c r="O327">
        <v>16451.32</v>
      </c>
      <c r="P327">
        <v>0</v>
      </c>
      <c r="Q327">
        <v>36</v>
      </c>
      <c r="R327">
        <v>7278.9749999999995</v>
      </c>
      <c r="S327">
        <v>21303.974999999999</v>
      </c>
      <c r="T327">
        <v>2426.3199999999997</v>
      </c>
      <c r="U327">
        <v>0</v>
      </c>
      <c r="V327" s="2" t="s">
        <v>2056</v>
      </c>
      <c r="W327" s="2" t="s">
        <v>2057</v>
      </c>
      <c r="X327">
        <v>20219.375</v>
      </c>
      <c r="Y327">
        <v>0.17299964349376112</v>
      </c>
      <c r="Z327" s="2" t="s">
        <v>2061</v>
      </c>
    </row>
    <row r="328" spans="1:26" x14ac:dyDescent="0.3">
      <c r="A328" s="2" t="s">
        <v>698</v>
      </c>
      <c r="B328" s="1">
        <v>45209</v>
      </c>
      <c r="C328" s="2" t="s">
        <v>699</v>
      </c>
      <c r="D328" s="2" t="s">
        <v>53</v>
      </c>
      <c r="E328">
        <v>37124</v>
      </c>
      <c r="F328">
        <v>12.3</v>
      </c>
      <c r="G328">
        <v>36</v>
      </c>
      <c r="H328" s="2" t="s">
        <v>26</v>
      </c>
      <c r="I328" s="2" t="s">
        <v>73</v>
      </c>
      <c r="J328" s="2" t="s">
        <v>28</v>
      </c>
      <c r="K328">
        <v>30570</v>
      </c>
      <c r="L328" s="2" t="s">
        <v>22</v>
      </c>
      <c r="M328">
        <v>0.23</v>
      </c>
      <c r="N328">
        <v>0.8</v>
      </c>
      <c r="O328">
        <v>5431.36</v>
      </c>
      <c r="P328">
        <v>0</v>
      </c>
      <c r="Q328">
        <v>29</v>
      </c>
      <c r="R328">
        <v>13698.756000000001</v>
      </c>
      <c r="S328">
        <v>50822.756000000001</v>
      </c>
      <c r="T328">
        <v>-31692.639999999999</v>
      </c>
      <c r="U328">
        <v>0</v>
      </c>
      <c r="V328" s="2" t="s">
        <v>2059</v>
      </c>
      <c r="W328" s="2" t="s">
        <v>2064</v>
      </c>
      <c r="X328">
        <v>38052.1</v>
      </c>
      <c r="Y328">
        <v>-0.85369679991380243</v>
      </c>
      <c r="Z328" s="2" t="s">
        <v>2061</v>
      </c>
    </row>
    <row r="329" spans="1:26" x14ac:dyDescent="0.3">
      <c r="A329" s="2" t="s">
        <v>700</v>
      </c>
      <c r="B329" s="1">
        <v>45278</v>
      </c>
      <c r="C329" s="2" t="s">
        <v>701</v>
      </c>
      <c r="D329" s="2" t="s">
        <v>56</v>
      </c>
      <c r="E329">
        <v>15288</v>
      </c>
      <c r="F329">
        <v>22.9</v>
      </c>
      <c r="G329">
        <v>36</v>
      </c>
      <c r="H329" s="2" t="s">
        <v>19</v>
      </c>
      <c r="I329" s="2" t="s">
        <v>27</v>
      </c>
      <c r="J329" s="2" t="s">
        <v>37</v>
      </c>
      <c r="K329">
        <v>127790</v>
      </c>
      <c r="L329" s="2" t="s">
        <v>22</v>
      </c>
      <c r="M329">
        <v>0.32</v>
      </c>
      <c r="N329">
        <v>0.68</v>
      </c>
      <c r="O329">
        <v>18788.95</v>
      </c>
      <c r="P329">
        <v>0</v>
      </c>
      <c r="Q329">
        <v>27</v>
      </c>
      <c r="R329">
        <v>10502.855999999998</v>
      </c>
      <c r="S329">
        <v>25790.856</v>
      </c>
      <c r="T329">
        <v>3500.9500000000007</v>
      </c>
      <c r="U329">
        <v>0</v>
      </c>
      <c r="V329" s="2" t="s">
        <v>2056</v>
      </c>
      <c r="W329" s="2" t="s">
        <v>2060</v>
      </c>
      <c r="X329">
        <v>29174.6</v>
      </c>
      <c r="Y329">
        <v>0.22899986917844065</v>
      </c>
      <c r="Z329" s="2" t="s">
        <v>2061</v>
      </c>
    </row>
    <row r="330" spans="1:26" x14ac:dyDescent="0.3">
      <c r="A330" s="2" t="s">
        <v>702</v>
      </c>
      <c r="B330" s="1">
        <v>44830</v>
      </c>
      <c r="C330" s="2" t="s">
        <v>703</v>
      </c>
      <c r="D330" s="2" t="s">
        <v>46</v>
      </c>
      <c r="E330">
        <v>24650</v>
      </c>
      <c r="F330">
        <v>8.4</v>
      </c>
      <c r="G330">
        <v>36</v>
      </c>
      <c r="H330" s="2" t="s">
        <v>19</v>
      </c>
      <c r="I330" s="2" t="s">
        <v>20</v>
      </c>
      <c r="J330" s="2" t="s">
        <v>47</v>
      </c>
      <c r="K330">
        <v>49288</v>
      </c>
      <c r="L330" s="2" t="s">
        <v>29</v>
      </c>
      <c r="M330">
        <v>0.16</v>
      </c>
      <c r="N330">
        <v>0.63</v>
      </c>
      <c r="O330">
        <v>26720.6</v>
      </c>
      <c r="P330">
        <v>0</v>
      </c>
      <c r="Q330">
        <v>41</v>
      </c>
      <c r="R330">
        <v>6211.7999999999993</v>
      </c>
      <c r="S330">
        <v>30861.8</v>
      </c>
      <c r="T330">
        <v>2070.5999999999985</v>
      </c>
      <c r="U330">
        <v>0</v>
      </c>
      <c r="V330" s="2" t="s">
        <v>2056</v>
      </c>
      <c r="W330" s="2" t="s">
        <v>2057</v>
      </c>
      <c r="X330">
        <v>17255.000100000001</v>
      </c>
      <c r="Y330">
        <v>8.3999999999999936E-2</v>
      </c>
      <c r="Z330" s="2" t="s">
        <v>2061</v>
      </c>
    </row>
    <row r="331" spans="1:26" x14ac:dyDescent="0.3">
      <c r="A331" s="2" t="s">
        <v>704</v>
      </c>
      <c r="B331" s="1">
        <v>44709</v>
      </c>
      <c r="C331" s="2" t="s">
        <v>705</v>
      </c>
      <c r="D331" s="2" t="s">
        <v>65</v>
      </c>
      <c r="E331">
        <v>7540</v>
      </c>
      <c r="F331">
        <v>15.1</v>
      </c>
      <c r="G331">
        <v>60</v>
      </c>
      <c r="H331" s="2" t="s">
        <v>19</v>
      </c>
      <c r="I331" s="2" t="s">
        <v>20</v>
      </c>
      <c r="J331" s="2" t="s">
        <v>37</v>
      </c>
      <c r="K331">
        <v>108824</v>
      </c>
      <c r="L331" s="2" t="s">
        <v>22</v>
      </c>
      <c r="M331">
        <v>0.14000000000000001</v>
      </c>
      <c r="N331">
        <v>0.78</v>
      </c>
      <c r="O331">
        <v>8678.5400000000009</v>
      </c>
      <c r="P331">
        <v>0</v>
      </c>
      <c r="Q331">
        <v>45</v>
      </c>
      <c r="R331">
        <v>5692.7</v>
      </c>
      <c r="S331">
        <v>13232.7</v>
      </c>
      <c r="T331">
        <v>1138.5400000000009</v>
      </c>
      <c r="U331">
        <v>0</v>
      </c>
      <c r="V331" s="2" t="s">
        <v>2056</v>
      </c>
      <c r="W331" s="2" t="s">
        <v>2057</v>
      </c>
      <c r="X331">
        <v>9487.8333000000002</v>
      </c>
      <c r="Y331">
        <v>0.15100000000000011</v>
      </c>
      <c r="Z331" s="2" t="s">
        <v>2061</v>
      </c>
    </row>
    <row r="332" spans="1:26" x14ac:dyDescent="0.3">
      <c r="A332" s="2" t="s">
        <v>706</v>
      </c>
      <c r="B332" s="1">
        <v>44998</v>
      </c>
      <c r="C332" s="2" t="s">
        <v>707</v>
      </c>
      <c r="D332" s="2" t="s">
        <v>18</v>
      </c>
      <c r="E332">
        <v>33232</v>
      </c>
      <c r="F332">
        <v>17</v>
      </c>
      <c r="G332">
        <v>36</v>
      </c>
      <c r="H332" s="2" t="s">
        <v>19</v>
      </c>
      <c r="I332" s="2" t="s">
        <v>36</v>
      </c>
      <c r="J332" s="2" t="s">
        <v>28</v>
      </c>
      <c r="K332">
        <v>59877</v>
      </c>
      <c r="L332" s="2" t="s">
        <v>22</v>
      </c>
      <c r="M332">
        <v>0.43</v>
      </c>
      <c r="N332">
        <v>0.56999999999999995</v>
      </c>
      <c r="O332">
        <v>38881.440000000002</v>
      </c>
      <c r="P332">
        <v>0</v>
      </c>
      <c r="Q332">
        <v>36</v>
      </c>
      <c r="R332">
        <v>16948.32</v>
      </c>
      <c r="S332">
        <v>50180.32</v>
      </c>
      <c r="T332">
        <v>5649.4400000000023</v>
      </c>
      <c r="U332">
        <v>0</v>
      </c>
      <c r="V332" s="2" t="s">
        <v>2056</v>
      </c>
      <c r="W332" s="2" t="s">
        <v>2062</v>
      </c>
      <c r="X332">
        <v>47078.666700000002</v>
      </c>
      <c r="Y332">
        <v>0.17000000000000007</v>
      </c>
      <c r="Z332" s="2" t="s">
        <v>2058</v>
      </c>
    </row>
    <row r="333" spans="1:26" x14ac:dyDescent="0.3">
      <c r="A333" s="2" t="s">
        <v>708</v>
      </c>
      <c r="B333" s="1">
        <v>44756</v>
      </c>
      <c r="C333" s="2" t="s">
        <v>709</v>
      </c>
      <c r="D333" s="2" t="s">
        <v>40</v>
      </c>
      <c r="E333">
        <v>17422</v>
      </c>
      <c r="F333">
        <v>5.7</v>
      </c>
      <c r="G333">
        <v>36</v>
      </c>
      <c r="H333" s="2" t="s">
        <v>81</v>
      </c>
      <c r="I333" s="2" t="s">
        <v>41</v>
      </c>
      <c r="J333" s="2" t="s">
        <v>47</v>
      </c>
      <c r="K333">
        <v>114425</v>
      </c>
      <c r="L333" s="2" t="s">
        <v>22</v>
      </c>
      <c r="M333">
        <v>0.46</v>
      </c>
      <c r="N333">
        <v>0.67</v>
      </c>
      <c r="O333">
        <v>4227.59</v>
      </c>
      <c r="P333">
        <v>6267.26</v>
      </c>
      <c r="Q333">
        <v>44</v>
      </c>
      <c r="R333">
        <v>2979.1620000000003</v>
      </c>
      <c r="S333">
        <v>20401.162</v>
      </c>
      <c r="T333">
        <v>-6927.15</v>
      </c>
      <c r="U333">
        <v>1</v>
      </c>
      <c r="V333" s="2" t="s">
        <v>2063</v>
      </c>
      <c r="W333" s="2" t="s">
        <v>2062</v>
      </c>
      <c r="X333">
        <v>8275.4568999999992</v>
      </c>
      <c r="Y333">
        <v>-0.39760934450694524</v>
      </c>
      <c r="Z333" s="2" t="s">
        <v>2058</v>
      </c>
    </row>
    <row r="334" spans="1:26" x14ac:dyDescent="0.3">
      <c r="A334" s="2" t="s">
        <v>710</v>
      </c>
      <c r="B334" s="1">
        <v>44684</v>
      </c>
      <c r="C334" s="2" t="s">
        <v>711</v>
      </c>
      <c r="D334" s="2" t="s">
        <v>46</v>
      </c>
      <c r="E334">
        <v>4342</v>
      </c>
      <c r="F334">
        <v>12.3</v>
      </c>
      <c r="G334">
        <v>36</v>
      </c>
      <c r="H334" s="2" t="s">
        <v>19</v>
      </c>
      <c r="I334" s="2" t="s">
        <v>41</v>
      </c>
      <c r="J334" s="2" t="s">
        <v>47</v>
      </c>
      <c r="K334">
        <v>30917</v>
      </c>
      <c r="L334" s="2" t="s">
        <v>29</v>
      </c>
      <c r="M334">
        <v>0.43</v>
      </c>
      <c r="N334">
        <v>0.59</v>
      </c>
      <c r="O334">
        <v>4876.07</v>
      </c>
      <c r="P334">
        <v>0</v>
      </c>
      <c r="Q334">
        <v>46</v>
      </c>
      <c r="R334">
        <v>1602.1980000000001</v>
      </c>
      <c r="S334">
        <v>5944.1980000000003</v>
      </c>
      <c r="T334">
        <v>534.06999999999971</v>
      </c>
      <c r="U334">
        <v>0</v>
      </c>
      <c r="V334" s="2" t="s">
        <v>2056</v>
      </c>
      <c r="W334" s="2" t="s">
        <v>2062</v>
      </c>
      <c r="X334">
        <v>4450.55</v>
      </c>
      <c r="Y334">
        <v>0.12300092123445411</v>
      </c>
      <c r="Z334" s="2" t="s">
        <v>2058</v>
      </c>
    </row>
    <row r="335" spans="1:26" x14ac:dyDescent="0.3">
      <c r="A335" s="2" t="s">
        <v>712</v>
      </c>
      <c r="B335" s="1">
        <v>45093</v>
      </c>
      <c r="C335" s="2" t="s">
        <v>713</v>
      </c>
      <c r="D335" s="2" t="s">
        <v>53</v>
      </c>
      <c r="E335">
        <v>36612</v>
      </c>
      <c r="F335">
        <v>19.7</v>
      </c>
      <c r="G335">
        <v>36</v>
      </c>
      <c r="H335" s="2" t="s">
        <v>26</v>
      </c>
      <c r="I335" s="2" t="s">
        <v>84</v>
      </c>
      <c r="J335" s="2" t="s">
        <v>47</v>
      </c>
      <c r="K335">
        <v>105602</v>
      </c>
      <c r="L335" s="2" t="s">
        <v>22</v>
      </c>
      <c r="M335">
        <v>0.46</v>
      </c>
      <c r="N335">
        <v>0.81</v>
      </c>
      <c r="O335">
        <v>7072.66</v>
      </c>
      <c r="P335">
        <v>0</v>
      </c>
      <c r="Q335">
        <v>33</v>
      </c>
      <c r="R335">
        <v>21637.691999999999</v>
      </c>
      <c r="S335">
        <v>58249.691999999995</v>
      </c>
      <c r="T335">
        <v>-29539.34</v>
      </c>
      <c r="U335">
        <v>0</v>
      </c>
      <c r="V335" s="2" t="s">
        <v>2059</v>
      </c>
      <c r="W335" s="2" t="s">
        <v>2062</v>
      </c>
      <c r="X335">
        <v>60104.7</v>
      </c>
      <c r="Y335">
        <v>-0.80682126078881244</v>
      </c>
      <c r="Z335" s="2" t="s">
        <v>2058</v>
      </c>
    </row>
    <row r="336" spans="1:26" x14ac:dyDescent="0.3">
      <c r="A336" s="2" t="s">
        <v>714</v>
      </c>
      <c r="B336" s="1">
        <v>44900</v>
      </c>
      <c r="C336" s="2" t="s">
        <v>715</v>
      </c>
      <c r="D336" s="2" t="s">
        <v>40</v>
      </c>
      <c r="E336">
        <v>11396</v>
      </c>
      <c r="F336">
        <v>21.4</v>
      </c>
      <c r="G336">
        <v>36</v>
      </c>
      <c r="H336" s="2" t="s">
        <v>60</v>
      </c>
      <c r="I336" s="2" t="s">
        <v>27</v>
      </c>
      <c r="J336" s="2" t="s">
        <v>21</v>
      </c>
      <c r="K336">
        <v>125040</v>
      </c>
      <c r="L336" s="2" t="s">
        <v>33</v>
      </c>
      <c r="M336">
        <v>0.32</v>
      </c>
      <c r="N336">
        <v>0.92</v>
      </c>
      <c r="O336">
        <v>0</v>
      </c>
      <c r="P336">
        <v>0</v>
      </c>
      <c r="Q336">
        <v>39</v>
      </c>
      <c r="R336">
        <v>7316.232</v>
      </c>
      <c r="S336">
        <v>18712.232</v>
      </c>
      <c r="T336">
        <v>-11396</v>
      </c>
      <c r="U336">
        <v>0</v>
      </c>
      <c r="V336" s="2" t="s">
        <v>2063</v>
      </c>
      <c r="W336" s="2" t="s">
        <v>2060</v>
      </c>
      <c r="X336">
        <v>20322.866699999999</v>
      </c>
      <c r="Y336">
        <v>-1</v>
      </c>
      <c r="Z336" s="2" t="s">
        <v>2058</v>
      </c>
    </row>
    <row r="337" spans="1:26" x14ac:dyDescent="0.3">
      <c r="A337" s="2" t="s">
        <v>716</v>
      </c>
      <c r="B337" s="1">
        <v>44777</v>
      </c>
      <c r="C337" s="2" t="s">
        <v>717</v>
      </c>
      <c r="D337" s="2" t="s">
        <v>65</v>
      </c>
      <c r="E337">
        <v>18482</v>
      </c>
      <c r="F337">
        <v>11.3</v>
      </c>
      <c r="G337">
        <v>60</v>
      </c>
      <c r="H337" s="2" t="s">
        <v>26</v>
      </c>
      <c r="I337" s="2" t="s">
        <v>57</v>
      </c>
      <c r="J337" s="2" t="s">
        <v>28</v>
      </c>
      <c r="K337">
        <v>94575</v>
      </c>
      <c r="L337" s="2" t="s">
        <v>33</v>
      </c>
      <c r="M337">
        <v>0.42</v>
      </c>
      <c r="N337">
        <v>0.95</v>
      </c>
      <c r="O337">
        <v>3142.25</v>
      </c>
      <c r="P337">
        <v>0</v>
      </c>
      <c r="Q337">
        <v>43</v>
      </c>
      <c r="R337">
        <v>10442.33</v>
      </c>
      <c r="S337">
        <v>28924.33</v>
      </c>
      <c r="T337">
        <v>-15339.75</v>
      </c>
      <c r="U337">
        <v>0</v>
      </c>
      <c r="V337" s="2" t="s">
        <v>2059</v>
      </c>
      <c r="W337" s="2" t="s">
        <v>2057</v>
      </c>
      <c r="X337">
        <v>17403.883300000001</v>
      </c>
      <c r="Y337">
        <v>-0.82998322692349313</v>
      </c>
      <c r="Z337" s="2" t="s">
        <v>2058</v>
      </c>
    </row>
    <row r="338" spans="1:26" x14ac:dyDescent="0.3">
      <c r="A338" s="2" t="s">
        <v>718</v>
      </c>
      <c r="B338" s="1">
        <v>44986</v>
      </c>
      <c r="C338" s="2" t="s">
        <v>719</v>
      </c>
      <c r="D338" s="2" t="s">
        <v>56</v>
      </c>
      <c r="E338">
        <v>24411</v>
      </c>
      <c r="F338">
        <v>21</v>
      </c>
      <c r="G338">
        <v>36</v>
      </c>
      <c r="H338" s="2" t="s">
        <v>19</v>
      </c>
      <c r="I338" s="2" t="s">
        <v>20</v>
      </c>
      <c r="J338" s="2" t="s">
        <v>21</v>
      </c>
      <c r="K338">
        <v>102518</v>
      </c>
      <c r="L338" s="2" t="s">
        <v>29</v>
      </c>
      <c r="M338">
        <v>0.25</v>
      </c>
      <c r="N338">
        <v>0.7</v>
      </c>
      <c r="O338">
        <v>29537.31</v>
      </c>
      <c r="P338">
        <v>0</v>
      </c>
      <c r="Q338">
        <v>36</v>
      </c>
      <c r="R338">
        <v>15378.93</v>
      </c>
      <c r="S338">
        <v>39789.93</v>
      </c>
      <c r="T338">
        <v>5126.3100000000013</v>
      </c>
      <c r="U338">
        <v>0</v>
      </c>
      <c r="V338" s="2" t="s">
        <v>2056</v>
      </c>
      <c r="W338" s="2" t="s">
        <v>2057</v>
      </c>
      <c r="X338">
        <v>42719.25</v>
      </c>
      <c r="Y338">
        <v>0.21000000000000005</v>
      </c>
      <c r="Z338" s="2" t="s">
        <v>2061</v>
      </c>
    </row>
    <row r="339" spans="1:26" x14ac:dyDescent="0.3">
      <c r="A339" s="2" t="s">
        <v>720</v>
      </c>
      <c r="B339" s="1">
        <v>45057</v>
      </c>
      <c r="C339" s="2" t="s">
        <v>721</v>
      </c>
      <c r="D339" s="2" t="s">
        <v>76</v>
      </c>
      <c r="E339">
        <v>14261</v>
      </c>
      <c r="F339">
        <v>24.4</v>
      </c>
      <c r="G339">
        <v>36</v>
      </c>
      <c r="H339" s="2" t="s">
        <v>81</v>
      </c>
      <c r="I339" s="2" t="s">
        <v>20</v>
      </c>
      <c r="J339" s="2" t="s">
        <v>47</v>
      </c>
      <c r="K339">
        <v>69104</v>
      </c>
      <c r="L339" s="2" t="s">
        <v>22</v>
      </c>
      <c r="M339">
        <v>0.37</v>
      </c>
      <c r="N339">
        <v>0.61</v>
      </c>
      <c r="O339">
        <v>5563.15</v>
      </c>
      <c r="P339">
        <v>3087.26</v>
      </c>
      <c r="Q339">
        <v>34</v>
      </c>
      <c r="R339">
        <v>10439.052</v>
      </c>
      <c r="S339">
        <v>24700.052</v>
      </c>
      <c r="T339">
        <v>-5610.59</v>
      </c>
      <c r="U339">
        <v>1</v>
      </c>
      <c r="V339" s="2" t="s">
        <v>2063</v>
      </c>
      <c r="W339" s="2" t="s">
        <v>2057</v>
      </c>
      <c r="X339">
        <v>28997.366699999999</v>
      </c>
      <c r="Y339">
        <v>-0.39342191992146414</v>
      </c>
      <c r="Z339" s="2" t="s">
        <v>2061</v>
      </c>
    </row>
    <row r="340" spans="1:26" x14ac:dyDescent="0.3">
      <c r="A340" s="2" t="s">
        <v>722</v>
      </c>
      <c r="B340" s="1">
        <v>44443</v>
      </c>
      <c r="C340" s="2" t="s">
        <v>723</v>
      </c>
      <c r="D340" s="2" t="s">
        <v>72</v>
      </c>
      <c r="E340">
        <v>4093</v>
      </c>
      <c r="F340">
        <v>22.1</v>
      </c>
      <c r="G340">
        <v>36</v>
      </c>
      <c r="H340" s="2" t="s">
        <v>19</v>
      </c>
      <c r="I340" s="2" t="s">
        <v>27</v>
      </c>
      <c r="J340" s="2" t="s">
        <v>21</v>
      </c>
      <c r="K340">
        <v>48062</v>
      </c>
      <c r="L340" s="2" t="s">
        <v>33</v>
      </c>
      <c r="M340">
        <v>0.5</v>
      </c>
      <c r="N340">
        <v>0.7</v>
      </c>
      <c r="O340">
        <v>4997.55</v>
      </c>
      <c r="P340">
        <v>0</v>
      </c>
      <c r="Q340">
        <v>54</v>
      </c>
      <c r="R340">
        <v>2713.6590000000001</v>
      </c>
      <c r="S340">
        <v>6806.6589999999997</v>
      </c>
      <c r="T340">
        <v>904.55000000000018</v>
      </c>
      <c r="U340">
        <v>0</v>
      </c>
      <c r="V340" s="2" t="s">
        <v>2056</v>
      </c>
      <c r="W340" s="2" t="s">
        <v>2060</v>
      </c>
      <c r="X340">
        <v>7537.9417000000003</v>
      </c>
      <c r="Y340">
        <v>0.22099926704129005</v>
      </c>
      <c r="Z340" s="2" t="s">
        <v>2058</v>
      </c>
    </row>
    <row r="341" spans="1:26" x14ac:dyDescent="0.3">
      <c r="A341" s="2" t="s">
        <v>724</v>
      </c>
      <c r="B341" s="1">
        <v>44350</v>
      </c>
      <c r="C341" s="2" t="s">
        <v>725</v>
      </c>
      <c r="D341" s="2" t="s">
        <v>65</v>
      </c>
      <c r="E341">
        <v>12722</v>
      </c>
      <c r="F341">
        <v>7.4</v>
      </c>
      <c r="G341">
        <v>60</v>
      </c>
      <c r="H341" s="2" t="s">
        <v>19</v>
      </c>
      <c r="I341" s="2" t="s">
        <v>84</v>
      </c>
      <c r="J341" s="2" t="s">
        <v>21</v>
      </c>
      <c r="K341">
        <v>46999</v>
      </c>
      <c r="L341" s="2" t="s">
        <v>29</v>
      </c>
      <c r="M341">
        <v>0.19</v>
      </c>
      <c r="N341">
        <v>0.88</v>
      </c>
      <c r="O341">
        <v>13663.43</v>
      </c>
      <c r="P341">
        <v>0</v>
      </c>
      <c r="Q341">
        <v>57</v>
      </c>
      <c r="R341">
        <v>4707.1400000000003</v>
      </c>
      <c r="S341">
        <v>17429.14</v>
      </c>
      <c r="T341">
        <v>941.43000000000029</v>
      </c>
      <c r="U341">
        <v>0</v>
      </c>
      <c r="V341" s="2" t="s">
        <v>2056</v>
      </c>
      <c r="W341" s="2" t="s">
        <v>2062</v>
      </c>
      <c r="X341">
        <v>7845.2332999999999</v>
      </c>
      <c r="Y341">
        <v>7.4000157207986195E-2</v>
      </c>
      <c r="Z341" s="2" t="s">
        <v>2058</v>
      </c>
    </row>
    <row r="342" spans="1:26" x14ac:dyDescent="0.3">
      <c r="A342" s="2" t="s">
        <v>726</v>
      </c>
      <c r="B342" s="1">
        <v>45193</v>
      </c>
      <c r="C342" s="2" t="s">
        <v>727</v>
      </c>
      <c r="D342" s="2" t="s">
        <v>50</v>
      </c>
      <c r="E342">
        <v>23042</v>
      </c>
      <c r="F342">
        <v>19.8</v>
      </c>
      <c r="G342">
        <v>60</v>
      </c>
      <c r="H342" s="2" t="s">
        <v>81</v>
      </c>
      <c r="I342" s="2" t="s">
        <v>84</v>
      </c>
      <c r="J342" s="2" t="s">
        <v>28</v>
      </c>
      <c r="K342">
        <v>91845</v>
      </c>
      <c r="L342" s="2" t="s">
        <v>33</v>
      </c>
      <c r="M342">
        <v>0.26</v>
      </c>
      <c r="N342">
        <v>0.59</v>
      </c>
      <c r="O342">
        <v>3410.73</v>
      </c>
      <c r="P342">
        <v>2992.03</v>
      </c>
      <c r="Q342">
        <v>29</v>
      </c>
      <c r="R342">
        <v>22811.58</v>
      </c>
      <c r="S342">
        <v>45853.58</v>
      </c>
      <c r="T342">
        <v>-16639.239999999998</v>
      </c>
      <c r="U342">
        <v>1</v>
      </c>
      <c r="V342" s="2" t="s">
        <v>2063</v>
      </c>
      <c r="W342" s="2" t="s">
        <v>2062</v>
      </c>
      <c r="X342">
        <v>38019.300000000003</v>
      </c>
      <c r="Y342">
        <v>-0.72212655151462535</v>
      </c>
      <c r="Z342" s="2" t="s">
        <v>2061</v>
      </c>
    </row>
    <row r="343" spans="1:26" x14ac:dyDescent="0.3">
      <c r="A343" s="2" t="s">
        <v>728</v>
      </c>
      <c r="B343" s="1">
        <v>44893</v>
      </c>
      <c r="C343" s="2" t="s">
        <v>729</v>
      </c>
      <c r="D343" s="2" t="s">
        <v>25</v>
      </c>
      <c r="E343">
        <v>29087</v>
      </c>
      <c r="F343">
        <v>11.4</v>
      </c>
      <c r="G343">
        <v>60</v>
      </c>
      <c r="H343" s="2" t="s">
        <v>26</v>
      </c>
      <c r="I343" s="2" t="s">
        <v>36</v>
      </c>
      <c r="J343" s="2" t="s">
        <v>32</v>
      </c>
      <c r="K343">
        <v>39941</v>
      </c>
      <c r="L343" s="2" t="s">
        <v>22</v>
      </c>
      <c r="M343">
        <v>0.28999999999999998</v>
      </c>
      <c r="N343">
        <v>0.93</v>
      </c>
      <c r="O343">
        <v>11759.78</v>
      </c>
      <c r="P343">
        <v>0</v>
      </c>
      <c r="Q343">
        <v>39</v>
      </c>
      <c r="R343">
        <v>16579.59</v>
      </c>
      <c r="S343">
        <v>45666.59</v>
      </c>
      <c r="T343">
        <v>-17327.22</v>
      </c>
      <c r="U343">
        <v>0</v>
      </c>
      <c r="V343" s="2" t="s">
        <v>2059</v>
      </c>
      <c r="W343" s="2" t="s">
        <v>2062</v>
      </c>
      <c r="X343">
        <v>27632.65</v>
      </c>
      <c r="Y343">
        <v>-0.59570323512221957</v>
      </c>
      <c r="Z343" s="2" t="s">
        <v>2058</v>
      </c>
    </row>
    <row r="344" spans="1:26" x14ac:dyDescent="0.3">
      <c r="A344" s="2" t="s">
        <v>730</v>
      </c>
      <c r="B344" s="1">
        <v>45289</v>
      </c>
      <c r="C344" s="2" t="s">
        <v>731</v>
      </c>
      <c r="D344" s="2" t="s">
        <v>53</v>
      </c>
      <c r="E344">
        <v>33347</v>
      </c>
      <c r="F344">
        <v>24.8</v>
      </c>
      <c r="G344">
        <v>36</v>
      </c>
      <c r="H344" s="2" t="s">
        <v>19</v>
      </c>
      <c r="I344" s="2" t="s">
        <v>84</v>
      </c>
      <c r="J344" s="2" t="s">
        <v>21</v>
      </c>
      <c r="K344">
        <v>91169</v>
      </c>
      <c r="L344" s="2" t="s">
        <v>29</v>
      </c>
      <c r="M344">
        <v>0.16</v>
      </c>
      <c r="N344">
        <v>0.65</v>
      </c>
      <c r="O344">
        <v>41617.06</v>
      </c>
      <c r="P344">
        <v>0</v>
      </c>
      <c r="Q344">
        <v>26</v>
      </c>
      <c r="R344">
        <v>24810.168000000001</v>
      </c>
      <c r="S344">
        <v>58157.168000000005</v>
      </c>
      <c r="T344">
        <v>8270.0599999999977</v>
      </c>
      <c r="U344">
        <v>0</v>
      </c>
      <c r="V344" s="2" t="s">
        <v>2056</v>
      </c>
      <c r="W344" s="2" t="s">
        <v>2062</v>
      </c>
      <c r="X344">
        <v>68917.133300000001</v>
      </c>
      <c r="Y344">
        <v>0.24800011995082008</v>
      </c>
      <c r="Z344" s="2" t="s">
        <v>2061</v>
      </c>
    </row>
    <row r="345" spans="1:26" x14ac:dyDescent="0.3">
      <c r="A345" s="2" t="s">
        <v>732</v>
      </c>
      <c r="B345" s="1">
        <v>45267</v>
      </c>
      <c r="C345" s="2" t="s">
        <v>733</v>
      </c>
      <c r="D345" s="2" t="s">
        <v>72</v>
      </c>
      <c r="E345">
        <v>34756</v>
      </c>
      <c r="F345">
        <v>14.7</v>
      </c>
      <c r="G345">
        <v>60</v>
      </c>
      <c r="H345" s="2" t="s">
        <v>19</v>
      </c>
      <c r="I345" s="2" t="s">
        <v>41</v>
      </c>
      <c r="J345" s="2" t="s">
        <v>21</v>
      </c>
      <c r="K345">
        <v>53470</v>
      </c>
      <c r="L345" s="2" t="s">
        <v>33</v>
      </c>
      <c r="M345">
        <v>0.13</v>
      </c>
      <c r="N345">
        <v>0.94</v>
      </c>
      <c r="O345">
        <v>39865.129999999997</v>
      </c>
      <c r="P345">
        <v>0</v>
      </c>
      <c r="Q345">
        <v>27</v>
      </c>
      <c r="R345">
        <v>25545.66</v>
      </c>
      <c r="S345">
        <v>60301.66</v>
      </c>
      <c r="T345">
        <v>5109.1299999999974</v>
      </c>
      <c r="U345">
        <v>0</v>
      </c>
      <c r="V345" s="2" t="s">
        <v>2056</v>
      </c>
      <c r="W345" s="2" t="s">
        <v>2062</v>
      </c>
      <c r="X345">
        <v>42576.1</v>
      </c>
      <c r="Y345">
        <v>0.14699994245597875</v>
      </c>
      <c r="Z345" s="2" t="s">
        <v>2058</v>
      </c>
    </row>
    <row r="346" spans="1:26" x14ac:dyDescent="0.3">
      <c r="A346" s="2" t="s">
        <v>734</v>
      </c>
      <c r="B346" s="1">
        <v>45205</v>
      </c>
      <c r="C346" s="2" t="s">
        <v>735</v>
      </c>
      <c r="D346" s="2" t="s">
        <v>50</v>
      </c>
      <c r="E346">
        <v>17335</v>
      </c>
      <c r="F346">
        <v>7.4</v>
      </c>
      <c r="G346">
        <v>36</v>
      </c>
      <c r="H346" s="2" t="s">
        <v>19</v>
      </c>
      <c r="I346" s="2" t="s">
        <v>20</v>
      </c>
      <c r="J346" s="2" t="s">
        <v>47</v>
      </c>
      <c r="K346">
        <v>140684</v>
      </c>
      <c r="L346" s="2" t="s">
        <v>29</v>
      </c>
      <c r="M346">
        <v>0.43</v>
      </c>
      <c r="N346">
        <v>0.88</v>
      </c>
      <c r="O346">
        <v>18617.79</v>
      </c>
      <c r="P346">
        <v>0</v>
      </c>
      <c r="Q346">
        <v>29</v>
      </c>
      <c r="R346">
        <v>3848.3700000000003</v>
      </c>
      <c r="S346">
        <v>21183.37</v>
      </c>
      <c r="T346">
        <v>1282.7900000000009</v>
      </c>
      <c r="U346">
        <v>0</v>
      </c>
      <c r="V346" s="2" t="s">
        <v>2056</v>
      </c>
      <c r="W346" s="2" t="s">
        <v>2057</v>
      </c>
      <c r="X346">
        <v>10689.916999999999</v>
      </c>
      <c r="Y346">
        <v>7.4000000000000052E-2</v>
      </c>
      <c r="Z346" s="2" t="s">
        <v>2058</v>
      </c>
    </row>
    <row r="347" spans="1:26" x14ac:dyDescent="0.3">
      <c r="A347" s="2" t="s">
        <v>736</v>
      </c>
      <c r="B347" s="1">
        <v>44290</v>
      </c>
      <c r="C347" s="2" t="s">
        <v>737</v>
      </c>
      <c r="D347" s="2" t="s">
        <v>76</v>
      </c>
      <c r="E347">
        <v>29602</v>
      </c>
      <c r="F347">
        <v>19.5</v>
      </c>
      <c r="G347">
        <v>36</v>
      </c>
      <c r="H347" s="2" t="s">
        <v>19</v>
      </c>
      <c r="I347" s="2" t="s">
        <v>27</v>
      </c>
      <c r="J347" s="2" t="s">
        <v>47</v>
      </c>
      <c r="K347">
        <v>89821</v>
      </c>
      <c r="L347" s="2" t="s">
        <v>33</v>
      </c>
      <c r="M347">
        <v>0.49</v>
      </c>
      <c r="N347">
        <v>0.86</v>
      </c>
      <c r="O347">
        <v>35374.39</v>
      </c>
      <c r="P347">
        <v>0</v>
      </c>
      <c r="Q347">
        <v>59</v>
      </c>
      <c r="R347">
        <v>17317.170000000002</v>
      </c>
      <c r="S347">
        <v>46919.17</v>
      </c>
      <c r="T347">
        <v>5772.3899999999994</v>
      </c>
      <c r="U347">
        <v>0</v>
      </c>
      <c r="V347" s="2" t="s">
        <v>2056</v>
      </c>
      <c r="W347" s="2" t="s">
        <v>2060</v>
      </c>
      <c r="X347">
        <v>48103.25</v>
      </c>
      <c r="Y347">
        <v>0.19499999999999998</v>
      </c>
      <c r="Z347" s="2" t="s">
        <v>2058</v>
      </c>
    </row>
    <row r="348" spans="1:26" x14ac:dyDescent="0.3">
      <c r="A348" s="2" t="s">
        <v>738</v>
      </c>
      <c r="B348" s="1">
        <v>45154</v>
      </c>
      <c r="C348" s="2" t="s">
        <v>739</v>
      </c>
      <c r="D348" s="2" t="s">
        <v>50</v>
      </c>
      <c r="E348">
        <v>35450</v>
      </c>
      <c r="F348">
        <v>11.5</v>
      </c>
      <c r="G348">
        <v>60</v>
      </c>
      <c r="H348" s="2" t="s">
        <v>19</v>
      </c>
      <c r="I348" s="2" t="s">
        <v>73</v>
      </c>
      <c r="J348" s="2" t="s">
        <v>47</v>
      </c>
      <c r="K348">
        <v>116669</v>
      </c>
      <c r="L348" s="2" t="s">
        <v>33</v>
      </c>
      <c r="M348">
        <v>0.26</v>
      </c>
      <c r="N348">
        <v>0.64</v>
      </c>
      <c r="O348">
        <v>39526.75</v>
      </c>
      <c r="P348">
        <v>0</v>
      </c>
      <c r="Q348">
        <v>31</v>
      </c>
      <c r="R348">
        <v>20383.75</v>
      </c>
      <c r="S348">
        <v>55833.75</v>
      </c>
      <c r="T348">
        <v>4076.75</v>
      </c>
      <c r="U348">
        <v>0</v>
      </c>
      <c r="V348" s="2" t="s">
        <v>2056</v>
      </c>
      <c r="W348" s="2" t="s">
        <v>2064</v>
      </c>
      <c r="X348">
        <v>33972.916700000002</v>
      </c>
      <c r="Y348">
        <v>0.115</v>
      </c>
      <c r="Z348" s="2" t="s">
        <v>2061</v>
      </c>
    </row>
    <row r="349" spans="1:26" x14ac:dyDescent="0.3">
      <c r="A349" s="2" t="s">
        <v>740</v>
      </c>
      <c r="B349" s="1">
        <v>45208</v>
      </c>
      <c r="C349" s="2" t="s">
        <v>741</v>
      </c>
      <c r="D349" s="2" t="s">
        <v>56</v>
      </c>
      <c r="E349">
        <v>33196</v>
      </c>
      <c r="F349">
        <v>24.9</v>
      </c>
      <c r="G349">
        <v>36</v>
      </c>
      <c r="H349" s="2" t="s">
        <v>60</v>
      </c>
      <c r="I349" s="2" t="s">
        <v>57</v>
      </c>
      <c r="J349" s="2" t="s">
        <v>37</v>
      </c>
      <c r="K349">
        <v>148193</v>
      </c>
      <c r="L349" s="2" t="s">
        <v>22</v>
      </c>
      <c r="M349">
        <v>0.14000000000000001</v>
      </c>
      <c r="N349">
        <v>0.5</v>
      </c>
      <c r="O349">
        <v>0</v>
      </c>
      <c r="P349">
        <v>0</v>
      </c>
      <c r="Q349">
        <v>29</v>
      </c>
      <c r="R349">
        <v>24797.411999999997</v>
      </c>
      <c r="S349">
        <v>57993.411999999997</v>
      </c>
      <c r="T349">
        <v>-33196</v>
      </c>
      <c r="U349">
        <v>0</v>
      </c>
      <c r="V349" s="2" t="s">
        <v>2063</v>
      </c>
      <c r="W349" s="2" t="s">
        <v>2057</v>
      </c>
      <c r="X349">
        <v>68881.7</v>
      </c>
      <c r="Y349">
        <v>-1</v>
      </c>
      <c r="Z349" s="2" t="s">
        <v>2061</v>
      </c>
    </row>
    <row r="350" spans="1:26" x14ac:dyDescent="0.3">
      <c r="A350" s="2" t="s">
        <v>742</v>
      </c>
      <c r="B350" s="1">
        <v>44649</v>
      </c>
      <c r="C350" s="2" t="s">
        <v>743</v>
      </c>
      <c r="D350" s="2" t="s">
        <v>25</v>
      </c>
      <c r="E350">
        <v>6626</v>
      </c>
      <c r="F350">
        <v>24.6</v>
      </c>
      <c r="G350">
        <v>36</v>
      </c>
      <c r="H350" s="2" t="s">
        <v>81</v>
      </c>
      <c r="I350" s="2" t="s">
        <v>41</v>
      </c>
      <c r="J350" s="2" t="s">
        <v>21</v>
      </c>
      <c r="K350">
        <v>74435</v>
      </c>
      <c r="L350" s="2" t="s">
        <v>22</v>
      </c>
      <c r="M350">
        <v>0.13</v>
      </c>
      <c r="N350">
        <v>0.67</v>
      </c>
      <c r="O350">
        <v>2618.92</v>
      </c>
      <c r="P350">
        <v>2120.33</v>
      </c>
      <c r="Q350">
        <v>47</v>
      </c>
      <c r="R350">
        <v>4889.9880000000003</v>
      </c>
      <c r="S350">
        <v>11515.988000000001</v>
      </c>
      <c r="T350">
        <v>-1886.75</v>
      </c>
      <c r="U350">
        <v>1</v>
      </c>
      <c r="V350" s="2" t="s">
        <v>2063</v>
      </c>
      <c r="W350" s="2" t="s">
        <v>2062</v>
      </c>
      <c r="X350">
        <v>13583.3</v>
      </c>
      <c r="Y350">
        <v>-0.28474947177784488</v>
      </c>
      <c r="Z350" s="2" t="s">
        <v>2061</v>
      </c>
    </row>
    <row r="351" spans="1:26" x14ac:dyDescent="0.3">
      <c r="A351" s="2" t="s">
        <v>744</v>
      </c>
      <c r="B351" s="1">
        <v>45108</v>
      </c>
      <c r="C351" s="2" t="s">
        <v>745</v>
      </c>
      <c r="D351" s="2" t="s">
        <v>40</v>
      </c>
      <c r="E351">
        <v>8424</v>
      </c>
      <c r="F351">
        <v>18.100000000000001</v>
      </c>
      <c r="G351">
        <v>36</v>
      </c>
      <c r="H351" s="2" t="s">
        <v>81</v>
      </c>
      <c r="I351" s="2" t="s">
        <v>36</v>
      </c>
      <c r="J351" s="2" t="s">
        <v>47</v>
      </c>
      <c r="K351">
        <v>34529</v>
      </c>
      <c r="L351" s="2" t="s">
        <v>33</v>
      </c>
      <c r="M351">
        <v>0.46</v>
      </c>
      <c r="N351">
        <v>0.64</v>
      </c>
      <c r="O351">
        <v>892.7</v>
      </c>
      <c r="P351">
        <v>1919.6</v>
      </c>
      <c r="Q351">
        <v>32</v>
      </c>
      <c r="R351">
        <v>4574.2320000000009</v>
      </c>
      <c r="S351">
        <v>12998.232</v>
      </c>
      <c r="T351">
        <v>-5611.7</v>
      </c>
      <c r="U351">
        <v>1</v>
      </c>
      <c r="V351" s="2" t="s">
        <v>2063</v>
      </c>
      <c r="W351" s="2" t="s">
        <v>2062</v>
      </c>
      <c r="X351">
        <v>12706.2</v>
      </c>
      <c r="Y351">
        <v>-0.66615622032288702</v>
      </c>
      <c r="Z351" s="2" t="s">
        <v>2058</v>
      </c>
    </row>
    <row r="352" spans="1:26" x14ac:dyDescent="0.3">
      <c r="A352" s="2" t="s">
        <v>746</v>
      </c>
      <c r="B352" s="1">
        <v>44414</v>
      </c>
      <c r="C352" s="2" t="s">
        <v>747</v>
      </c>
      <c r="D352" s="2" t="s">
        <v>72</v>
      </c>
      <c r="E352">
        <v>13857</v>
      </c>
      <c r="F352">
        <v>7.6</v>
      </c>
      <c r="G352">
        <v>60</v>
      </c>
      <c r="H352" s="2" t="s">
        <v>19</v>
      </c>
      <c r="I352" s="2" t="s">
        <v>20</v>
      </c>
      <c r="J352" s="2" t="s">
        <v>28</v>
      </c>
      <c r="K352">
        <v>113055</v>
      </c>
      <c r="L352" s="2" t="s">
        <v>29</v>
      </c>
      <c r="M352">
        <v>0.28999999999999998</v>
      </c>
      <c r="N352">
        <v>0.52</v>
      </c>
      <c r="O352">
        <v>14910.13</v>
      </c>
      <c r="P352">
        <v>0</v>
      </c>
      <c r="Q352">
        <v>55</v>
      </c>
      <c r="R352">
        <v>5265.6600000000008</v>
      </c>
      <c r="S352">
        <v>19122.66</v>
      </c>
      <c r="T352">
        <v>1053.1299999999992</v>
      </c>
      <c r="U352">
        <v>0</v>
      </c>
      <c r="V352" s="2" t="s">
        <v>2056</v>
      </c>
      <c r="W352" s="2" t="s">
        <v>2057</v>
      </c>
      <c r="X352">
        <v>8776.1</v>
      </c>
      <c r="Y352">
        <v>7.5999855668615085E-2</v>
      </c>
      <c r="Z352" s="2" t="s">
        <v>2061</v>
      </c>
    </row>
    <row r="353" spans="1:26" x14ac:dyDescent="0.3">
      <c r="A353" s="2" t="s">
        <v>748</v>
      </c>
      <c r="B353" s="1">
        <v>44670</v>
      </c>
      <c r="C353" s="2" t="s">
        <v>749</v>
      </c>
      <c r="D353" s="2" t="s">
        <v>25</v>
      </c>
      <c r="E353">
        <v>20982</v>
      </c>
      <c r="F353">
        <v>18.7</v>
      </c>
      <c r="G353">
        <v>36</v>
      </c>
      <c r="H353" s="2" t="s">
        <v>26</v>
      </c>
      <c r="I353" s="2" t="s">
        <v>20</v>
      </c>
      <c r="J353" s="2" t="s">
        <v>37</v>
      </c>
      <c r="K353">
        <v>42192</v>
      </c>
      <c r="L353" s="2" t="s">
        <v>29</v>
      </c>
      <c r="M353">
        <v>0.23</v>
      </c>
      <c r="N353">
        <v>0.73</v>
      </c>
      <c r="O353">
        <v>7649.25</v>
      </c>
      <c r="P353">
        <v>0</v>
      </c>
      <c r="Q353">
        <v>47</v>
      </c>
      <c r="R353">
        <v>11770.902</v>
      </c>
      <c r="S353">
        <v>32752.902000000002</v>
      </c>
      <c r="T353">
        <v>-13332.75</v>
      </c>
      <c r="U353">
        <v>0</v>
      </c>
      <c r="V353" s="2" t="s">
        <v>2059</v>
      </c>
      <c r="W353" s="2" t="s">
        <v>2057</v>
      </c>
      <c r="X353">
        <v>32696.95</v>
      </c>
      <c r="Y353">
        <v>-0.63543751787246217</v>
      </c>
      <c r="Z353" s="2" t="s">
        <v>2061</v>
      </c>
    </row>
    <row r="354" spans="1:26" x14ac:dyDescent="0.3">
      <c r="A354" s="2" t="s">
        <v>750</v>
      </c>
      <c r="B354" s="1">
        <v>44628</v>
      </c>
      <c r="C354" s="2" t="s">
        <v>751</v>
      </c>
      <c r="D354" s="2" t="s">
        <v>18</v>
      </c>
      <c r="E354">
        <v>12425</v>
      </c>
      <c r="F354">
        <v>6.9</v>
      </c>
      <c r="G354">
        <v>36</v>
      </c>
      <c r="H354" s="2" t="s">
        <v>81</v>
      </c>
      <c r="I354" s="2" t="s">
        <v>27</v>
      </c>
      <c r="J354" s="2" t="s">
        <v>32</v>
      </c>
      <c r="K354">
        <v>104102</v>
      </c>
      <c r="L354" s="2" t="s">
        <v>22</v>
      </c>
      <c r="M354">
        <v>0.28999999999999998</v>
      </c>
      <c r="N354">
        <v>0.68</v>
      </c>
      <c r="O354">
        <v>2185.23</v>
      </c>
      <c r="P354">
        <v>5996.91</v>
      </c>
      <c r="Q354">
        <v>48</v>
      </c>
      <c r="R354">
        <v>2571.9749999999999</v>
      </c>
      <c r="S354">
        <v>14996.975</v>
      </c>
      <c r="T354">
        <v>-4242.8600000000006</v>
      </c>
      <c r="U354">
        <v>1</v>
      </c>
      <c r="V354" s="2" t="s">
        <v>2063</v>
      </c>
      <c r="W354" s="2" t="s">
        <v>2060</v>
      </c>
      <c r="X354">
        <v>7144.3756000000003</v>
      </c>
      <c r="Y354">
        <v>-0.3414776659959759</v>
      </c>
      <c r="Z354" s="2" t="s">
        <v>2061</v>
      </c>
    </row>
    <row r="355" spans="1:26" x14ac:dyDescent="0.3">
      <c r="A355" s="2" t="s">
        <v>752</v>
      </c>
      <c r="B355" s="1">
        <v>44537</v>
      </c>
      <c r="C355" s="2" t="s">
        <v>753</v>
      </c>
      <c r="D355" s="2" t="s">
        <v>65</v>
      </c>
      <c r="E355">
        <v>2980</v>
      </c>
      <c r="F355">
        <v>5.6</v>
      </c>
      <c r="G355">
        <v>60</v>
      </c>
      <c r="H355" s="2" t="s">
        <v>81</v>
      </c>
      <c r="I355" s="2" t="s">
        <v>73</v>
      </c>
      <c r="J355" s="2" t="s">
        <v>21</v>
      </c>
      <c r="K355">
        <v>102762</v>
      </c>
      <c r="L355" s="2" t="s">
        <v>33</v>
      </c>
      <c r="M355">
        <v>0.23</v>
      </c>
      <c r="N355">
        <v>0.79</v>
      </c>
      <c r="O355">
        <v>334.2</v>
      </c>
      <c r="P355">
        <v>420.5</v>
      </c>
      <c r="Q355">
        <v>51</v>
      </c>
      <c r="R355">
        <v>834.4</v>
      </c>
      <c r="S355">
        <v>3814.4</v>
      </c>
      <c r="T355">
        <v>-2225.3000000000002</v>
      </c>
      <c r="U355">
        <v>1</v>
      </c>
      <c r="V355" s="2" t="s">
        <v>2063</v>
      </c>
      <c r="W355" s="2" t="s">
        <v>2064</v>
      </c>
      <c r="X355">
        <v>1390.6667</v>
      </c>
      <c r="Y355">
        <v>-0.74674496644295307</v>
      </c>
      <c r="Z355" s="2" t="s">
        <v>2061</v>
      </c>
    </row>
    <row r="356" spans="1:26" x14ac:dyDescent="0.3">
      <c r="A356" s="2" t="s">
        <v>754</v>
      </c>
      <c r="B356" s="1">
        <v>44747</v>
      </c>
      <c r="C356" s="2" t="s">
        <v>755</v>
      </c>
      <c r="D356" s="2" t="s">
        <v>18</v>
      </c>
      <c r="E356">
        <v>27431</v>
      </c>
      <c r="F356">
        <v>21.5</v>
      </c>
      <c r="G356">
        <v>36</v>
      </c>
      <c r="H356" s="2" t="s">
        <v>19</v>
      </c>
      <c r="I356" s="2" t="s">
        <v>36</v>
      </c>
      <c r="J356" s="2" t="s">
        <v>21</v>
      </c>
      <c r="K356">
        <v>133466</v>
      </c>
      <c r="L356" s="2" t="s">
        <v>22</v>
      </c>
      <c r="M356">
        <v>0.3</v>
      </c>
      <c r="N356">
        <v>0.78</v>
      </c>
      <c r="O356">
        <v>33328.660000000003</v>
      </c>
      <c r="P356">
        <v>0</v>
      </c>
      <c r="Q356">
        <v>44</v>
      </c>
      <c r="R356">
        <v>17692.994999999999</v>
      </c>
      <c r="S356">
        <v>45123.994999999995</v>
      </c>
      <c r="T356">
        <v>5897.6600000000035</v>
      </c>
      <c r="U356">
        <v>0</v>
      </c>
      <c r="V356" s="2" t="s">
        <v>2056</v>
      </c>
      <c r="W356" s="2" t="s">
        <v>2062</v>
      </c>
      <c r="X356">
        <v>49147.208299999998</v>
      </c>
      <c r="Y356">
        <v>0.21499981772447244</v>
      </c>
      <c r="Z356" s="2" t="s">
        <v>2061</v>
      </c>
    </row>
    <row r="357" spans="1:26" x14ac:dyDescent="0.3">
      <c r="A357" s="2" t="s">
        <v>756</v>
      </c>
      <c r="B357" s="1">
        <v>44553</v>
      </c>
      <c r="C357" s="2" t="s">
        <v>757</v>
      </c>
      <c r="D357" s="2" t="s">
        <v>65</v>
      </c>
      <c r="E357">
        <v>20440</v>
      </c>
      <c r="F357">
        <v>9.1999999999999993</v>
      </c>
      <c r="G357">
        <v>36</v>
      </c>
      <c r="H357" s="2" t="s">
        <v>19</v>
      </c>
      <c r="I357" s="2" t="s">
        <v>20</v>
      </c>
      <c r="J357" s="2" t="s">
        <v>28</v>
      </c>
      <c r="K357">
        <v>144894</v>
      </c>
      <c r="L357" s="2" t="s">
        <v>33</v>
      </c>
      <c r="M357">
        <v>0.44</v>
      </c>
      <c r="N357">
        <v>0.55000000000000004</v>
      </c>
      <c r="O357">
        <v>22320.48</v>
      </c>
      <c r="P357">
        <v>0</v>
      </c>
      <c r="Q357">
        <v>50</v>
      </c>
      <c r="R357">
        <v>5641.44</v>
      </c>
      <c r="S357">
        <v>26081.439999999999</v>
      </c>
      <c r="T357">
        <v>1880.4799999999996</v>
      </c>
      <c r="U357">
        <v>0</v>
      </c>
      <c r="V357" s="2" t="s">
        <v>2056</v>
      </c>
      <c r="W357" s="2" t="s">
        <v>2057</v>
      </c>
      <c r="X357">
        <v>15670.6667</v>
      </c>
      <c r="Y357">
        <v>9.1999999999999985E-2</v>
      </c>
      <c r="Z357" s="2" t="s">
        <v>2058</v>
      </c>
    </row>
    <row r="358" spans="1:26" x14ac:dyDescent="0.3">
      <c r="A358" s="2" t="s">
        <v>758</v>
      </c>
      <c r="B358" s="1">
        <v>44219</v>
      </c>
      <c r="C358" s="2" t="s">
        <v>759</v>
      </c>
      <c r="D358" s="2" t="s">
        <v>56</v>
      </c>
      <c r="E358">
        <v>18175</v>
      </c>
      <c r="F358">
        <v>12.6</v>
      </c>
      <c r="G358">
        <v>60</v>
      </c>
      <c r="H358" s="2" t="s">
        <v>19</v>
      </c>
      <c r="I358" s="2" t="s">
        <v>20</v>
      </c>
      <c r="J358" s="2" t="s">
        <v>32</v>
      </c>
      <c r="K358">
        <v>116795</v>
      </c>
      <c r="L358" s="2" t="s">
        <v>33</v>
      </c>
      <c r="M358">
        <v>0.34</v>
      </c>
      <c r="N358">
        <v>0.94</v>
      </c>
      <c r="O358">
        <v>20465.05</v>
      </c>
      <c r="P358">
        <v>0</v>
      </c>
      <c r="Q358">
        <v>61</v>
      </c>
      <c r="R358">
        <v>11450.25</v>
      </c>
      <c r="S358">
        <v>29625.25</v>
      </c>
      <c r="T358">
        <v>2290.0499999999993</v>
      </c>
      <c r="U358">
        <v>0</v>
      </c>
      <c r="V358" s="2" t="s">
        <v>2056</v>
      </c>
      <c r="W358" s="2" t="s">
        <v>2057</v>
      </c>
      <c r="X358">
        <v>19083.75</v>
      </c>
      <c r="Y358">
        <v>0.12599999999999997</v>
      </c>
      <c r="Z358" s="2" t="s">
        <v>2058</v>
      </c>
    </row>
    <row r="359" spans="1:26" x14ac:dyDescent="0.3">
      <c r="A359" s="2" t="s">
        <v>760</v>
      </c>
      <c r="B359" s="1">
        <v>44718</v>
      </c>
      <c r="C359" s="2" t="s">
        <v>761</v>
      </c>
      <c r="D359" s="2" t="s">
        <v>25</v>
      </c>
      <c r="E359">
        <v>27385</v>
      </c>
      <c r="F359">
        <v>24.5</v>
      </c>
      <c r="G359">
        <v>36</v>
      </c>
      <c r="H359" s="2" t="s">
        <v>26</v>
      </c>
      <c r="I359" s="2" t="s">
        <v>57</v>
      </c>
      <c r="J359" s="2" t="s">
        <v>32</v>
      </c>
      <c r="K359">
        <v>64087</v>
      </c>
      <c r="L359" s="2" t="s">
        <v>22</v>
      </c>
      <c r="M359">
        <v>0.38</v>
      </c>
      <c r="N359">
        <v>0.57999999999999996</v>
      </c>
      <c r="O359">
        <v>6334.16</v>
      </c>
      <c r="P359">
        <v>0</v>
      </c>
      <c r="Q359">
        <v>45</v>
      </c>
      <c r="R359">
        <v>20127.974999999999</v>
      </c>
      <c r="S359">
        <v>47512.974999999999</v>
      </c>
      <c r="T359">
        <v>-21050.84</v>
      </c>
      <c r="U359">
        <v>0</v>
      </c>
      <c r="V359" s="2" t="s">
        <v>2059</v>
      </c>
      <c r="W359" s="2" t="s">
        <v>2057</v>
      </c>
      <c r="X359">
        <v>55911.041700000002</v>
      </c>
      <c r="Y359">
        <v>-0.76869965309475996</v>
      </c>
      <c r="Z359" s="2" t="s">
        <v>2061</v>
      </c>
    </row>
    <row r="360" spans="1:26" x14ac:dyDescent="0.3">
      <c r="A360" s="2" t="s">
        <v>762</v>
      </c>
      <c r="B360" s="1">
        <v>44998</v>
      </c>
      <c r="C360" s="2" t="s">
        <v>763</v>
      </c>
      <c r="D360" s="2" t="s">
        <v>76</v>
      </c>
      <c r="E360">
        <v>39158</v>
      </c>
      <c r="F360">
        <v>11.7</v>
      </c>
      <c r="G360">
        <v>36</v>
      </c>
      <c r="H360" s="2" t="s">
        <v>26</v>
      </c>
      <c r="I360" s="2" t="s">
        <v>20</v>
      </c>
      <c r="J360" s="2" t="s">
        <v>37</v>
      </c>
      <c r="K360">
        <v>96677</v>
      </c>
      <c r="L360" s="2" t="s">
        <v>29</v>
      </c>
      <c r="M360">
        <v>0.25</v>
      </c>
      <c r="N360">
        <v>0.7</v>
      </c>
      <c r="O360">
        <v>18437.47</v>
      </c>
      <c r="P360">
        <v>0</v>
      </c>
      <c r="Q360">
        <v>36</v>
      </c>
      <c r="R360">
        <v>13744.457999999999</v>
      </c>
      <c r="S360">
        <v>52902.457999999999</v>
      </c>
      <c r="T360">
        <v>-20720.53</v>
      </c>
      <c r="U360">
        <v>0</v>
      </c>
      <c r="V360" s="2" t="s">
        <v>2059</v>
      </c>
      <c r="W360" s="2" t="s">
        <v>2057</v>
      </c>
      <c r="X360">
        <v>38179.050000000003</v>
      </c>
      <c r="Y360">
        <v>-0.52915189744113589</v>
      </c>
      <c r="Z360" s="2" t="s">
        <v>2061</v>
      </c>
    </row>
    <row r="361" spans="1:26" x14ac:dyDescent="0.3">
      <c r="A361" s="2" t="s">
        <v>764</v>
      </c>
      <c r="B361" s="1">
        <v>44958</v>
      </c>
      <c r="C361" s="2" t="s">
        <v>765</v>
      </c>
      <c r="D361" s="2" t="s">
        <v>46</v>
      </c>
      <c r="E361">
        <v>24019</v>
      </c>
      <c r="F361">
        <v>10.9</v>
      </c>
      <c r="G361">
        <v>36</v>
      </c>
      <c r="H361" s="2" t="s">
        <v>26</v>
      </c>
      <c r="I361" s="2" t="s">
        <v>20</v>
      </c>
      <c r="J361" s="2" t="s">
        <v>21</v>
      </c>
      <c r="K361">
        <v>34627</v>
      </c>
      <c r="L361" s="2" t="s">
        <v>22</v>
      </c>
      <c r="M361">
        <v>0.4</v>
      </c>
      <c r="N361">
        <v>0.72</v>
      </c>
      <c r="O361">
        <v>1328.11</v>
      </c>
      <c r="P361">
        <v>0</v>
      </c>
      <c r="Q361">
        <v>37</v>
      </c>
      <c r="R361">
        <v>7854.2129999999997</v>
      </c>
      <c r="S361">
        <v>31873.213</v>
      </c>
      <c r="T361">
        <v>-22690.89</v>
      </c>
      <c r="U361">
        <v>0</v>
      </c>
      <c r="V361" s="2" t="s">
        <v>2059</v>
      </c>
      <c r="W361" s="2" t="s">
        <v>2057</v>
      </c>
      <c r="X361">
        <v>21817.258300000001</v>
      </c>
      <c r="Y361">
        <v>-0.94470585786252548</v>
      </c>
      <c r="Z361" s="2" t="s">
        <v>2061</v>
      </c>
    </row>
    <row r="362" spans="1:26" x14ac:dyDescent="0.3">
      <c r="A362" s="2" t="s">
        <v>766</v>
      </c>
      <c r="B362" s="1">
        <v>44638</v>
      </c>
      <c r="C362" s="2" t="s">
        <v>767</v>
      </c>
      <c r="D362" s="2" t="s">
        <v>50</v>
      </c>
      <c r="E362">
        <v>19639</v>
      </c>
      <c r="F362">
        <v>23.4</v>
      </c>
      <c r="G362">
        <v>36</v>
      </c>
      <c r="H362" s="2" t="s">
        <v>19</v>
      </c>
      <c r="I362" s="2" t="s">
        <v>36</v>
      </c>
      <c r="J362" s="2" t="s">
        <v>47</v>
      </c>
      <c r="K362">
        <v>86541</v>
      </c>
      <c r="L362" s="2" t="s">
        <v>33</v>
      </c>
      <c r="M362">
        <v>0.37</v>
      </c>
      <c r="N362">
        <v>0.87</v>
      </c>
      <c r="O362">
        <v>24234.53</v>
      </c>
      <c r="P362">
        <v>0</v>
      </c>
      <c r="Q362">
        <v>48</v>
      </c>
      <c r="R362">
        <v>13786.578</v>
      </c>
      <c r="S362">
        <v>33425.578000000001</v>
      </c>
      <c r="T362">
        <v>4595.5299999999988</v>
      </c>
      <c r="U362">
        <v>0</v>
      </c>
      <c r="V362" s="2" t="s">
        <v>2056</v>
      </c>
      <c r="W362" s="2" t="s">
        <v>2062</v>
      </c>
      <c r="X362">
        <v>38296.050000000003</v>
      </c>
      <c r="Y362">
        <v>0.23400020367635821</v>
      </c>
      <c r="Z362" s="2" t="s">
        <v>2058</v>
      </c>
    </row>
    <row r="363" spans="1:26" x14ac:dyDescent="0.3">
      <c r="A363" s="2" t="s">
        <v>768</v>
      </c>
      <c r="B363" s="1">
        <v>44965</v>
      </c>
      <c r="C363" s="2" t="s">
        <v>769</v>
      </c>
      <c r="D363" s="2" t="s">
        <v>46</v>
      </c>
      <c r="E363">
        <v>20994</v>
      </c>
      <c r="F363">
        <v>7.2</v>
      </c>
      <c r="G363">
        <v>36</v>
      </c>
      <c r="H363" s="2" t="s">
        <v>19</v>
      </c>
      <c r="I363" s="2" t="s">
        <v>57</v>
      </c>
      <c r="J363" s="2" t="s">
        <v>28</v>
      </c>
      <c r="K363">
        <v>142805</v>
      </c>
      <c r="L363" s="2" t="s">
        <v>22</v>
      </c>
      <c r="M363">
        <v>0.15</v>
      </c>
      <c r="N363">
        <v>0.54</v>
      </c>
      <c r="O363">
        <v>22505.57</v>
      </c>
      <c r="P363">
        <v>0</v>
      </c>
      <c r="Q363">
        <v>37</v>
      </c>
      <c r="R363">
        <v>4534.7040000000006</v>
      </c>
      <c r="S363">
        <v>25528.704000000002</v>
      </c>
      <c r="T363">
        <v>1511.5699999999997</v>
      </c>
      <c r="U363">
        <v>0</v>
      </c>
      <c r="V363" s="2" t="s">
        <v>2056</v>
      </c>
      <c r="W363" s="2" t="s">
        <v>2057</v>
      </c>
      <c r="X363">
        <v>12596.400600000001</v>
      </c>
      <c r="Y363">
        <v>7.2000095265313882E-2</v>
      </c>
      <c r="Z363" s="2" t="s">
        <v>2061</v>
      </c>
    </row>
    <row r="364" spans="1:26" x14ac:dyDescent="0.3">
      <c r="A364" s="2" t="s">
        <v>770</v>
      </c>
      <c r="B364" s="1">
        <v>45212</v>
      </c>
      <c r="C364" s="2" t="s">
        <v>771</v>
      </c>
      <c r="D364" s="2" t="s">
        <v>25</v>
      </c>
      <c r="E364">
        <v>35375</v>
      </c>
      <c r="F364">
        <v>20.2</v>
      </c>
      <c r="G364">
        <v>60</v>
      </c>
      <c r="H364" s="2" t="s">
        <v>19</v>
      </c>
      <c r="I364" s="2" t="s">
        <v>57</v>
      </c>
      <c r="J364" s="2" t="s">
        <v>28</v>
      </c>
      <c r="K364">
        <v>98226</v>
      </c>
      <c r="L364" s="2" t="s">
        <v>29</v>
      </c>
      <c r="M364">
        <v>0.33</v>
      </c>
      <c r="N364">
        <v>0.69</v>
      </c>
      <c r="O364">
        <v>42520.75</v>
      </c>
      <c r="P364">
        <v>0</v>
      </c>
      <c r="Q364">
        <v>29</v>
      </c>
      <c r="R364">
        <v>35728.75</v>
      </c>
      <c r="S364">
        <v>71103.75</v>
      </c>
      <c r="T364">
        <v>7145.75</v>
      </c>
      <c r="U364">
        <v>0</v>
      </c>
      <c r="V364" s="2" t="s">
        <v>2056</v>
      </c>
      <c r="W364" s="2" t="s">
        <v>2057</v>
      </c>
      <c r="X364">
        <v>59547.916700000002</v>
      </c>
      <c r="Y364">
        <v>0.20200000000000001</v>
      </c>
      <c r="Z364" s="2" t="s">
        <v>2061</v>
      </c>
    </row>
    <row r="365" spans="1:26" x14ac:dyDescent="0.3">
      <c r="A365" s="2" t="s">
        <v>772</v>
      </c>
      <c r="B365" s="1">
        <v>44712</v>
      </c>
      <c r="C365" s="2" t="s">
        <v>773</v>
      </c>
      <c r="D365" s="2" t="s">
        <v>18</v>
      </c>
      <c r="E365">
        <v>22563</v>
      </c>
      <c r="F365">
        <v>24.8</v>
      </c>
      <c r="G365">
        <v>60</v>
      </c>
      <c r="H365" s="2" t="s">
        <v>19</v>
      </c>
      <c r="I365" s="2" t="s">
        <v>20</v>
      </c>
      <c r="J365" s="2" t="s">
        <v>28</v>
      </c>
      <c r="K365">
        <v>135627</v>
      </c>
      <c r="L365" s="2" t="s">
        <v>29</v>
      </c>
      <c r="M365">
        <v>0.2</v>
      </c>
      <c r="N365">
        <v>0.78</v>
      </c>
      <c r="O365">
        <v>28158.62</v>
      </c>
      <c r="P365">
        <v>0</v>
      </c>
      <c r="Q365">
        <v>45</v>
      </c>
      <c r="R365">
        <v>27978.12</v>
      </c>
      <c r="S365">
        <v>50541.119999999995</v>
      </c>
      <c r="T365">
        <v>5595.619999999999</v>
      </c>
      <c r="U365">
        <v>0</v>
      </c>
      <c r="V365" s="2" t="s">
        <v>2056</v>
      </c>
      <c r="W365" s="2" t="s">
        <v>2057</v>
      </c>
      <c r="X365">
        <v>46630.2</v>
      </c>
      <c r="Y365">
        <v>0.24799982271861007</v>
      </c>
      <c r="Z365" s="2" t="s">
        <v>2061</v>
      </c>
    </row>
    <row r="366" spans="1:26" x14ac:dyDescent="0.3">
      <c r="A366" s="2" t="s">
        <v>774</v>
      </c>
      <c r="B366" s="1">
        <v>45236</v>
      </c>
      <c r="C366" s="2" t="s">
        <v>775</v>
      </c>
      <c r="D366" s="2" t="s">
        <v>46</v>
      </c>
      <c r="E366">
        <v>6776</v>
      </c>
      <c r="F366">
        <v>23</v>
      </c>
      <c r="G366">
        <v>60</v>
      </c>
      <c r="H366" s="2" t="s">
        <v>19</v>
      </c>
      <c r="I366" s="2" t="s">
        <v>57</v>
      </c>
      <c r="J366" s="2" t="s">
        <v>28</v>
      </c>
      <c r="K366">
        <v>33255</v>
      </c>
      <c r="L366" s="2" t="s">
        <v>33</v>
      </c>
      <c r="M366">
        <v>0.42</v>
      </c>
      <c r="N366">
        <v>0.6</v>
      </c>
      <c r="O366">
        <v>8334.48</v>
      </c>
      <c r="P366">
        <v>0</v>
      </c>
      <c r="Q366">
        <v>28</v>
      </c>
      <c r="R366">
        <v>7792.4000000000005</v>
      </c>
      <c r="S366">
        <v>14568.400000000001</v>
      </c>
      <c r="T366">
        <v>1558.4799999999996</v>
      </c>
      <c r="U366">
        <v>0</v>
      </c>
      <c r="V366" s="2" t="s">
        <v>2056</v>
      </c>
      <c r="W366" s="2" t="s">
        <v>2057</v>
      </c>
      <c r="X366">
        <v>12987.3333</v>
      </c>
      <c r="Y366">
        <v>0.22999999999999993</v>
      </c>
      <c r="Z366" s="2" t="s">
        <v>2058</v>
      </c>
    </row>
    <row r="367" spans="1:26" x14ac:dyDescent="0.3">
      <c r="A367" s="2" t="s">
        <v>776</v>
      </c>
      <c r="B367" s="1">
        <v>44988</v>
      </c>
      <c r="C367" s="2" t="s">
        <v>777</v>
      </c>
      <c r="D367" s="2" t="s">
        <v>53</v>
      </c>
      <c r="E367">
        <v>37444</v>
      </c>
      <c r="F367">
        <v>18</v>
      </c>
      <c r="G367">
        <v>60</v>
      </c>
      <c r="H367" s="2" t="s">
        <v>26</v>
      </c>
      <c r="I367" s="2" t="s">
        <v>84</v>
      </c>
      <c r="J367" s="2" t="s">
        <v>47</v>
      </c>
      <c r="K367">
        <v>87433</v>
      </c>
      <c r="L367" s="2" t="s">
        <v>22</v>
      </c>
      <c r="M367">
        <v>0.27</v>
      </c>
      <c r="N367">
        <v>0.78</v>
      </c>
      <c r="O367">
        <v>11777.96</v>
      </c>
      <c r="P367">
        <v>0</v>
      </c>
      <c r="Q367">
        <v>36</v>
      </c>
      <c r="R367">
        <v>33699.599999999999</v>
      </c>
      <c r="S367">
        <v>71143.600000000006</v>
      </c>
      <c r="T367">
        <v>-25666.04</v>
      </c>
      <c r="U367">
        <v>0</v>
      </c>
      <c r="V367" s="2" t="s">
        <v>2059</v>
      </c>
      <c r="W367" s="2" t="s">
        <v>2062</v>
      </c>
      <c r="X367">
        <v>56166</v>
      </c>
      <c r="Y367">
        <v>-0.68545134066873203</v>
      </c>
      <c r="Z367" s="2" t="s">
        <v>2061</v>
      </c>
    </row>
    <row r="368" spans="1:26" x14ac:dyDescent="0.3">
      <c r="A368" s="2" t="s">
        <v>778</v>
      </c>
      <c r="B368" s="1">
        <v>44532</v>
      </c>
      <c r="C368" s="2" t="s">
        <v>779</v>
      </c>
      <c r="D368" s="2" t="s">
        <v>46</v>
      </c>
      <c r="E368">
        <v>4380</v>
      </c>
      <c r="F368">
        <v>11.3</v>
      </c>
      <c r="G368">
        <v>36</v>
      </c>
      <c r="H368" s="2" t="s">
        <v>19</v>
      </c>
      <c r="I368" s="2" t="s">
        <v>73</v>
      </c>
      <c r="J368" s="2" t="s">
        <v>47</v>
      </c>
      <c r="K368">
        <v>35213</v>
      </c>
      <c r="L368" s="2" t="s">
        <v>29</v>
      </c>
      <c r="M368">
        <v>0.5</v>
      </c>
      <c r="N368">
        <v>0.92</v>
      </c>
      <c r="O368">
        <v>4874.9399999999996</v>
      </c>
      <c r="P368">
        <v>0</v>
      </c>
      <c r="Q368">
        <v>51</v>
      </c>
      <c r="R368">
        <v>1484.82</v>
      </c>
      <c r="S368">
        <v>5864.82</v>
      </c>
      <c r="T368">
        <v>494.9399999999996</v>
      </c>
      <c r="U368">
        <v>0</v>
      </c>
      <c r="V368" s="2" t="s">
        <v>2056</v>
      </c>
      <c r="W368" s="2" t="s">
        <v>2064</v>
      </c>
      <c r="X368">
        <v>4124.5</v>
      </c>
      <c r="Y368">
        <v>0.11299999999999991</v>
      </c>
      <c r="Z368" s="2" t="s">
        <v>2058</v>
      </c>
    </row>
    <row r="369" spans="1:26" x14ac:dyDescent="0.3">
      <c r="A369" s="2" t="s">
        <v>780</v>
      </c>
      <c r="B369" s="1">
        <v>44454</v>
      </c>
      <c r="C369" s="2" t="s">
        <v>781</v>
      </c>
      <c r="D369" s="2" t="s">
        <v>65</v>
      </c>
      <c r="E369">
        <v>9711</v>
      </c>
      <c r="F369">
        <v>10.1</v>
      </c>
      <c r="G369">
        <v>36</v>
      </c>
      <c r="H369" s="2" t="s">
        <v>26</v>
      </c>
      <c r="I369" s="2" t="s">
        <v>27</v>
      </c>
      <c r="J369" s="2" t="s">
        <v>37</v>
      </c>
      <c r="K369">
        <v>132412</v>
      </c>
      <c r="L369" s="2" t="s">
        <v>22</v>
      </c>
      <c r="M369">
        <v>0.14000000000000001</v>
      </c>
      <c r="N369">
        <v>0.95</v>
      </c>
      <c r="O369">
        <v>2676.63</v>
      </c>
      <c r="P369">
        <v>0</v>
      </c>
      <c r="Q369">
        <v>54</v>
      </c>
      <c r="R369">
        <v>2942.4329999999995</v>
      </c>
      <c r="S369">
        <v>12653.432999999999</v>
      </c>
      <c r="T369">
        <v>-7034.37</v>
      </c>
      <c r="U369">
        <v>0</v>
      </c>
      <c r="V369" s="2" t="s">
        <v>2059</v>
      </c>
      <c r="W369" s="2" t="s">
        <v>2060</v>
      </c>
      <c r="X369">
        <v>8173.4250000000002</v>
      </c>
      <c r="Y369">
        <v>-0.72437133147976518</v>
      </c>
      <c r="Z369" s="2" t="s">
        <v>2058</v>
      </c>
    </row>
    <row r="370" spans="1:26" x14ac:dyDescent="0.3">
      <c r="A370" s="2" t="s">
        <v>782</v>
      </c>
      <c r="B370" s="1">
        <v>44693</v>
      </c>
      <c r="C370" s="2" t="s">
        <v>783</v>
      </c>
      <c r="D370" s="2" t="s">
        <v>53</v>
      </c>
      <c r="E370">
        <v>9782</v>
      </c>
      <c r="F370">
        <v>21.4</v>
      </c>
      <c r="G370">
        <v>36</v>
      </c>
      <c r="H370" s="2" t="s">
        <v>19</v>
      </c>
      <c r="I370" s="2" t="s">
        <v>57</v>
      </c>
      <c r="J370" s="2" t="s">
        <v>21</v>
      </c>
      <c r="K370">
        <v>49404</v>
      </c>
      <c r="L370" s="2" t="s">
        <v>29</v>
      </c>
      <c r="M370">
        <v>0.41</v>
      </c>
      <c r="N370">
        <v>0.51</v>
      </c>
      <c r="O370">
        <v>11875.35</v>
      </c>
      <c r="P370">
        <v>0</v>
      </c>
      <c r="Q370">
        <v>46</v>
      </c>
      <c r="R370">
        <v>6280.043999999999</v>
      </c>
      <c r="S370">
        <v>16062.043999999998</v>
      </c>
      <c r="T370">
        <v>2093.3500000000004</v>
      </c>
      <c r="U370">
        <v>0</v>
      </c>
      <c r="V370" s="2" t="s">
        <v>2056</v>
      </c>
      <c r="W370" s="2" t="s">
        <v>2057</v>
      </c>
      <c r="X370">
        <v>17444.566699999999</v>
      </c>
      <c r="Y370">
        <v>0.21400020445716625</v>
      </c>
      <c r="Z370" s="2" t="s">
        <v>2058</v>
      </c>
    </row>
    <row r="371" spans="1:26" x14ac:dyDescent="0.3">
      <c r="A371" s="2" t="s">
        <v>784</v>
      </c>
      <c r="B371" s="1">
        <v>45092</v>
      </c>
      <c r="C371" s="2" t="s">
        <v>785</v>
      </c>
      <c r="D371" s="2" t="s">
        <v>72</v>
      </c>
      <c r="E371">
        <v>18434</v>
      </c>
      <c r="F371">
        <v>22.6</v>
      </c>
      <c r="G371">
        <v>36</v>
      </c>
      <c r="H371" s="2" t="s">
        <v>19</v>
      </c>
      <c r="I371" s="2" t="s">
        <v>57</v>
      </c>
      <c r="J371" s="2" t="s">
        <v>47</v>
      </c>
      <c r="K371">
        <v>146545</v>
      </c>
      <c r="L371" s="2" t="s">
        <v>33</v>
      </c>
      <c r="M371">
        <v>0.37</v>
      </c>
      <c r="N371">
        <v>0.61</v>
      </c>
      <c r="O371">
        <v>22600.080000000002</v>
      </c>
      <c r="P371">
        <v>0</v>
      </c>
      <c r="Q371">
        <v>33</v>
      </c>
      <c r="R371">
        <v>12498.252</v>
      </c>
      <c r="S371">
        <v>30932.252</v>
      </c>
      <c r="T371">
        <v>4166.0800000000017</v>
      </c>
      <c r="U371">
        <v>0</v>
      </c>
      <c r="V371" s="2" t="s">
        <v>2056</v>
      </c>
      <c r="W371" s="2" t="s">
        <v>2057</v>
      </c>
      <c r="X371">
        <v>34717.366699999999</v>
      </c>
      <c r="Y371">
        <v>0.22599978300965617</v>
      </c>
      <c r="Z371" s="2" t="s">
        <v>2061</v>
      </c>
    </row>
    <row r="372" spans="1:26" x14ac:dyDescent="0.3">
      <c r="A372" s="2" t="s">
        <v>786</v>
      </c>
      <c r="B372" s="1">
        <v>44356</v>
      </c>
      <c r="C372" s="2" t="s">
        <v>787</v>
      </c>
      <c r="D372" s="2" t="s">
        <v>46</v>
      </c>
      <c r="E372">
        <v>21017</v>
      </c>
      <c r="F372">
        <v>15.5</v>
      </c>
      <c r="G372">
        <v>36</v>
      </c>
      <c r="H372" s="2" t="s">
        <v>19</v>
      </c>
      <c r="I372" s="2" t="s">
        <v>73</v>
      </c>
      <c r="J372" s="2" t="s">
        <v>37</v>
      </c>
      <c r="K372">
        <v>55380</v>
      </c>
      <c r="L372" s="2" t="s">
        <v>33</v>
      </c>
      <c r="M372">
        <v>0.41</v>
      </c>
      <c r="N372">
        <v>0.64</v>
      </c>
      <c r="O372">
        <v>24274.639999999999</v>
      </c>
      <c r="P372">
        <v>0</v>
      </c>
      <c r="Q372">
        <v>57</v>
      </c>
      <c r="R372">
        <v>9772.9050000000007</v>
      </c>
      <c r="S372">
        <v>30789.904999999999</v>
      </c>
      <c r="T372">
        <v>3257.6399999999994</v>
      </c>
      <c r="U372">
        <v>0</v>
      </c>
      <c r="V372" s="2" t="s">
        <v>2056</v>
      </c>
      <c r="W372" s="2" t="s">
        <v>2064</v>
      </c>
      <c r="X372">
        <v>27146.958299999998</v>
      </c>
      <c r="Y372">
        <v>0.15500023790265022</v>
      </c>
      <c r="Z372" s="2" t="s">
        <v>2058</v>
      </c>
    </row>
    <row r="373" spans="1:26" x14ac:dyDescent="0.3">
      <c r="A373" s="2" t="s">
        <v>788</v>
      </c>
      <c r="B373" s="1">
        <v>45048</v>
      </c>
      <c r="C373" s="2" t="s">
        <v>789</v>
      </c>
      <c r="D373" s="2" t="s">
        <v>53</v>
      </c>
      <c r="E373">
        <v>31707</v>
      </c>
      <c r="F373">
        <v>9.9</v>
      </c>
      <c r="G373">
        <v>60</v>
      </c>
      <c r="H373" s="2" t="s">
        <v>81</v>
      </c>
      <c r="I373" s="2" t="s">
        <v>57</v>
      </c>
      <c r="J373" s="2" t="s">
        <v>32</v>
      </c>
      <c r="K373">
        <v>121056</v>
      </c>
      <c r="L373" s="2" t="s">
        <v>22</v>
      </c>
      <c r="M373">
        <v>0.22</v>
      </c>
      <c r="N373">
        <v>0.68</v>
      </c>
      <c r="O373">
        <v>11478.42</v>
      </c>
      <c r="P373">
        <v>11714.89</v>
      </c>
      <c r="Q373">
        <v>34</v>
      </c>
      <c r="R373">
        <v>15694.964999999998</v>
      </c>
      <c r="S373">
        <v>47401.964999999997</v>
      </c>
      <c r="T373">
        <v>-8513.6900000000023</v>
      </c>
      <c r="U373">
        <v>1</v>
      </c>
      <c r="V373" s="2" t="s">
        <v>2063</v>
      </c>
      <c r="W373" s="2" t="s">
        <v>2057</v>
      </c>
      <c r="X373">
        <v>26158.275000000001</v>
      </c>
      <c r="Y373">
        <v>-0.26851136972908196</v>
      </c>
      <c r="Z373" s="2" t="s">
        <v>2061</v>
      </c>
    </row>
    <row r="374" spans="1:26" x14ac:dyDescent="0.3">
      <c r="A374" s="2" t="s">
        <v>790</v>
      </c>
      <c r="B374" s="1">
        <v>44886</v>
      </c>
      <c r="C374" s="2" t="s">
        <v>791</v>
      </c>
      <c r="D374" s="2" t="s">
        <v>25</v>
      </c>
      <c r="E374">
        <v>18343</v>
      </c>
      <c r="F374">
        <v>7.3</v>
      </c>
      <c r="G374">
        <v>60</v>
      </c>
      <c r="H374" s="2" t="s">
        <v>19</v>
      </c>
      <c r="I374" s="2" t="s">
        <v>84</v>
      </c>
      <c r="J374" s="2" t="s">
        <v>21</v>
      </c>
      <c r="K374">
        <v>49173</v>
      </c>
      <c r="L374" s="2" t="s">
        <v>33</v>
      </c>
      <c r="M374">
        <v>0.3</v>
      </c>
      <c r="N374">
        <v>0.61</v>
      </c>
      <c r="O374">
        <v>19682.04</v>
      </c>
      <c r="P374">
        <v>0</v>
      </c>
      <c r="Q374">
        <v>39</v>
      </c>
      <c r="R374">
        <v>6695.1949999999997</v>
      </c>
      <c r="S374">
        <v>25038.195</v>
      </c>
      <c r="T374">
        <v>1339.0400000000009</v>
      </c>
      <c r="U374">
        <v>0</v>
      </c>
      <c r="V374" s="2" t="s">
        <v>2056</v>
      </c>
      <c r="W374" s="2" t="s">
        <v>2062</v>
      </c>
      <c r="X374">
        <v>11158.658299999999</v>
      </c>
      <c r="Y374">
        <v>7.300005451670942E-2</v>
      </c>
      <c r="Z374" s="2" t="s">
        <v>2061</v>
      </c>
    </row>
    <row r="375" spans="1:26" x14ac:dyDescent="0.3">
      <c r="A375" s="2" t="s">
        <v>792</v>
      </c>
      <c r="B375" s="1">
        <v>44576</v>
      </c>
      <c r="C375" s="2" t="s">
        <v>793</v>
      </c>
      <c r="D375" s="2" t="s">
        <v>50</v>
      </c>
      <c r="E375">
        <v>39827</v>
      </c>
      <c r="F375">
        <v>6.7</v>
      </c>
      <c r="G375">
        <v>36</v>
      </c>
      <c r="H375" s="2" t="s">
        <v>26</v>
      </c>
      <c r="I375" s="2" t="s">
        <v>57</v>
      </c>
      <c r="J375" s="2" t="s">
        <v>47</v>
      </c>
      <c r="K375">
        <v>83027</v>
      </c>
      <c r="L375" s="2" t="s">
        <v>29</v>
      </c>
      <c r="M375">
        <v>0.42</v>
      </c>
      <c r="N375">
        <v>0.59</v>
      </c>
      <c r="O375">
        <v>3496.84</v>
      </c>
      <c r="P375">
        <v>0</v>
      </c>
      <c r="Q375">
        <v>50</v>
      </c>
      <c r="R375">
        <v>8005.2269999999999</v>
      </c>
      <c r="S375">
        <v>47832.226999999999</v>
      </c>
      <c r="T375">
        <v>-36330.160000000003</v>
      </c>
      <c r="U375">
        <v>0</v>
      </c>
      <c r="V375" s="2" t="s">
        <v>2059</v>
      </c>
      <c r="W375" s="2" t="s">
        <v>2057</v>
      </c>
      <c r="X375">
        <v>22236.744200000001</v>
      </c>
      <c r="Y375">
        <v>-0.9121992618073167</v>
      </c>
      <c r="Z375" s="2" t="s">
        <v>2058</v>
      </c>
    </row>
    <row r="376" spans="1:26" x14ac:dyDescent="0.3">
      <c r="A376" s="2" t="s">
        <v>794</v>
      </c>
      <c r="B376" s="1">
        <v>45153</v>
      </c>
      <c r="C376" s="2" t="s">
        <v>795</v>
      </c>
      <c r="D376" s="2" t="s">
        <v>72</v>
      </c>
      <c r="E376">
        <v>6655</v>
      </c>
      <c r="F376">
        <v>19.399999999999999</v>
      </c>
      <c r="G376">
        <v>36</v>
      </c>
      <c r="H376" s="2" t="s">
        <v>19</v>
      </c>
      <c r="I376" s="2" t="s">
        <v>27</v>
      </c>
      <c r="J376" s="2" t="s">
        <v>32</v>
      </c>
      <c r="K376">
        <v>53989</v>
      </c>
      <c r="L376" s="2" t="s">
        <v>33</v>
      </c>
      <c r="M376">
        <v>0.19</v>
      </c>
      <c r="N376">
        <v>0.93</v>
      </c>
      <c r="O376">
        <v>7946.07</v>
      </c>
      <c r="P376">
        <v>0</v>
      </c>
      <c r="Q376">
        <v>31</v>
      </c>
      <c r="R376">
        <v>3873.2099999999996</v>
      </c>
      <c r="S376">
        <v>10528.21</v>
      </c>
      <c r="T376">
        <v>1291.0699999999997</v>
      </c>
      <c r="U376">
        <v>0</v>
      </c>
      <c r="V376" s="2" t="s">
        <v>2056</v>
      </c>
      <c r="W376" s="2" t="s">
        <v>2060</v>
      </c>
      <c r="X376">
        <v>10758.9167</v>
      </c>
      <c r="Y376">
        <v>0.19399999999999995</v>
      </c>
      <c r="Z376" s="2" t="s">
        <v>2058</v>
      </c>
    </row>
    <row r="377" spans="1:26" x14ac:dyDescent="0.3">
      <c r="A377" s="2" t="s">
        <v>796</v>
      </c>
      <c r="B377" s="1">
        <v>44887</v>
      </c>
      <c r="C377" s="2" t="s">
        <v>797</v>
      </c>
      <c r="D377" s="2" t="s">
        <v>76</v>
      </c>
      <c r="E377">
        <v>16251</v>
      </c>
      <c r="F377">
        <v>13.4</v>
      </c>
      <c r="G377">
        <v>36</v>
      </c>
      <c r="H377" s="2" t="s">
        <v>81</v>
      </c>
      <c r="I377" s="2" t="s">
        <v>20</v>
      </c>
      <c r="J377" s="2" t="s">
        <v>37</v>
      </c>
      <c r="K377">
        <v>138106</v>
      </c>
      <c r="L377" s="2" t="s">
        <v>29</v>
      </c>
      <c r="M377">
        <v>0.19</v>
      </c>
      <c r="N377">
        <v>0.91</v>
      </c>
      <c r="O377">
        <v>4947.74</v>
      </c>
      <c r="P377">
        <v>1644.69</v>
      </c>
      <c r="Q377">
        <v>39</v>
      </c>
      <c r="R377">
        <v>6532.9019999999991</v>
      </c>
      <c r="S377">
        <v>22783.901999999998</v>
      </c>
      <c r="T377">
        <v>-9658.57</v>
      </c>
      <c r="U377">
        <v>1</v>
      </c>
      <c r="V377" s="2" t="s">
        <v>2063</v>
      </c>
      <c r="W377" s="2" t="s">
        <v>2057</v>
      </c>
      <c r="X377">
        <v>18146.95</v>
      </c>
      <c r="Y377">
        <v>-0.59433696387914592</v>
      </c>
      <c r="Z377" s="2" t="s">
        <v>2058</v>
      </c>
    </row>
    <row r="378" spans="1:26" x14ac:dyDescent="0.3">
      <c r="A378" s="2" t="s">
        <v>798</v>
      </c>
      <c r="B378" s="1">
        <v>45263</v>
      </c>
      <c r="C378" s="2" t="s">
        <v>799</v>
      </c>
      <c r="D378" s="2" t="s">
        <v>76</v>
      </c>
      <c r="E378">
        <v>1526</v>
      </c>
      <c r="F378">
        <v>23.1</v>
      </c>
      <c r="G378">
        <v>60</v>
      </c>
      <c r="H378" s="2" t="s">
        <v>26</v>
      </c>
      <c r="I378" s="2" t="s">
        <v>27</v>
      </c>
      <c r="J378" s="2" t="s">
        <v>47</v>
      </c>
      <c r="K378">
        <v>54519</v>
      </c>
      <c r="L378" s="2" t="s">
        <v>29</v>
      </c>
      <c r="M378">
        <v>0.32</v>
      </c>
      <c r="N378">
        <v>0.52</v>
      </c>
      <c r="O378">
        <v>543.33000000000004</v>
      </c>
      <c r="P378">
        <v>0</v>
      </c>
      <c r="Q378">
        <v>27</v>
      </c>
      <c r="R378">
        <v>1762.5299999999997</v>
      </c>
      <c r="S378">
        <v>3288.5299999999997</v>
      </c>
      <c r="T378">
        <v>-982.67</v>
      </c>
      <c r="U378">
        <v>0</v>
      </c>
      <c r="V378" s="2" t="s">
        <v>2059</v>
      </c>
      <c r="W378" s="2" t="s">
        <v>2060</v>
      </c>
      <c r="X378">
        <v>2937.55</v>
      </c>
      <c r="Y378">
        <v>-0.6439515072083879</v>
      </c>
      <c r="Z378" s="2" t="s">
        <v>2061</v>
      </c>
    </row>
    <row r="379" spans="1:26" x14ac:dyDescent="0.3">
      <c r="A379" s="2" t="s">
        <v>800</v>
      </c>
      <c r="B379" s="1">
        <v>44481</v>
      </c>
      <c r="C379" s="2" t="s">
        <v>801</v>
      </c>
      <c r="D379" s="2" t="s">
        <v>56</v>
      </c>
      <c r="E379">
        <v>4224</v>
      </c>
      <c r="F379">
        <v>19.8</v>
      </c>
      <c r="G379">
        <v>36</v>
      </c>
      <c r="H379" s="2" t="s">
        <v>19</v>
      </c>
      <c r="I379" s="2" t="s">
        <v>36</v>
      </c>
      <c r="J379" s="2" t="s">
        <v>47</v>
      </c>
      <c r="K379">
        <v>52439</v>
      </c>
      <c r="L379" s="2" t="s">
        <v>33</v>
      </c>
      <c r="M379">
        <v>0.31</v>
      </c>
      <c r="N379">
        <v>0.65</v>
      </c>
      <c r="O379">
        <v>5060.3500000000004</v>
      </c>
      <c r="P379">
        <v>0</v>
      </c>
      <c r="Q379">
        <v>53</v>
      </c>
      <c r="R379">
        <v>2509.056</v>
      </c>
      <c r="S379">
        <v>6733.0560000000005</v>
      </c>
      <c r="T379">
        <v>836.35000000000036</v>
      </c>
      <c r="U379">
        <v>0</v>
      </c>
      <c r="V379" s="2" t="s">
        <v>2056</v>
      </c>
      <c r="W379" s="2" t="s">
        <v>2062</v>
      </c>
      <c r="X379">
        <v>6969.6</v>
      </c>
      <c r="Y379">
        <v>0.1979995265151516</v>
      </c>
      <c r="Z379" s="2" t="s">
        <v>2061</v>
      </c>
    </row>
    <row r="380" spans="1:26" x14ac:dyDescent="0.3">
      <c r="A380" s="2" t="s">
        <v>802</v>
      </c>
      <c r="B380" s="1">
        <v>44593</v>
      </c>
      <c r="C380" s="2" t="s">
        <v>803</v>
      </c>
      <c r="D380" s="2" t="s">
        <v>46</v>
      </c>
      <c r="E380">
        <v>12536</v>
      </c>
      <c r="F380">
        <v>8.8000000000000007</v>
      </c>
      <c r="G380">
        <v>36</v>
      </c>
      <c r="H380" s="2" t="s">
        <v>26</v>
      </c>
      <c r="I380" s="2" t="s">
        <v>73</v>
      </c>
      <c r="J380" s="2" t="s">
        <v>32</v>
      </c>
      <c r="K380">
        <v>148570</v>
      </c>
      <c r="L380" s="2" t="s">
        <v>29</v>
      </c>
      <c r="M380">
        <v>0.21</v>
      </c>
      <c r="N380">
        <v>0.68</v>
      </c>
      <c r="O380">
        <v>4401.21</v>
      </c>
      <c r="P380">
        <v>0</v>
      </c>
      <c r="Q380">
        <v>49</v>
      </c>
      <c r="R380">
        <v>3309.5040000000004</v>
      </c>
      <c r="S380">
        <v>15845.504000000001</v>
      </c>
      <c r="T380">
        <v>-8134.79</v>
      </c>
      <c r="U380">
        <v>0</v>
      </c>
      <c r="V380" s="2" t="s">
        <v>2059</v>
      </c>
      <c r="W380" s="2" t="s">
        <v>2064</v>
      </c>
      <c r="X380">
        <v>9193.0666999999994</v>
      </c>
      <c r="Y380">
        <v>-0.64891432673899174</v>
      </c>
      <c r="Z380" s="2" t="s">
        <v>2061</v>
      </c>
    </row>
    <row r="381" spans="1:26" x14ac:dyDescent="0.3">
      <c r="A381" s="2" t="s">
        <v>804</v>
      </c>
      <c r="B381" s="1">
        <v>44208</v>
      </c>
      <c r="C381" s="2" t="s">
        <v>805</v>
      </c>
      <c r="D381" s="2" t="s">
        <v>50</v>
      </c>
      <c r="E381">
        <v>29541</v>
      </c>
      <c r="F381">
        <v>17.3</v>
      </c>
      <c r="G381">
        <v>36</v>
      </c>
      <c r="H381" s="2" t="s">
        <v>19</v>
      </c>
      <c r="I381" s="2" t="s">
        <v>73</v>
      </c>
      <c r="J381" s="2" t="s">
        <v>47</v>
      </c>
      <c r="K381">
        <v>106949</v>
      </c>
      <c r="L381" s="2" t="s">
        <v>29</v>
      </c>
      <c r="M381">
        <v>0.22</v>
      </c>
      <c r="N381">
        <v>0.61</v>
      </c>
      <c r="O381">
        <v>34651.589999999997</v>
      </c>
      <c r="P381">
        <v>0</v>
      </c>
      <c r="Q381">
        <v>62</v>
      </c>
      <c r="R381">
        <v>15331.779000000002</v>
      </c>
      <c r="S381">
        <v>44872.779000000002</v>
      </c>
      <c r="T381">
        <v>5110.5899999999965</v>
      </c>
      <c r="U381">
        <v>0</v>
      </c>
      <c r="V381" s="2" t="s">
        <v>2056</v>
      </c>
      <c r="W381" s="2" t="s">
        <v>2064</v>
      </c>
      <c r="X381">
        <v>42588.275000000001</v>
      </c>
      <c r="Y381">
        <v>0.17299989844622715</v>
      </c>
      <c r="Z381" s="2" t="s">
        <v>2061</v>
      </c>
    </row>
    <row r="382" spans="1:26" x14ac:dyDescent="0.3">
      <c r="A382" s="2" t="s">
        <v>806</v>
      </c>
      <c r="B382" s="1">
        <v>44695</v>
      </c>
      <c r="C382" s="2" t="s">
        <v>807</v>
      </c>
      <c r="D382" s="2" t="s">
        <v>40</v>
      </c>
      <c r="E382">
        <v>14547</v>
      </c>
      <c r="F382">
        <v>13.7</v>
      </c>
      <c r="G382">
        <v>60</v>
      </c>
      <c r="H382" s="2" t="s">
        <v>81</v>
      </c>
      <c r="I382" s="2" t="s">
        <v>41</v>
      </c>
      <c r="J382" s="2" t="s">
        <v>28</v>
      </c>
      <c r="K382">
        <v>44995</v>
      </c>
      <c r="L382" s="2" t="s">
        <v>22</v>
      </c>
      <c r="M382">
        <v>0.21</v>
      </c>
      <c r="N382">
        <v>0.78</v>
      </c>
      <c r="O382">
        <v>5567.14</v>
      </c>
      <c r="P382">
        <v>1935.32</v>
      </c>
      <c r="Q382">
        <v>46</v>
      </c>
      <c r="R382">
        <v>9964.6949999999997</v>
      </c>
      <c r="S382">
        <v>24511.695</v>
      </c>
      <c r="T382">
        <v>-7044.54</v>
      </c>
      <c r="U382">
        <v>1</v>
      </c>
      <c r="V382" s="2" t="s">
        <v>2063</v>
      </c>
      <c r="W382" s="2" t="s">
        <v>2062</v>
      </c>
      <c r="X382">
        <v>16607.825000000001</v>
      </c>
      <c r="Y382">
        <v>-0.48426067230356773</v>
      </c>
      <c r="Z382" s="2" t="s">
        <v>2061</v>
      </c>
    </row>
    <row r="383" spans="1:26" x14ac:dyDescent="0.3">
      <c r="A383" s="2" t="s">
        <v>808</v>
      </c>
      <c r="B383" s="1">
        <v>44950</v>
      </c>
      <c r="C383" s="2" t="s">
        <v>809</v>
      </c>
      <c r="D383" s="2" t="s">
        <v>53</v>
      </c>
      <c r="E383">
        <v>35531</v>
      </c>
      <c r="F383">
        <v>16.5</v>
      </c>
      <c r="G383">
        <v>36</v>
      </c>
      <c r="H383" s="2" t="s">
        <v>19</v>
      </c>
      <c r="I383" s="2" t="s">
        <v>73</v>
      </c>
      <c r="J383" s="2" t="s">
        <v>47</v>
      </c>
      <c r="K383">
        <v>53559</v>
      </c>
      <c r="L383" s="2" t="s">
        <v>22</v>
      </c>
      <c r="M383">
        <v>0.41</v>
      </c>
      <c r="N383">
        <v>0.79</v>
      </c>
      <c r="O383">
        <v>41393.620000000003</v>
      </c>
      <c r="P383">
        <v>0</v>
      </c>
      <c r="Q383">
        <v>37</v>
      </c>
      <c r="R383">
        <v>17587.844999999998</v>
      </c>
      <c r="S383">
        <v>53118.845000000001</v>
      </c>
      <c r="T383">
        <v>5862.6200000000026</v>
      </c>
      <c r="U383">
        <v>0</v>
      </c>
      <c r="V383" s="2" t="s">
        <v>2056</v>
      </c>
      <c r="W383" s="2" t="s">
        <v>2064</v>
      </c>
      <c r="X383">
        <v>48855.125</v>
      </c>
      <c r="Y383">
        <v>0.16500014072218633</v>
      </c>
      <c r="Z383" s="2" t="s">
        <v>2058</v>
      </c>
    </row>
    <row r="384" spans="1:26" x14ac:dyDescent="0.3">
      <c r="A384" s="2" t="s">
        <v>810</v>
      </c>
      <c r="B384" s="1">
        <v>44231</v>
      </c>
      <c r="C384" s="2" t="s">
        <v>811</v>
      </c>
      <c r="D384" s="2" t="s">
        <v>72</v>
      </c>
      <c r="E384">
        <v>9712</v>
      </c>
      <c r="F384">
        <v>19.8</v>
      </c>
      <c r="G384">
        <v>60</v>
      </c>
      <c r="H384" s="2" t="s">
        <v>19</v>
      </c>
      <c r="I384" s="2" t="s">
        <v>57</v>
      </c>
      <c r="J384" s="2" t="s">
        <v>21</v>
      </c>
      <c r="K384">
        <v>140887</v>
      </c>
      <c r="L384" s="2" t="s">
        <v>22</v>
      </c>
      <c r="M384">
        <v>0.36</v>
      </c>
      <c r="N384">
        <v>0.88</v>
      </c>
      <c r="O384">
        <v>11634.98</v>
      </c>
      <c r="P384">
        <v>0</v>
      </c>
      <c r="Q384">
        <v>61</v>
      </c>
      <c r="R384">
        <v>9614.880000000001</v>
      </c>
      <c r="S384">
        <v>19326.88</v>
      </c>
      <c r="T384">
        <v>1922.9799999999996</v>
      </c>
      <c r="U384">
        <v>0</v>
      </c>
      <c r="V384" s="2" t="s">
        <v>2056</v>
      </c>
      <c r="W384" s="2" t="s">
        <v>2057</v>
      </c>
      <c r="X384">
        <v>16024.8</v>
      </c>
      <c r="Y384">
        <v>0.19800041186161446</v>
      </c>
      <c r="Z384" s="2" t="s">
        <v>2058</v>
      </c>
    </row>
    <row r="385" spans="1:26" x14ac:dyDescent="0.3">
      <c r="A385" s="2" t="s">
        <v>812</v>
      </c>
      <c r="B385" s="1">
        <v>44923</v>
      </c>
      <c r="C385" s="2" t="s">
        <v>813</v>
      </c>
      <c r="D385" s="2" t="s">
        <v>25</v>
      </c>
      <c r="E385">
        <v>39565</v>
      </c>
      <c r="F385">
        <v>21.1</v>
      </c>
      <c r="G385">
        <v>60</v>
      </c>
      <c r="H385" s="2" t="s">
        <v>26</v>
      </c>
      <c r="I385" s="2" t="s">
        <v>57</v>
      </c>
      <c r="J385" s="2" t="s">
        <v>32</v>
      </c>
      <c r="K385">
        <v>119049</v>
      </c>
      <c r="L385" s="2" t="s">
        <v>33</v>
      </c>
      <c r="M385">
        <v>0.43</v>
      </c>
      <c r="N385">
        <v>0.83</v>
      </c>
      <c r="O385">
        <v>16632.71</v>
      </c>
      <c r="P385">
        <v>0</v>
      </c>
      <c r="Q385">
        <v>38</v>
      </c>
      <c r="R385">
        <v>41741.075000000004</v>
      </c>
      <c r="S385">
        <v>81306.075000000012</v>
      </c>
      <c r="T385">
        <v>-22932.29</v>
      </c>
      <c r="U385">
        <v>0</v>
      </c>
      <c r="V385" s="2" t="s">
        <v>2059</v>
      </c>
      <c r="W385" s="2" t="s">
        <v>2057</v>
      </c>
      <c r="X385">
        <v>69568.458299999998</v>
      </c>
      <c r="Y385">
        <v>-0.57961051434348543</v>
      </c>
      <c r="Z385" s="2" t="s">
        <v>2058</v>
      </c>
    </row>
    <row r="386" spans="1:26" x14ac:dyDescent="0.3">
      <c r="A386" s="2" t="s">
        <v>814</v>
      </c>
      <c r="B386" s="1">
        <v>45045</v>
      </c>
      <c r="C386" s="2" t="s">
        <v>815</v>
      </c>
      <c r="D386" s="2" t="s">
        <v>46</v>
      </c>
      <c r="E386">
        <v>10208</v>
      </c>
      <c r="F386">
        <v>21.9</v>
      </c>
      <c r="G386">
        <v>60</v>
      </c>
      <c r="H386" s="2" t="s">
        <v>26</v>
      </c>
      <c r="I386" s="2" t="s">
        <v>27</v>
      </c>
      <c r="J386" s="2" t="s">
        <v>21</v>
      </c>
      <c r="K386">
        <v>35021</v>
      </c>
      <c r="L386" s="2" t="s">
        <v>22</v>
      </c>
      <c r="M386">
        <v>0.49</v>
      </c>
      <c r="N386">
        <v>0.74</v>
      </c>
      <c r="O386">
        <v>703.21</v>
      </c>
      <c r="P386">
        <v>0</v>
      </c>
      <c r="Q386">
        <v>34</v>
      </c>
      <c r="R386">
        <v>11177.76</v>
      </c>
      <c r="S386">
        <v>21385.760000000002</v>
      </c>
      <c r="T386">
        <v>-9504.7900000000009</v>
      </c>
      <c r="U386">
        <v>0</v>
      </c>
      <c r="V386" s="2" t="s">
        <v>2059</v>
      </c>
      <c r="W386" s="2" t="s">
        <v>2060</v>
      </c>
      <c r="X386">
        <v>18629.599999999999</v>
      </c>
      <c r="Y386">
        <v>-0.93111187304075249</v>
      </c>
      <c r="Z386" s="2" t="s">
        <v>2058</v>
      </c>
    </row>
    <row r="387" spans="1:26" x14ac:dyDescent="0.3">
      <c r="A387" s="2" t="s">
        <v>816</v>
      </c>
      <c r="B387" s="1">
        <v>44286</v>
      </c>
      <c r="C387" s="2" t="s">
        <v>817</v>
      </c>
      <c r="D387" s="2" t="s">
        <v>25</v>
      </c>
      <c r="E387">
        <v>6109</v>
      </c>
      <c r="F387">
        <v>10.1</v>
      </c>
      <c r="G387">
        <v>60</v>
      </c>
      <c r="H387" s="2" t="s">
        <v>19</v>
      </c>
      <c r="I387" s="2" t="s">
        <v>27</v>
      </c>
      <c r="J387" s="2" t="s">
        <v>37</v>
      </c>
      <c r="K387">
        <v>128000</v>
      </c>
      <c r="L387" s="2" t="s">
        <v>29</v>
      </c>
      <c r="M387">
        <v>0.28999999999999998</v>
      </c>
      <c r="N387">
        <v>0.79</v>
      </c>
      <c r="O387">
        <v>6726.01</v>
      </c>
      <c r="P387">
        <v>0</v>
      </c>
      <c r="Q387">
        <v>59</v>
      </c>
      <c r="R387">
        <v>3085.0450000000001</v>
      </c>
      <c r="S387">
        <v>9194.0450000000001</v>
      </c>
      <c r="T387">
        <v>617.01000000000022</v>
      </c>
      <c r="U387">
        <v>0</v>
      </c>
      <c r="V387" s="2" t="s">
        <v>2056</v>
      </c>
      <c r="W387" s="2" t="s">
        <v>2060</v>
      </c>
      <c r="X387">
        <v>5141.7416999999996</v>
      </c>
      <c r="Y387">
        <v>0.10100016369291213</v>
      </c>
      <c r="Z387" s="2" t="s">
        <v>2061</v>
      </c>
    </row>
    <row r="388" spans="1:26" x14ac:dyDescent="0.3">
      <c r="A388" s="2" t="s">
        <v>818</v>
      </c>
      <c r="B388" s="1">
        <v>44972</v>
      </c>
      <c r="C388" s="2" t="s">
        <v>819</v>
      </c>
      <c r="D388" s="2" t="s">
        <v>40</v>
      </c>
      <c r="E388">
        <v>36201</v>
      </c>
      <c r="F388">
        <v>5.6</v>
      </c>
      <c r="G388">
        <v>60</v>
      </c>
      <c r="H388" s="2" t="s">
        <v>26</v>
      </c>
      <c r="I388" s="2" t="s">
        <v>57</v>
      </c>
      <c r="J388" s="2" t="s">
        <v>21</v>
      </c>
      <c r="K388">
        <v>51119</v>
      </c>
      <c r="L388" s="2" t="s">
        <v>33</v>
      </c>
      <c r="M388">
        <v>0.13</v>
      </c>
      <c r="N388">
        <v>0.62</v>
      </c>
      <c r="O388">
        <v>9484.2000000000007</v>
      </c>
      <c r="P388">
        <v>0</v>
      </c>
      <c r="Q388">
        <v>37</v>
      </c>
      <c r="R388">
        <v>10136.279999999999</v>
      </c>
      <c r="S388">
        <v>46337.279999999999</v>
      </c>
      <c r="T388">
        <v>-26716.799999999999</v>
      </c>
      <c r="U388">
        <v>0</v>
      </c>
      <c r="V388" s="2" t="s">
        <v>2059</v>
      </c>
      <c r="W388" s="2" t="s">
        <v>2057</v>
      </c>
      <c r="X388">
        <v>16893.8</v>
      </c>
      <c r="Y388">
        <v>-0.73801276207839561</v>
      </c>
      <c r="Z388" s="2" t="s">
        <v>2061</v>
      </c>
    </row>
    <row r="389" spans="1:26" x14ac:dyDescent="0.3">
      <c r="A389" s="2" t="s">
        <v>820</v>
      </c>
      <c r="B389" s="1">
        <v>44801</v>
      </c>
      <c r="C389" s="2" t="s">
        <v>821</v>
      </c>
      <c r="D389" s="2" t="s">
        <v>56</v>
      </c>
      <c r="E389">
        <v>17967</v>
      </c>
      <c r="F389">
        <v>19.8</v>
      </c>
      <c r="G389">
        <v>60</v>
      </c>
      <c r="H389" s="2" t="s">
        <v>19</v>
      </c>
      <c r="I389" s="2" t="s">
        <v>57</v>
      </c>
      <c r="J389" s="2" t="s">
        <v>28</v>
      </c>
      <c r="K389">
        <v>81539</v>
      </c>
      <c r="L389" s="2" t="s">
        <v>33</v>
      </c>
      <c r="M389">
        <v>0.12</v>
      </c>
      <c r="N389">
        <v>0.77</v>
      </c>
      <c r="O389">
        <v>21524.47</v>
      </c>
      <c r="P389">
        <v>0</v>
      </c>
      <c r="Q389">
        <v>42</v>
      </c>
      <c r="R389">
        <v>17787.330000000002</v>
      </c>
      <c r="S389">
        <v>35754.33</v>
      </c>
      <c r="T389">
        <v>3557.4700000000012</v>
      </c>
      <c r="U389">
        <v>0</v>
      </c>
      <c r="V389" s="2" t="s">
        <v>2056</v>
      </c>
      <c r="W389" s="2" t="s">
        <v>2057</v>
      </c>
      <c r="X389">
        <v>29645.55</v>
      </c>
      <c r="Y389">
        <v>0.19800022263037798</v>
      </c>
      <c r="Z389" s="2" t="s">
        <v>2061</v>
      </c>
    </row>
    <row r="390" spans="1:26" x14ac:dyDescent="0.3">
      <c r="A390" s="2" t="s">
        <v>822</v>
      </c>
      <c r="B390" s="1">
        <v>45166</v>
      </c>
      <c r="C390" s="2" t="s">
        <v>823</v>
      </c>
      <c r="D390" s="2" t="s">
        <v>40</v>
      </c>
      <c r="E390">
        <v>30759</v>
      </c>
      <c r="F390">
        <v>7.1</v>
      </c>
      <c r="G390">
        <v>36</v>
      </c>
      <c r="H390" s="2" t="s">
        <v>19</v>
      </c>
      <c r="I390" s="2" t="s">
        <v>41</v>
      </c>
      <c r="J390" s="2" t="s">
        <v>28</v>
      </c>
      <c r="K390">
        <v>124835</v>
      </c>
      <c r="L390" s="2" t="s">
        <v>33</v>
      </c>
      <c r="M390">
        <v>0.22</v>
      </c>
      <c r="N390">
        <v>0.72</v>
      </c>
      <c r="O390">
        <v>32942.89</v>
      </c>
      <c r="P390">
        <v>0</v>
      </c>
      <c r="Q390">
        <v>30</v>
      </c>
      <c r="R390">
        <v>6551.6670000000004</v>
      </c>
      <c r="S390">
        <v>37310.667000000001</v>
      </c>
      <c r="T390">
        <v>2183.8899999999994</v>
      </c>
      <c r="U390">
        <v>0</v>
      </c>
      <c r="V390" s="2" t="s">
        <v>2056</v>
      </c>
      <c r="W390" s="2" t="s">
        <v>2062</v>
      </c>
      <c r="X390">
        <v>18199.076000000001</v>
      </c>
      <c r="Y390">
        <v>7.100003251080983E-2</v>
      </c>
      <c r="Z390" s="2" t="s">
        <v>2061</v>
      </c>
    </row>
    <row r="391" spans="1:26" x14ac:dyDescent="0.3">
      <c r="A391" s="2" t="s">
        <v>824</v>
      </c>
      <c r="B391" s="1">
        <v>45218</v>
      </c>
      <c r="C391" s="2" t="s">
        <v>825</v>
      </c>
      <c r="D391" s="2" t="s">
        <v>65</v>
      </c>
      <c r="E391">
        <v>21172</v>
      </c>
      <c r="F391">
        <v>11.3</v>
      </c>
      <c r="G391">
        <v>36</v>
      </c>
      <c r="H391" s="2" t="s">
        <v>26</v>
      </c>
      <c r="I391" s="2" t="s">
        <v>20</v>
      </c>
      <c r="J391" s="2" t="s">
        <v>21</v>
      </c>
      <c r="K391">
        <v>69350</v>
      </c>
      <c r="L391" s="2" t="s">
        <v>33</v>
      </c>
      <c r="M391">
        <v>0.47</v>
      </c>
      <c r="N391">
        <v>0.56000000000000005</v>
      </c>
      <c r="O391">
        <v>4850.0600000000004</v>
      </c>
      <c r="P391">
        <v>0</v>
      </c>
      <c r="Q391">
        <v>29</v>
      </c>
      <c r="R391">
        <v>7177.3080000000009</v>
      </c>
      <c r="S391">
        <v>28349.308000000001</v>
      </c>
      <c r="T391">
        <v>-16321.939999999999</v>
      </c>
      <c r="U391">
        <v>0</v>
      </c>
      <c r="V391" s="2" t="s">
        <v>2059</v>
      </c>
      <c r="W391" s="2" t="s">
        <v>2057</v>
      </c>
      <c r="X391">
        <v>19936.966700000001</v>
      </c>
      <c r="Y391">
        <v>-0.77092102777252969</v>
      </c>
      <c r="Z391" s="2" t="s">
        <v>2058</v>
      </c>
    </row>
    <row r="392" spans="1:26" x14ac:dyDescent="0.3">
      <c r="A392" s="2" t="s">
        <v>826</v>
      </c>
      <c r="B392" s="1">
        <v>44614</v>
      </c>
      <c r="C392" s="2" t="s">
        <v>827</v>
      </c>
      <c r="D392" s="2" t="s">
        <v>18</v>
      </c>
      <c r="E392">
        <v>37935</v>
      </c>
      <c r="F392">
        <v>5.0999999999999996</v>
      </c>
      <c r="G392">
        <v>36</v>
      </c>
      <c r="H392" s="2" t="s">
        <v>19</v>
      </c>
      <c r="I392" s="2" t="s">
        <v>57</v>
      </c>
      <c r="J392" s="2" t="s">
        <v>37</v>
      </c>
      <c r="K392">
        <v>76223</v>
      </c>
      <c r="L392" s="2" t="s">
        <v>29</v>
      </c>
      <c r="M392">
        <v>0.31</v>
      </c>
      <c r="N392">
        <v>0.61</v>
      </c>
      <c r="O392">
        <v>39869.68</v>
      </c>
      <c r="P392">
        <v>0</v>
      </c>
      <c r="Q392">
        <v>48</v>
      </c>
      <c r="R392">
        <v>5804.0550000000003</v>
      </c>
      <c r="S392">
        <v>43739.055</v>
      </c>
      <c r="T392">
        <v>1934.6800000000003</v>
      </c>
      <c r="U392">
        <v>0</v>
      </c>
      <c r="V392" s="2" t="s">
        <v>2056</v>
      </c>
      <c r="W392" s="2" t="s">
        <v>2057</v>
      </c>
      <c r="X392">
        <v>16122.4218</v>
      </c>
      <c r="Y392">
        <v>5.0999868195597743E-2</v>
      </c>
      <c r="Z392" s="2" t="s">
        <v>2061</v>
      </c>
    </row>
    <row r="393" spans="1:26" x14ac:dyDescent="0.3">
      <c r="A393" s="2" t="s">
        <v>828</v>
      </c>
      <c r="B393" s="1">
        <v>44311</v>
      </c>
      <c r="C393" s="2" t="s">
        <v>829</v>
      </c>
      <c r="D393" s="2" t="s">
        <v>72</v>
      </c>
      <c r="E393">
        <v>27589</v>
      </c>
      <c r="F393">
        <v>18.600000000000001</v>
      </c>
      <c r="G393">
        <v>60</v>
      </c>
      <c r="H393" s="2" t="s">
        <v>19</v>
      </c>
      <c r="I393" s="2" t="s">
        <v>20</v>
      </c>
      <c r="J393" s="2" t="s">
        <v>47</v>
      </c>
      <c r="K393">
        <v>55517</v>
      </c>
      <c r="L393" s="2" t="s">
        <v>29</v>
      </c>
      <c r="M393">
        <v>0.21</v>
      </c>
      <c r="N393">
        <v>0.63</v>
      </c>
      <c r="O393">
        <v>32720.55</v>
      </c>
      <c r="P393">
        <v>0</v>
      </c>
      <c r="Q393">
        <v>58</v>
      </c>
      <c r="R393">
        <v>25657.77</v>
      </c>
      <c r="S393">
        <v>53246.770000000004</v>
      </c>
      <c r="T393">
        <v>5131.5499999999993</v>
      </c>
      <c r="U393">
        <v>0</v>
      </c>
      <c r="V393" s="2" t="s">
        <v>2056</v>
      </c>
      <c r="W393" s="2" t="s">
        <v>2057</v>
      </c>
      <c r="X393">
        <v>42762.95</v>
      </c>
      <c r="Y393">
        <v>0.18599985501467975</v>
      </c>
      <c r="Z393" s="2" t="s">
        <v>2061</v>
      </c>
    </row>
    <row r="394" spans="1:26" x14ac:dyDescent="0.3">
      <c r="A394" s="2" t="s">
        <v>830</v>
      </c>
      <c r="B394" s="1">
        <v>44813</v>
      </c>
      <c r="C394" s="2" t="s">
        <v>831</v>
      </c>
      <c r="D394" s="2" t="s">
        <v>18</v>
      </c>
      <c r="E394">
        <v>31015</v>
      </c>
      <c r="F394">
        <v>8.3000000000000007</v>
      </c>
      <c r="G394">
        <v>36</v>
      </c>
      <c r="H394" s="2" t="s">
        <v>26</v>
      </c>
      <c r="I394" s="2" t="s">
        <v>84</v>
      </c>
      <c r="J394" s="2" t="s">
        <v>28</v>
      </c>
      <c r="K394">
        <v>108653</v>
      </c>
      <c r="L394" s="2" t="s">
        <v>22</v>
      </c>
      <c r="M394">
        <v>0.26</v>
      </c>
      <c r="N394">
        <v>0.92</v>
      </c>
      <c r="O394">
        <v>5879.4</v>
      </c>
      <c r="P394">
        <v>0</v>
      </c>
      <c r="Q394">
        <v>42</v>
      </c>
      <c r="R394">
        <v>7722.7350000000006</v>
      </c>
      <c r="S394">
        <v>38737.735000000001</v>
      </c>
      <c r="T394">
        <v>-25135.599999999999</v>
      </c>
      <c r="U394">
        <v>0</v>
      </c>
      <c r="V394" s="2" t="s">
        <v>2059</v>
      </c>
      <c r="W394" s="2" t="s">
        <v>2062</v>
      </c>
      <c r="X394">
        <v>21452.041799999999</v>
      </c>
      <c r="Y394">
        <v>-0.81043366113171045</v>
      </c>
      <c r="Z394" s="2" t="s">
        <v>2058</v>
      </c>
    </row>
    <row r="395" spans="1:26" x14ac:dyDescent="0.3">
      <c r="A395" s="2" t="s">
        <v>832</v>
      </c>
      <c r="B395" s="1">
        <v>45022</v>
      </c>
      <c r="C395" s="2" t="s">
        <v>833</v>
      </c>
      <c r="D395" s="2" t="s">
        <v>40</v>
      </c>
      <c r="E395">
        <v>30009</v>
      </c>
      <c r="F395">
        <v>18.100000000000001</v>
      </c>
      <c r="G395">
        <v>60</v>
      </c>
      <c r="H395" s="2" t="s">
        <v>19</v>
      </c>
      <c r="I395" s="2" t="s">
        <v>20</v>
      </c>
      <c r="J395" s="2" t="s">
        <v>21</v>
      </c>
      <c r="K395">
        <v>52250</v>
      </c>
      <c r="L395" s="2" t="s">
        <v>33</v>
      </c>
      <c r="M395">
        <v>0.34</v>
      </c>
      <c r="N395">
        <v>0.6</v>
      </c>
      <c r="O395">
        <v>35440.629999999997</v>
      </c>
      <c r="P395">
        <v>0</v>
      </c>
      <c r="Q395">
        <v>35</v>
      </c>
      <c r="R395">
        <v>27158.145</v>
      </c>
      <c r="S395">
        <v>57167.145000000004</v>
      </c>
      <c r="T395">
        <v>5431.6299999999974</v>
      </c>
      <c r="U395">
        <v>0</v>
      </c>
      <c r="V395" s="2" t="s">
        <v>2056</v>
      </c>
      <c r="W395" s="2" t="s">
        <v>2057</v>
      </c>
      <c r="X395">
        <v>45263.574999999997</v>
      </c>
      <c r="Y395">
        <v>0.18100003332333625</v>
      </c>
      <c r="Z395" s="2" t="s">
        <v>2061</v>
      </c>
    </row>
    <row r="396" spans="1:26" x14ac:dyDescent="0.3">
      <c r="A396" s="2" t="s">
        <v>834</v>
      </c>
      <c r="B396" s="1">
        <v>44609</v>
      </c>
      <c r="C396" s="2" t="s">
        <v>835</v>
      </c>
      <c r="D396" s="2" t="s">
        <v>56</v>
      </c>
      <c r="E396">
        <v>18773</v>
      </c>
      <c r="F396">
        <v>24.8</v>
      </c>
      <c r="G396">
        <v>60</v>
      </c>
      <c r="H396" s="2" t="s">
        <v>26</v>
      </c>
      <c r="I396" s="2" t="s">
        <v>27</v>
      </c>
      <c r="J396" s="2" t="s">
        <v>21</v>
      </c>
      <c r="K396">
        <v>114486</v>
      </c>
      <c r="L396" s="2" t="s">
        <v>22</v>
      </c>
      <c r="M396">
        <v>0.36</v>
      </c>
      <c r="N396">
        <v>0.63</v>
      </c>
      <c r="O396">
        <v>4751.47</v>
      </c>
      <c r="P396">
        <v>0</v>
      </c>
      <c r="Q396">
        <v>49</v>
      </c>
      <c r="R396">
        <v>23278.520000000004</v>
      </c>
      <c r="S396">
        <v>42051.520000000004</v>
      </c>
      <c r="T396">
        <v>-14021.529999999999</v>
      </c>
      <c r="U396">
        <v>0</v>
      </c>
      <c r="V396" s="2" t="s">
        <v>2059</v>
      </c>
      <c r="W396" s="2" t="s">
        <v>2060</v>
      </c>
      <c r="X396">
        <v>38797.533300000003</v>
      </c>
      <c r="Y396">
        <v>-0.74689873754860703</v>
      </c>
      <c r="Z396" s="2" t="s">
        <v>2061</v>
      </c>
    </row>
    <row r="397" spans="1:26" x14ac:dyDescent="0.3">
      <c r="A397" s="2" t="s">
        <v>836</v>
      </c>
      <c r="B397" s="1">
        <v>44925</v>
      </c>
      <c r="C397" s="2" t="s">
        <v>837</v>
      </c>
      <c r="D397" s="2" t="s">
        <v>56</v>
      </c>
      <c r="E397">
        <v>27143</v>
      </c>
      <c r="F397">
        <v>6.5</v>
      </c>
      <c r="G397">
        <v>60</v>
      </c>
      <c r="H397" s="2" t="s">
        <v>19</v>
      </c>
      <c r="I397" s="2" t="s">
        <v>20</v>
      </c>
      <c r="J397" s="2" t="s">
        <v>21</v>
      </c>
      <c r="K397">
        <v>112895</v>
      </c>
      <c r="L397" s="2" t="s">
        <v>29</v>
      </c>
      <c r="M397">
        <v>0.16</v>
      </c>
      <c r="N397">
        <v>0.67</v>
      </c>
      <c r="O397">
        <v>28907.3</v>
      </c>
      <c r="P397">
        <v>0</v>
      </c>
      <c r="Q397">
        <v>38</v>
      </c>
      <c r="R397">
        <v>8821.4750000000004</v>
      </c>
      <c r="S397">
        <v>35964.474999999999</v>
      </c>
      <c r="T397">
        <v>1764.2999999999993</v>
      </c>
      <c r="U397">
        <v>0</v>
      </c>
      <c r="V397" s="2" t="s">
        <v>2056</v>
      </c>
      <c r="W397" s="2" t="s">
        <v>2057</v>
      </c>
      <c r="X397">
        <v>14702.4583</v>
      </c>
      <c r="Y397">
        <v>6.5000184209556763E-2</v>
      </c>
      <c r="Z397" s="2" t="s">
        <v>2061</v>
      </c>
    </row>
    <row r="398" spans="1:26" x14ac:dyDescent="0.3">
      <c r="A398" s="2" t="s">
        <v>838</v>
      </c>
      <c r="B398" s="1">
        <v>45217</v>
      </c>
      <c r="C398" s="2" t="s">
        <v>839</v>
      </c>
      <c r="D398" s="2" t="s">
        <v>76</v>
      </c>
      <c r="E398">
        <v>7154</v>
      </c>
      <c r="F398">
        <v>6.5</v>
      </c>
      <c r="G398">
        <v>36</v>
      </c>
      <c r="H398" s="2" t="s">
        <v>19</v>
      </c>
      <c r="I398" s="2" t="s">
        <v>27</v>
      </c>
      <c r="J398" s="2" t="s">
        <v>47</v>
      </c>
      <c r="K398">
        <v>119132</v>
      </c>
      <c r="L398" s="2" t="s">
        <v>33</v>
      </c>
      <c r="M398">
        <v>0.49</v>
      </c>
      <c r="N398">
        <v>0.8</v>
      </c>
      <c r="O398">
        <v>7619.01</v>
      </c>
      <c r="P398">
        <v>0</v>
      </c>
      <c r="Q398">
        <v>29</v>
      </c>
      <c r="R398">
        <v>1395.03</v>
      </c>
      <c r="S398">
        <v>8549.0300000000007</v>
      </c>
      <c r="T398">
        <v>465.01000000000022</v>
      </c>
      <c r="U398">
        <v>0</v>
      </c>
      <c r="V398" s="2" t="s">
        <v>2056</v>
      </c>
      <c r="W398" s="2" t="s">
        <v>2060</v>
      </c>
      <c r="X398">
        <v>3875.0839999999998</v>
      </c>
      <c r="Y398">
        <v>6.500000000000003E-2</v>
      </c>
      <c r="Z398" s="2" t="s">
        <v>2058</v>
      </c>
    </row>
    <row r="399" spans="1:26" x14ac:dyDescent="0.3">
      <c r="A399" s="2" t="s">
        <v>840</v>
      </c>
      <c r="B399" s="1">
        <v>44957</v>
      </c>
      <c r="C399" s="2" t="s">
        <v>841</v>
      </c>
      <c r="D399" s="2" t="s">
        <v>46</v>
      </c>
      <c r="E399">
        <v>22804</v>
      </c>
      <c r="F399">
        <v>11.8</v>
      </c>
      <c r="G399">
        <v>60</v>
      </c>
      <c r="H399" s="2" t="s">
        <v>19</v>
      </c>
      <c r="I399" s="2" t="s">
        <v>84</v>
      </c>
      <c r="J399" s="2" t="s">
        <v>32</v>
      </c>
      <c r="K399">
        <v>121066</v>
      </c>
      <c r="L399" s="2" t="s">
        <v>29</v>
      </c>
      <c r="M399">
        <v>0.32</v>
      </c>
      <c r="N399">
        <v>0.55000000000000004</v>
      </c>
      <c r="O399">
        <v>25494.87</v>
      </c>
      <c r="P399">
        <v>0</v>
      </c>
      <c r="Q399">
        <v>37</v>
      </c>
      <c r="R399">
        <v>13454.36</v>
      </c>
      <c r="S399">
        <v>36258.36</v>
      </c>
      <c r="T399">
        <v>2690.869999999999</v>
      </c>
      <c r="U399">
        <v>0</v>
      </c>
      <c r="V399" s="2" t="s">
        <v>2056</v>
      </c>
      <c r="W399" s="2" t="s">
        <v>2062</v>
      </c>
      <c r="X399">
        <v>22423.933300000001</v>
      </c>
      <c r="Y399">
        <v>0.11799991229608836</v>
      </c>
      <c r="Z399" s="2" t="s">
        <v>2061</v>
      </c>
    </row>
    <row r="400" spans="1:26" x14ac:dyDescent="0.3">
      <c r="A400" s="2" t="s">
        <v>842</v>
      </c>
      <c r="B400" s="1">
        <v>44872</v>
      </c>
      <c r="C400" s="2" t="s">
        <v>843</v>
      </c>
      <c r="D400" s="2" t="s">
        <v>76</v>
      </c>
      <c r="E400">
        <v>21581</v>
      </c>
      <c r="F400">
        <v>22.3</v>
      </c>
      <c r="G400">
        <v>60</v>
      </c>
      <c r="H400" s="2" t="s">
        <v>26</v>
      </c>
      <c r="I400" s="2" t="s">
        <v>57</v>
      </c>
      <c r="J400" s="2" t="s">
        <v>37</v>
      </c>
      <c r="K400">
        <v>96798</v>
      </c>
      <c r="L400" s="2" t="s">
        <v>22</v>
      </c>
      <c r="M400">
        <v>0.15</v>
      </c>
      <c r="N400">
        <v>0.93</v>
      </c>
      <c r="O400">
        <v>4810.13</v>
      </c>
      <c r="P400">
        <v>0</v>
      </c>
      <c r="Q400">
        <v>40</v>
      </c>
      <c r="R400">
        <v>24062.815000000002</v>
      </c>
      <c r="S400">
        <v>45643.815000000002</v>
      </c>
      <c r="T400">
        <v>-16770.87</v>
      </c>
      <c r="U400">
        <v>0</v>
      </c>
      <c r="V400" s="2" t="s">
        <v>2059</v>
      </c>
      <c r="W400" s="2" t="s">
        <v>2057</v>
      </c>
      <c r="X400">
        <v>40104.691700000003</v>
      </c>
      <c r="Y400">
        <v>-0.77711273805662384</v>
      </c>
      <c r="Z400" s="2" t="s">
        <v>2058</v>
      </c>
    </row>
    <row r="401" spans="1:26" x14ac:dyDescent="0.3">
      <c r="A401" s="2" t="s">
        <v>844</v>
      </c>
      <c r="B401" s="1">
        <v>44653</v>
      </c>
      <c r="C401" s="2" t="s">
        <v>845</v>
      </c>
      <c r="D401" s="2" t="s">
        <v>72</v>
      </c>
      <c r="E401">
        <v>31087</v>
      </c>
      <c r="F401">
        <v>9.3000000000000007</v>
      </c>
      <c r="G401">
        <v>36</v>
      </c>
      <c r="H401" s="2" t="s">
        <v>26</v>
      </c>
      <c r="I401" s="2" t="s">
        <v>73</v>
      </c>
      <c r="J401" s="2" t="s">
        <v>32</v>
      </c>
      <c r="K401">
        <v>84199</v>
      </c>
      <c r="L401" s="2" t="s">
        <v>29</v>
      </c>
      <c r="M401">
        <v>0.46</v>
      </c>
      <c r="N401">
        <v>0.89</v>
      </c>
      <c r="O401">
        <v>7602.33</v>
      </c>
      <c r="P401">
        <v>0</v>
      </c>
      <c r="Q401">
        <v>47</v>
      </c>
      <c r="R401">
        <v>8673.273000000001</v>
      </c>
      <c r="S401">
        <v>39760.273000000001</v>
      </c>
      <c r="T401">
        <v>-23484.67</v>
      </c>
      <c r="U401">
        <v>0</v>
      </c>
      <c r="V401" s="2" t="s">
        <v>2059</v>
      </c>
      <c r="W401" s="2" t="s">
        <v>2064</v>
      </c>
      <c r="X401">
        <v>24092.424999999999</v>
      </c>
      <c r="Y401">
        <v>-0.75544986650368318</v>
      </c>
      <c r="Z401" s="2" t="s">
        <v>2058</v>
      </c>
    </row>
    <row r="402" spans="1:26" x14ac:dyDescent="0.3">
      <c r="A402" s="2" t="s">
        <v>846</v>
      </c>
      <c r="B402" s="1">
        <v>45116</v>
      </c>
      <c r="C402" s="2" t="s">
        <v>847</v>
      </c>
      <c r="D402" s="2" t="s">
        <v>72</v>
      </c>
      <c r="E402">
        <v>33981</v>
      </c>
      <c r="F402">
        <v>12.2</v>
      </c>
      <c r="G402">
        <v>36</v>
      </c>
      <c r="H402" s="2" t="s">
        <v>19</v>
      </c>
      <c r="I402" s="2" t="s">
        <v>57</v>
      </c>
      <c r="J402" s="2" t="s">
        <v>37</v>
      </c>
      <c r="K402">
        <v>89546</v>
      </c>
      <c r="L402" s="2" t="s">
        <v>33</v>
      </c>
      <c r="M402">
        <v>0.13</v>
      </c>
      <c r="N402">
        <v>0.76</v>
      </c>
      <c r="O402">
        <v>38126.68</v>
      </c>
      <c r="P402">
        <v>0</v>
      </c>
      <c r="Q402">
        <v>32</v>
      </c>
      <c r="R402">
        <v>12437.046</v>
      </c>
      <c r="S402">
        <v>46418.046000000002</v>
      </c>
      <c r="T402">
        <v>4145.68</v>
      </c>
      <c r="U402">
        <v>0</v>
      </c>
      <c r="V402" s="2" t="s">
        <v>2056</v>
      </c>
      <c r="W402" s="2" t="s">
        <v>2057</v>
      </c>
      <c r="X402">
        <v>34547.35</v>
      </c>
      <c r="Y402">
        <v>0.12199994114358025</v>
      </c>
      <c r="Z402" s="2" t="s">
        <v>2061</v>
      </c>
    </row>
    <row r="403" spans="1:26" x14ac:dyDescent="0.3">
      <c r="A403" s="2" t="s">
        <v>848</v>
      </c>
      <c r="B403" s="1">
        <v>44388</v>
      </c>
      <c r="C403" s="2" t="s">
        <v>849</v>
      </c>
      <c r="D403" s="2" t="s">
        <v>72</v>
      </c>
      <c r="E403">
        <v>4762</v>
      </c>
      <c r="F403">
        <v>6.4</v>
      </c>
      <c r="G403">
        <v>60</v>
      </c>
      <c r="H403" s="2" t="s">
        <v>19</v>
      </c>
      <c r="I403" s="2" t="s">
        <v>57</v>
      </c>
      <c r="J403" s="2" t="s">
        <v>37</v>
      </c>
      <c r="K403">
        <v>135686</v>
      </c>
      <c r="L403" s="2" t="s">
        <v>33</v>
      </c>
      <c r="M403">
        <v>0.46</v>
      </c>
      <c r="N403">
        <v>0.8</v>
      </c>
      <c r="O403">
        <v>5066.7700000000004</v>
      </c>
      <c r="P403">
        <v>0</v>
      </c>
      <c r="Q403">
        <v>56</v>
      </c>
      <c r="R403">
        <v>1523.8400000000001</v>
      </c>
      <c r="S403">
        <v>6285.84</v>
      </c>
      <c r="T403">
        <v>304.77000000000044</v>
      </c>
      <c r="U403">
        <v>0</v>
      </c>
      <c r="V403" s="2" t="s">
        <v>2056</v>
      </c>
      <c r="W403" s="2" t="s">
        <v>2057</v>
      </c>
      <c r="X403">
        <v>2539.7332999999999</v>
      </c>
      <c r="Y403">
        <v>6.4000419991600263E-2</v>
      </c>
      <c r="Z403" s="2" t="s">
        <v>2058</v>
      </c>
    </row>
    <row r="404" spans="1:26" x14ac:dyDescent="0.3">
      <c r="A404" s="2" t="s">
        <v>850</v>
      </c>
      <c r="B404" s="1">
        <v>44935</v>
      </c>
      <c r="C404" s="2" t="s">
        <v>851</v>
      </c>
      <c r="D404" s="2" t="s">
        <v>25</v>
      </c>
      <c r="E404">
        <v>10768</v>
      </c>
      <c r="F404">
        <v>20.3</v>
      </c>
      <c r="G404">
        <v>60</v>
      </c>
      <c r="H404" s="2" t="s">
        <v>81</v>
      </c>
      <c r="I404" s="2" t="s">
        <v>84</v>
      </c>
      <c r="J404" s="2" t="s">
        <v>21</v>
      </c>
      <c r="K404">
        <v>118151</v>
      </c>
      <c r="L404" s="2" t="s">
        <v>22</v>
      </c>
      <c r="M404">
        <v>0.5</v>
      </c>
      <c r="N404">
        <v>0.51</v>
      </c>
      <c r="O404">
        <v>4240.21</v>
      </c>
      <c r="P404">
        <v>804.81</v>
      </c>
      <c r="Q404">
        <v>38</v>
      </c>
      <c r="R404">
        <v>10929.519999999999</v>
      </c>
      <c r="S404">
        <v>21697.519999999997</v>
      </c>
      <c r="T404">
        <v>-5722.98</v>
      </c>
      <c r="U404">
        <v>1</v>
      </c>
      <c r="V404" s="2" t="s">
        <v>2063</v>
      </c>
      <c r="W404" s="2" t="s">
        <v>2062</v>
      </c>
      <c r="X404">
        <v>18215.866699999999</v>
      </c>
      <c r="Y404">
        <v>-0.53148031203566115</v>
      </c>
      <c r="Z404" s="2" t="s">
        <v>2058</v>
      </c>
    </row>
    <row r="405" spans="1:26" x14ac:dyDescent="0.3">
      <c r="A405" s="2" t="s">
        <v>852</v>
      </c>
      <c r="B405" s="1">
        <v>45174</v>
      </c>
      <c r="C405" s="2" t="s">
        <v>853</v>
      </c>
      <c r="D405" s="2" t="s">
        <v>76</v>
      </c>
      <c r="E405">
        <v>39559</v>
      </c>
      <c r="F405">
        <v>13.2</v>
      </c>
      <c r="G405">
        <v>36</v>
      </c>
      <c r="H405" s="2" t="s">
        <v>19</v>
      </c>
      <c r="I405" s="2" t="s">
        <v>57</v>
      </c>
      <c r="J405" s="2" t="s">
        <v>28</v>
      </c>
      <c r="K405">
        <v>33327</v>
      </c>
      <c r="L405" s="2" t="s">
        <v>33</v>
      </c>
      <c r="M405">
        <v>0.38</v>
      </c>
      <c r="N405">
        <v>0.65</v>
      </c>
      <c r="O405">
        <v>44780.79</v>
      </c>
      <c r="P405">
        <v>0</v>
      </c>
      <c r="Q405">
        <v>30</v>
      </c>
      <c r="R405">
        <v>15665.364</v>
      </c>
      <c r="S405">
        <v>55224.364000000001</v>
      </c>
      <c r="T405">
        <v>5221.7900000000009</v>
      </c>
      <c r="U405">
        <v>0</v>
      </c>
      <c r="V405" s="2" t="s">
        <v>2056</v>
      </c>
      <c r="W405" s="2" t="s">
        <v>2057</v>
      </c>
      <c r="X405">
        <v>43514.9</v>
      </c>
      <c r="Y405">
        <v>0.1320000505573953</v>
      </c>
      <c r="Z405" s="2" t="s">
        <v>2061</v>
      </c>
    </row>
    <row r="406" spans="1:26" x14ac:dyDescent="0.3">
      <c r="A406" s="2" t="s">
        <v>854</v>
      </c>
      <c r="B406" s="1">
        <v>45205</v>
      </c>
      <c r="C406" s="2" t="s">
        <v>855</v>
      </c>
      <c r="D406" s="2" t="s">
        <v>25</v>
      </c>
      <c r="E406">
        <v>9783</v>
      </c>
      <c r="F406">
        <v>20.2</v>
      </c>
      <c r="G406">
        <v>36</v>
      </c>
      <c r="H406" s="2" t="s">
        <v>81</v>
      </c>
      <c r="I406" s="2" t="s">
        <v>27</v>
      </c>
      <c r="J406" s="2" t="s">
        <v>21</v>
      </c>
      <c r="K406">
        <v>59768</v>
      </c>
      <c r="L406" s="2" t="s">
        <v>29</v>
      </c>
      <c r="M406">
        <v>0.41</v>
      </c>
      <c r="N406">
        <v>0.86</v>
      </c>
      <c r="O406">
        <v>1238.43</v>
      </c>
      <c r="P406">
        <v>3866.9</v>
      </c>
      <c r="Q406">
        <v>29</v>
      </c>
      <c r="R406">
        <v>5928.4980000000005</v>
      </c>
      <c r="S406">
        <v>15711.498</v>
      </c>
      <c r="T406">
        <v>-4677.67</v>
      </c>
      <c r="U406">
        <v>1</v>
      </c>
      <c r="V406" s="2" t="s">
        <v>2063</v>
      </c>
      <c r="W406" s="2" t="s">
        <v>2060</v>
      </c>
      <c r="X406">
        <v>16468.05</v>
      </c>
      <c r="Y406">
        <v>-0.47814269651436164</v>
      </c>
      <c r="Z406" s="2" t="s">
        <v>2058</v>
      </c>
    </row>
    <row r="407" spans="1:26" x14ac:dyDescent="0.3">
      <c r="A407" s="2" t="s">
        <v>856</v>
      </c>
      <c r="B407" s="1">
        <v>44292</v>
      </c>
      <c r="C407" s="2" t="s">
        <v>857</v>
      </c>
      <c r="D407" s="2" t="s">
        <v>18</v>
      </c>
      <c r="E407">
        <v>30781</v>
      </c>
      <c r="F407">
        <v>23.1</v>
      </c>
      <c r="G407">
        <v>36</v>
      </c>
      <c r="H407" s="2" t="s">
        <v>19</v>
      </c>
      <c r="I407" s="2" t="s">
        <v>20</v>
      </c>
      <c r="J407" s="2" t="s">
        <v>47</v>
      </c>
      <c r="K407">
        <v>94418</v>
      </c>
      <c r="L407" s="2" t="s">
        <v>29</v>
      </c>
      <c r="M407">
        <v>0.23</v>
      </c>
      <c r="N407">
        <v>0.53</v>
      </c>
      <c r="O407">
        <v>37891.410000000003</v>
      </c>
      <c r="P407">
        <v>0</v>
      </c>
      <c r="Q407">
        <v>59</v>
      </c>
      <c r="R407">
        <v>21331.233000000004</v>
      </c>
      <c r="S407">
        <v>52112.233000000007</v>
      </c>
      <c r="T407">
        <v>7110.4100000000035</v>
      </c>
      <c r="U407">
        <v>0</v>
      </c>
      <c r="V407" s="2" t="s">
        <v>2056</v>
      </c>
      <c r="W407" s="2" t="s">
        <v>2057</v>
      </c>
      <c r="X407">
        <v>59253.425000000003</v>
      </c>
      <c r="Y407">
        <v>0.2309999675124266</v>
      </c>
      <c r="Z407" s="2" t="s">
        <v>2061</v>
      </c>
    </row>
    <row r="408" spans="1:26" x14ac:dyDescent="0.3">
      <c r="A408" s="2" t="s">
        <v>858</v>
      </c>
      <c r="B408" s="1">
        <v>44859</v>
      </c>
      <c r="C408" s="2" t="s">
        <v>859</v>
      </c>
      <c r="D408" s="2" t="s">
        <v>46</v>
      </c>
      <c r="E408">
        <v>31811</v>
      </c>
      <c r="F408">
        <v>9.6999999999999993</v>
      </c>
      <c r="G408">
        <v>60</v>
      </c>
      <c r="H408" s="2" t="s">
        <v>26</v>
      </c>
      <c r="I408" s="2" t="s">
        <v>20</v>
      </c>
      <c r="J408" s="2" t="s">
        <v>37</v>
      </c>
      <c r="K408">
        <v>124386</v>
      </c>
      <c r="L408" s="2" t="s">
        <v>29</v>
      </c>
      <c r="M408">
        <v>0.48</v>
      </c>
      <c r="N408">
        <v>0.63</v>
      </c>
      <c r="O408">
        <v>14792.24</v>
      </c>
      <c r="P408">
        <v>0</v>
      </c>
      <c r="Q408">
        <v>40</v>
      </c>
      <c r="R408">
        <v>15428.334999999997</v>
      </c>
      <c r="S408">
        <v>47239.334999999999</v>
      </c>
      <c r="T408">
        <v>-17018.760000000002</v>
      </c>
      <c r="U408">
        <v>0</v>
      </c>
      <c r="V408" s="2" t="s">
        <v>2059</v>
      </c>
      <c r="W408" s="2" t="s">
        <v>2057</v>
      </c>
      <c r="X408">
        <v>25713.8917</v>
      </c>
      <c r="Y408">
        <v>-0.53499607054163656</v>
      </c>
      <c r="Z408" s="2" t="s">
        <v>2058</v>
      </c>
    </row>
    <row r="409" spans="1:26" x14ac:dyDescent="0.3">
      <c r="A409" s="2" t="s">
        <v>860</v>
      </c>
      <c r="B409" s="1">
        <v>44233</v>
      </c>
      <c r="C409" s="2" t="s">
        <v>861</v>
      </c>
      <c r="D409" s="2" t="s">
        <v>40</v>
      </c>
      <c r="E409">
        <v>36488</v>
      </c>
      <c r="F409">
        <v>21.1</v>
      </c>
      <c r="G409">
        <v>36</v>
      </c>
      <c r="H409" s="2" t="s">
        <v>19</v>
      </c>
      <c r="I409" s="2" t="s">
        <v>57</v>
      </c>
      <c r="J409" s="2" t="s">
        <v>28</v>
      </c>
      <c r="K409">
        <v>146947</v>
      </c>
      <c r="L409" s="2" t="s">
        <v>29</v>
      </c>
      <c r="M409">
        <v>0.31</v>
      </c>
      <c r="N409">
        <v>0.76</v>
      </c>
      <c r="O409">
        <v>44186.97</v>
      </c>
      <c r="P409">
        <v>0</v>
      </c>
      <c r="Q409">
        <v>61</v>
      </c>
      <c r="R409">
        <v>23096.903999999999</v>
      </c>
      <c r="S409">
        <v>59584.903999999995</v>
      </c>
      <c r="T409">
        <v>7698.9700000000012</v>
      </c>
      <c r="U409">
        <v>0</v>
      </c>
      <c r="V409" s="2" t="s">
        <v>2056</v>
      </c>
      <c r="W409" s="2" t="s">
        <v>2057</v>
      </c>
      <c r="X409">
        <v>64158.066700000003</v>
      </c>
      <c r="Y409">
        <v>0.21100005481254114</v>
      </c>
      <c r="Z409" s="2" t="s">
        <v>2061</v>
      </c>
    </row>
    <row r="410" spans="1:26" x14ac:dyDescent="0.3">
      <c r="A410" s="2" t="s">
        <v>862</v>
      </c>
      <c r="B410" s="1">
        <v>44475</v>
      </c>
      <c r="C410" s="2" t="s">
        <v>863</v>
      </c>
      <c r="D410" s="2" t="s">
        <v>53</v>
      </c>
      <c r="E410">
        <v>9905</v>
      </c>
      <c r="F410">
        <v>6.2</v>
      </c>
      <c r="G410">
        <v>36</v>
      </c>
      <c r="H410" s="2" t="s">
        <v>81</v>
      </c>
      <c r="I410" s="2" t="s">
        <v>73</v>
      </c>
      <c r="J410" s="2" t="s">
        <v>37</v>
      </c>
      <c r="K410">
        <v>72788</v>
      </c>
      <c r="L410" s="2" t="s">
        <v>22</v>
      </c>
      <c r="M410">
        <v>0.39</v>
      </c>
      <c r="N410">
        <v>0.62</v>
      </c>
      <c r="O410">
        <v>2417.52</v>
      </c>
      <c r="P410">
        <v>3932.05</v>
      </c>
      <c r="Q410">
        <v>53</v>
      </c>
      <c r="R410">
        <v>1842.33</v>
      </c>
      <c r="S410">
        <v>11747.33</v>
      </c>
      <c r="T410">
        <v>-3555.4300000000003</v>
      </c>
      <c r="U410">
        <v>1</v>
      </c>
      <c r="V410" s="2" t="s">
        <v>2063</v>
      </c>
      <c r="W410" s="2" t="s">
        <v>2064</v>
      </c>
      <c r="X410">
        <v>5117.5848999999998</v>
      </c>
      <c r="Y410">
        <v>-0.35895305401312472</v>
      </c>
      <c r="Z410" s="2" t="s">
        <v>2061</v>
      </c>
    </row>
    <row r="411" spans="1:26" x14ac:dyDescent="0.3">
      <c r="A411" s="2" t="s">
        <v>864</v>
      </c>
      <c r="B411" s="1">
        <v>44413</v>
      </c>
      <c r="C411" s="2" t="s">
        <v>865</v>
      </c>
      <c r="D411" s="2" t="s">
        <v>76</v>
      </c>
      <c r="E411">
        <v>10127</v>
      </c>
      <c r="F411">
        <v>23</v>
      </c>
      <c r="G411">
        <v>36</v>
      </c>
      <c r="H411" s="2" t="s">
        <v>26</v>
      </c>
      <c r="I411" s="2" t="s">
        <v>73</v>
      </c>
      <c r="J411" s="2" t="s">
        <v>37</v>
      </c>
      <c r="K411">
        <v>145945</v>
      </c>
      <c r="L411" s="2" t="s">
        <v>29</v>
      </c>
      <c r="M411">
        <v>0.47</v>
      </c>
      <c r="N411">
        <v>0.92</v>
      </c>
      <c r="O411">
        <v>3348.84</v>
      </c>
      <c r="P411">
        <v>0</v>
      </c>
      <c r="Q411">
        <v>55</v>
      </c>
      <c r="R411">
        <v>6987.63</v>
      </c>
      <c r="S411">
        <v>17114.63</v>
      </c>
      <c r="T411">
        <v>-6778.16</v>
      </c>
      <c r="U411">
        <v>0</v>
      </c>
      <c r="V411" s="2" t="s">
        <v>2059</v>
      </c>
      <c r="W411" s="2" t="s">
        <v>2064</v>
      </c>
      <c r="X411">
        <v>19410.083299999998</v>
      </c>
      <c r="Y411">
        <v>-0.66931569072775743</v>
      </c>
      <c r="Z411" s="2" t="s">
        <v>2058</v>
      </c>
    </row>
    <row r="412" spans="1:26" x14ac:dyDescent="0.3">
      <c r="A412" s="2" t="s">
        <v>866</v>
      </c>
      <c r="B412" s="1">
        <v>45063</v>
      </c>
      <c r="C412" s="2" t="s">
        <v>867</v>
      </c>
      <c r="D412" s="2" t="s">
        <v>53</v>
      </c>
      <c r="E412">
        <v>23431</v>
      </c>
      <c r="F412">
        <v>18</v>
      </c>
      <c r="G412">
        <v>60</v>
      </c>
      <c r="H412" s="2" t="s">
        <v>19</v>
      </c>
      <c r="I412" s="2" t="s">
        <v>27</v>
      </c>
      <c r="J412" s="2" t="s">
        <v>21</v>
      </c>
      <c r="K412">
        <v>112384</v>
      </c>
      <c r="L412" s="2" t="s">
        <v>22</v>
      </c>
      <c r="M412">
        <v>0.49</v>
      </c>
      <c r="N412">
        <v>0.56000000000000005</v>
      </c>
      <c r="O412">
        <v>27648.58</v>
      </c>
      <c r="P412">
        <v>0</v>
      </c>
      <c r="Q412">
        <v>34</v>
      </c>
      <c r="R412">
        <v>21087.899999999998</v>
      </c>
      <c r="S412">
        <v>44518.899999999994</v>
      </c>
      <c r="T412">
        <v>4217.5800000000017</v>
      </c>
      <c r="U412">
        <v>0</v>
      </c>
      <c r="V412" s="2" t="s">
        <v>2056</v>
      </c>
      <c r="W412" s="2" t="s">
        <v>2060</v>
      </c>
      <c r="X412">
        <v>35146.5</v>
      </c>
      <c r="Y412">
        <v>0.18000000000000008</v>
      </c>
      <c r="Z412" s="2" t="s">
        <v>2058</v>
      </c>
    </row>
    <row r="413" spans="1:26" x14ac:dyDescent="0.3">
      <c r="A413" s="2" t="s">
        <v>868</v>
      </c>
      <c r="B413" s="1">
        <v>45069</v>
      </c>
      <c r="C413" s="2" t="s">
        <v>869</v>
      </c>
      <c r="D413" s="2" t="s">
        <v>56</v>
      </c>
      <c r="E413">
        <v>7368</v>
      </c>
      <c r="F413">
        <v>22.5</v>
      </c>
      <c r="G413">
        <v>36</v>
      </c>
      <c r="H413" s="2" t="s">
        <v>19</v>
      </c>
      <c r="I413" s="2" t="s">
        <v>20</v>
      </c>
      <c r="J413" s="2" t="s">
        <v>28</v>
      </c>
      <c r="K413">
        <v>76830</v>
      </c>
      <c r="L413" s="2" t="s">
        <v>29</v>
      </c>
      <c r="M413">
        <v>0.43</v>
      </c>
      <c r="N413">
        <v>0.86</v>
      </c>
      <c r="O413">
        <v>9025.7999999999993</v>
      </c>
      <c r="P413">
        <v>0</v>
      </c>
      <c r="Q413">
        <v>33</v>
      </c>
      <c r="R413">
        <v>4973.3999999999996</v>
      </c>
      <c r="S413">
        <v>12341.4</v>
      </c>
      <c r="T413">
        <v>1657.7999999999993</v>
      </c>
      <c r="U413">
        <v>0</v>
      </c>
      <c r="V413" s="2" t="s">
        <v>2056</v>
      </c>
      <c r="W413" s="2" t="s">
        <v>2057</v>
      </c>
      <c r="X413">
        <v>13815</v>
      </c>
      <c r="Y413">
        <v>0.22499999999999989</v>
      </c>
      <c r="Z413" s="2" t="s">
        <v>2058</v>
      </c>
    </row>
    <row r="414" spans="1:26" x14ac:dyDescent="0.3">
      <c r="A414" s="2" t="s">
        <v>870</v>
      </c>
      <c r="B414" s="1">
        <v>44258</v>
      </c>
      <c r="C414" s="2" t="s">
        <v>871</v>
      </c>
      <c r="D414" s="2" t="s">
        <v>76</v>
      </c>
      <c r="E414">
        <v>28424</v>
      </c>
      <c r="F414">
        <v>5</v>
      </c>
      <c r="G414">
        <v>36</v>
      </c>
      <c r="H414" s="2" t="s">
        <v>26</v>
      </c>
      <c r="I414" s="2" t="s">
        <v>20</v>
      </c>
      <c r="J414" s="2" t="s">
        <v>28</v>
      </c>
      <c r="K414">
        <v>82446</v>
      </c>
      <c r="L414" s="2" t="s">
        <v>22</v>
      </c>
      <c r="M414">
        <v>0.22</v>
      </c>
      <c r="N414">
        <v>0.73</v>
      </c>
      <c r="O414">
        <v>12039.9</v>
      </c>
      <c r="P414">
        <v>0</v>
      </c>
      <c r="Q414">
        <v>60</v>
      </c>
      <c r="R414">
        <v>4263.6000000000004</v>
      </c>
      <c r="S414">
        <v>32687.599999999999</v>
      </c>
      <c r="T414">
        <v>-16384.099999999999</v>
      </c>
      <c r="U414">
        <v>0</v>
      </c>
      <c r="V414" s="2" t="s">
        <v>2059</v>
      </c>
      <c r="W414" s="2" t="s">
        <v>2057</v>
      </c>
      <c r="X414">
        <v>11843.3758</v>
      </c>
      <c r="Y414">
        <v>-0.57641781593019981</v>
      </c>
      <c r="Z414" s="2" t="s">
        <v>2061</v>
      </c>
    </row>
    <row r="415" spans="1:26" x14ac:dyDescent="0.3">
      <c r="A415" s="2" t="s">
        <v>872</v>
      </c>
      <c r="B415" s="1">
        <v>44792</v>
      </c>
      <c r="C415" s="2" t="s">
        <v>873</v>
      </c>
      <c r="D415" s="2" t="s">
        <v>18</v>
      </c>
      <c r="E415">
        <v>19333</v>
      </c>
      <c r="F415">
        <v>8.4</v>
      </c>
      <c r="G415">
        <v>36</v>
      </c>
      <c r="H415" s="2" t="s">
        <v>26</v>
      </c>
      <c r="I415" s="2" t="s">
        <v>27</v>
      </c>
      <c r="J415" s="2" t="s">
        <v>37</v>
      </c>
      <c r="K415">
        <v>135078</v>
      </c>
      <c r="L415" s="2" t="s">
        <v>29</v>
      </c>
      <c r="M415">
        <v>0.49</v>
      </c>
      <c r="N415">
        <v>0.84</v>
      </c>
      <c r="O415">
        <v>4102.62</v>
      </c>
      <c r="P415">
        <v>0</v>
      </c>
      <c r="Q415">
        <v>43</v>
      </c>
      <c r="R415">
        <v>4871.9160000000002</v>
      </c>
      <c r="S415">
        <v>24204.916000000001</v>
      </c>
      <c r="T415">
        <v>-15230.380000000001</v>
      </c>
      <c r="U415">
        <v>0</v>
      </c>
      <c r="V415" s="2" t="s">
        <v>2059</v>
      </c>
      <c r="W415" s="2" t="s">
        <v>2060</v>
      </c>
      <c r="X415">
        <v>13533.1001</v>
      </c>
      <c r="Y415">
        <v>-0.78779185848031863</v>
      </c>
      <c r="Z415" s="2" t="s">
        <v>2058</v>
      </c>
    </row>
    <row r="416" spans="1:26" x14ac:dyDescent="0.3">
      <c r="A416" s="2" t="s">
        <v>874</v>
      </c>
      <c r="B416" s="1">
        <v>44925</v>
      </c>
      <c r="C416" s="2" t="s">
        <v>875</v>
      </c>
      <c r="D416" s="2" t="s">
        <v>76</v>
      </c>
      <c r="E416">
        <v>24116</v>
      </c>
      <c r="F416">
        <v>12.8</v>
      </c>
      <c r="G416">
        <v>36</v>
      </c>
      <c r="H416" s="2" t="s">
        <v>19</v>
      </c>
      <c r="I416" s="2" t="s">
        <v>84</v>
      </c>
      <c r="J416" s="2" t="s">
        <v>28</v>
      </c>
      <c r="K416">
        <v>45160</v>
      </c>
      <c r="L416" s="2" t="s">
        <v>29</v>
      </c>
      <c r="M416">
        <v>0.35</v>
      </c>
      <c r="N416">
        <v>0.64</v>
      </c>
      <c r="O416">
        <v>27202.85</v>
      </c>
      <c r="P416">
        <v>0</v>
      </c>
      <c r="Q416">
        <v>38</v>
      </c>
      <c r="R416">
        <v>9260.5439999999999</v>
      </c>
      <c r="S416">
        <v>33376.544000000002</v>
      </c>
      <c r="T416">
        <v>3086.8499999999985</v>
      </c>
      <c r="U416">
        <v>0</v>
      </c>
      <c r="V416" s="2" t="s">
        <v>2056</v>
      </c>
      <c r="W416" s="2" t="s">
        <v>2062</v>
      </c>
      <c r="X416">
        <v>25723.7333</v>
      </c>
      <c r="Y416">
        <v>0.1280000829324929</v>
      </c>
      <c r="Z416" s="2" t="s">
        <v>2061</v>
      </c>
    </row>
    <row r="417" spans="1:26" x14ac:dyDescent="0.3">
      <c r="A417" s="2" t="s">
        <v>876</v>
      </c>
      <c r="B417" s="1">
        <v>44593</v>
      </c>
      <c r="C417" s="2" t="s">
        <v>877</v>
      </c>
      <c r="D417" s="2" t="s">
        <v>25</v>
      </c>
      <c r="E417">
        <v>16525</v>
      </c>
      <c r="F417">
        <v>12.6</v>
      </c>
      <c r="G417">
        <v>36</v>
      </c>
      <c r="H417" s="2" t="s">
        <v>19</v>
      </c>
      <c r="I417" s="2" t="s">
        <v>20</v>
      </c>
      <c r="J417" s="2" t="s">
        <v>28</v>
      </c>
      <c r="K417">
        <v>86583</v>
      </c>
      <c r="L417" s="2" t="s">
        <v>22</v>
      </c>
      <c r="M417">
        <v>0.47</v>
      </c>
      <c r="N417">
        <v>0.73</v>
      </c>
      <c r="O417">
        <v>18607.150000000001</v>
      </c>
      <c r="P417">
        <v>0</v>
      </c>
      <c r="Q417">
        <v>49</v>
      </c>
      <c r="R417">
        <v>6246.4500000000007</v>
      </c>
      <c r="S417">
        <v>22771.45</v>
      </c>
      <c r="T417">
        <v>2082.1500000000015</v>
      </c>
      <c r="U417">
        <v>0</v>
      </c>
      <c r="V417" s="2" t="s">
        <v>2056</v>
      </c>
      <c r="W417" s="2" t="s">
        <v>2057</v>
      </c>
      <c r="X417">
        <v>17351.25</v>
      </c>
      <c r="Y417">
        <v>0.12600000000000008</v>
      </c>
      <c r="Z417" s="2" t="s">
        <v>2058</v>
      </c>
    </row>
    <row r="418" spans="1:26" x14ac:dyDescent="0.3">
      <c r="A418" s="2" t="s">
        <v>878</v>
      </c>
      <c r="B418" s="1">
        <v>44895</v>
      </c>
      <c r="C418" s="2" t="s">
        <v>879</v>
      </c>
      <c r="D418" s="2" t="s">
        <v>46</v>
      </c>
      <c r="E418">
        <v>24398</v>
      </c>
      <c r="F418">
        <v>9.5</v>
      </c>
      <c r="G418">
        <v>60</v>
      </c>
      <c r="H418" s="2" t="s">
        <v>26</v>
      </c>
      <c r="I418" s="2" t="s">
        <v>73</v>
      </c>
      <c r="J418" s="2" t="s">
        <v>21</v>
      </c>
      <c r="K418">
        <v>63998</v>
      </c>
      <c r="L418" s="2" t="s">
        <v>33</v>
      </c>
      <c r="M418">
        <v>0.37</v>
      </c>
      <c r="N418">
        <v>0.89</v>
      </c>
      <c r="O418">
        <v>5945.55</v>
      </c>
      <c r="P418">
        <v>0</v>
      </c>
      <c r="Q418">
        <v>39</v>
      </c>
      <c r="R418">
        <v>11589.050000000001</v>
      </c>
      <c r="S418">
        <v>35987.050000000003</v>
      </c>
      <c r="T418">
        <v>-18452.45</v>
      </c>
      <c r="U418">
        <v>0</v>
      </c>
      <c r="V418" s="2" t="s">
        <v>2059</v>
      </c>
      <c r="W418" s="2" t="s">
        <v>2064</v>
      </c>
      <c r="X418">
        <v>19315.083299999998</v>
      </c>
      <c r="Y418">
        <v>-0.75630994343798674</v>
      </c>
      <c r="Z418" s="2" t="s">
        <v>2058</v>
      </c>
    </row>
    <row r="419" spans="1:26" x14ac:dyDescent="0.3">
      <c r="A419" s="2" t="s">
        <v>880</v>
      </c>
      <c r="B419" s="1">
        <v>45239</v>
      </c>
      <c r="C419" s="2" t="s">
        <v>881</v>
      </c>
      <c r="D419" s="2" t="s">
        <v>40</v>
      </c>
      <c r="E419">
        <v>33857</v>
      </c>
      <c r="F419">
        <v>12.6</v>
      </c>
      <c r="G419">
        <v>60</v>
      </c>
      <c r="H419" s="2" t="s">
        <v>19</v>
      </c>
      <c r="I419" s="2" t="s">
        <v>57</v>
      </c>
      <c r="J419" s="2" t="s">
        <v>32</v>
      </c>
      <c r="K419">
        <v>57230</v>
      </c>
      <c r="L419" s="2" t="s">
        <v>33</v>
      </c>
      <c r="M419">
        <v>0.22</v>
      </c>
      <c r="N419">
        <v>0.71</v>
      </c>
      <c r="O419">
        <v>38122.980000000003</v>
      </c>
      <c r="P419">
        <v>0</v>
      </c>
      <c r="Q419">
        <v>28</v>
      </c>
      <c r="R419">
        <v>21329.91</v>
      </c>
      <c r="S419">
        <v>55186.91</v>
      </c>
      <c r="T419">
        <v>4265.9800000000032</v>
      </c>
      <c r="U419">
        <v>0</v>
      </c>
      <c r="V419" s="2" t="s">
        <v>2056</v>
      </c>
      <c r="W419" s="2" t="s">
        <v>2057</v>
      </c>
      <c r="X419">
        <v>35549.85</v>
      </c>
      <c r="Y419">
        <v>0.12599994092802089</v>
      </c>
      <c r="Z419" s="2" t="s">
        <v>2061</v>
      </c>
    </row>
    <row r="420" spans="1:26" x14ac:dyDescent="0.3">
      <c r="A420" s="2" t="s">
        <v>882</v>
      </c>
      <c r="B420" s="1">
        <v>44373</v>
      </c>
      <c r="C420" s="2" t="s">
        <v>883</v>
      </c>
      <c r="D420" s="2" t="s">
        <v>50</v>
      </c>
      <c r="E420">
        <v>11361</v>
      </c>
      <c r="F420">
        <v>7.6</v>
      </c>
      <c r="G420">
        <v>60</v>
      </c>
      <c r="H420" s="2" t="s">
        <v>26</v>
      </c>
      <c r="I420" s="2" t="s">
        <v>84</v>
      </c>
      <c r="J420" s="2" t="s">
        <v>47</v>
      </c>
      <c r="K420">
        <v>39076</v>
      </c>
      <c r="L420" s="2" t="s">
        <v>33</v>
      </c>
      <c r="M420">
        <v>0.25</v>
      </c>
      <c r="N420">
        <v>0.66</v>
      </c>
      <c r="O420">
        <v>2661.69</v>
      </c>
      <c r="P420">
        <v>0</v>
      </c>
      <c r="Q420">
        <v>56</v>
      </c>
      <c r="R420">
        <v>4317.1799999999994</v>
      </c>
      <c r="S420">
        <v>15678.18</v>
      </c>
      <c r="T420">
        <v>-8699.31</v>
      </c>
      <c r="U420">
        <v>0</v>
      </c>
      <c r="V420" s="2" t="s">
        <v>2059</v>
      </c>
      <c r="W420" s="2" t="s">
        <v>2062</v>
      </c>
      <c r="X420">
        <v>7195.3</v>
      </c>
      <c r="Y420">
        <v>-0.7657169263269078</v>
      </c>
      <c r="Z420" s="2" t="s">
        <v>2061</v>
      </c>
    </row>
    <row r="421" spans="1:26" x14ac:dyDescent="0.3">
      <c r="A421" s="2" t="s">
        <v>884</v>
      </c>
      <c r="B421" s="1">
        <v>44592</v>
      </c>
      <c r="C421" s="2" t="s">
        <v>885</v>
      </c>
      <c r="D421" s="2" t="s">
        <v>40</v>
      </c>
      <c r="E421">
        <v>17369</v>
      </c>
      <c r="F421">
        <v>13.3</v>
      </c>
      <c r="G421">
        <v>36</v>
      </c>
      <c r="H421" s="2" t="s">
        <v>19</v>
      </c>
      <c r="I421" s="2" t="s">
        <v>84</v>
      </c>
      <c r="J421" s="2" t="s">
        <v>32</v>
      </c>
      <c r="K421">
        <v>99341</v>
      </c>
      <c r="L421" s="2" t="s">
        <v>22</v>
      </c>
      <c r="M421">
        <v>0.32</v>
      </c>
      <c r="N421">
        <v>0.74</v>
      </c>
      <c r="O421">
        <v>19679.080000000002</v>
      </c>
      <c r="P421">
        <v>0</v>
      </c>
      <c r="Q421">
        <v>49</v>
      </c>
      <c r="R421">
        <v>6930.2310000000007</v>
      </c>
      <c r="S421">
        <v>24299.231</v>
      </c>
      <c r="T421">
        <v>2310.0800000000017</v>
      </c>
      <c r="U421">
        <v>0</v>
      </c>
      <c r="V421" s="2" t="s">
        <v>2056</v>
      </c>
      <c r="W421" s="2" t="s">
        <v>2062</v>
      </c>
      <c r="X421">
        <v>19250.6417</v>
      </c>
      <c r="Y421">
        <v>0.13300017272151543</v>
      </c>
      <c r="Z421" s="2" t="s">
        <v>2061</v>
      </c>
    </row>
    <row r="422" spans="1:26" x14ac:dyDescent="0.3">
      <c r="A422" s="2" t="s">
        <v>886</v>
      </c>
      <c r="B422" s="1">
        <v>44641</v>
      </c>
      <c r="C422" s="2" t="s">
        <v>887</v>
      </c>
      <c r="D422" s="2" t="s">
        <v>40</v>
      </c>
      <c r="E422">
        <v>4041</v>
      </c>
      <c r="F422">
        <v>21</v>
      </c>
      <c r="G422">
        <v>60</v>
      </c>
      <c r="H422" s="2" t="s">
        <v>81</v>
      </c>
      <c r="I422" s="2" t="s">
        <v>84</v>
      </c>
      <c r="J422" s="2" t="s">
        <v>28</v>
      </c>
      <c r="K422">
        <v>61085</v>
      </c>
      <c r="L422" s="2" t="s">
        <v>33</v>
      </c>
      <c r="M422">
        <v>0.42</v>
      </c>
      <c r="N422">
        <v>0.82</v>
      </c>
      <c r="O422">
        <v>858.39</v>
      </c>
      <c r="P422">
        <v>1009</v>
      </c>
      <c r="Q422">
        <v>47</v>
      </c>
      <c r="R422">
        <v>4243.05</v>
      </c>
      <c r="S422">
        <v>8284.0499999999993</v>
      </c>
      <c r="T422">
        <v>-2173.61</v>
      </c>
      <c r="U422">
        <v>1</v>
      </c>
      <c r="V422" s="2" t="s">
        <v>2063</v>
      </c>
      <c r="W422" s="2" t="s">
        <v>2062</v>
      </c>
      <c r="X422">
        <v>7071.75</v>
      </c>
      <c r="Y422">
        <v>-0.53788913635238811</v>
      </c>
      <c r="Z422" s="2" t="s">
        <v>2058</v>
      </c>
    </row>
    <row r="423" spans="1:26" x14ac:dyDescent="0.3">
      <c r="A423" s="2" t="s">
        <v>888</v>
      </c>
      <c r="B423" s="1">
        <v>44272</v>
      </c>
      <c r="C423" s="2" t="s">
        <v>889</v>
      </c>
      <c r="D423" s="2" t="s">
        <v>56</v>
      </c>
      <c r="E423">
        <v>1105</v>
      </c>
      <c r="F423">
        <v>14.6</v>
      </c>
      <c r="G423">
        <v>60</v>
      </c>
      <c r="H423" s="2" t="s">
        <v>81</v>
      </c>
      <c r="I423" s="2" t="s">
        <v>27</v>
      </c>
      <c r="J423" s="2" t="s">
        <v>37</v>
      </c>
      <c r="K423">
        <v>85571</v>
      </c>
      <c r="L423" s="2" t="s">
        <v>33</v>
      </c>
      <c r="M423">
        <v>0.23</v>
      </c>
      <c r="N423">
        <v>0.7</v>
      </c>
      <c r="O423">
        <v>417.31</v>
      </c>
      <c r="P423">
        <v>388.04</v>
      </c>
      <c r="Q423">
        <v>60</v>
      </c>
      <c r="R423">
        <v>806.65000000000009</v>
      </c>
      <c r="S423">
        <v>1911.65</v>
      </c>
      <c r="T423">
        <v>-299.64999999999998</v>
      </c>
      <c r="U423">
        <v>1</v>
      </c>
      <c r="V423" s="2" t="s">
        <v>2063</v>
      </c>
      <c r="W423" s="2" t="s">
        <v>2060</v>
      </c>
      <c r="X423">
        <v>1344.4167</v>
      </c>
      <c r="Y423">
        <v>-0.2711764705882353</v>
      </c>
      <c r="Z423" s="2" t="s">
        <v>2061</v>
      </c>
    </row>
    <row r="424" spans="1:26" x14ac:dyDescent="0.3">
      <c r="A424" s="2" t="s">
        <v>890</v>
      </c>
      <c r="B424" s="1">
        <v>44461</v>
      </c>
      <c r="C424" s="2" t="s">
        <v>891</v>
      </c>
      <c r="D424" s="2" t="s">
        <v>18</v>
      </c>
      <c r="E424">
        <v>10078</v>
      </c>
      <c r="F424">
        <v>5.4</v>
      </c>
      <c r="G424">
        <v>60</v>
      </c>
      <c r="H424" s="2" t="s">
        <v>315</v>
      </c>
      <c r="I424" s="2" t="s">
        <v>57</v>
      </c>
      <c r="J424" s="2" t="s">
        <v>47</v>
      </c>
      <c r="K424">
        <v>44715</v>
      </c>
      <c r="L424" s="2" t="s">
        <v>22</v>
      </c>
      <c r="M424">
        <v>0.33</v>
      </c>
      <c r="N424">
        <v>0.92</v>
      </c>
      <c r="O424">
        <v>0</v>
      </c>
      <c r="P424">
        <v>0</v>
      </c>
      <c r="Q424">
        <v>53</v>
      </c>
      <c r="R424">
        <v>2721.06</v>
      </c>
      <c r="S424">
        <v>12799.06</v>
      </c>
      <c r="T424">
        <v>-10078</v>
      </c>
      <c r="U424">
        <v>0</v>
      </c>
      <c r="V424" s="2" t="s">
        <v>2063</v>
      </c>
      <c r="W424" s="2" t="s">
        <v>2057</v>
      </c>
      <c r="X424">
        <v>4535.1000000000004</v>
      </c>
      <c r="Y424">
        <v>-1</v>
      </c>
      <c r="Z424" s="2" t="s">
        <v>2058</v>
      </c>
    </row>
    <row r="425" spans="1:26" x14ac:dyDescent="0.3">
      <c r="A425" s="2" t="s">
        <v>892</v>
      </c>
      <c r="B425" s="1">
        <v>44651</v>
      </c>
      <c r="C425" s="2" t="s">
        <v>893</v>
      </c>
      <c r="D425" s="2" t="s">
        <v>53</v>
      </c>
      <c r="E425">
        <v>26003</v>
      </c>
      <c r="F425">
        <v>13.4</v>
      </c>
      <c r="G425">
        <v>36</v>
      </c>
      <c r="H425" s="2" t="s">
        <v>19</v>
      </c>
      <c r="I425" s="2" t="s">
        <v>84</v>
      </c>
      <c r="J425" s="2" t="s">
        <v>47</v>
      </c>
      <c r="K425">
        <v>35750</v>
      </c>
      <c r="L425" s="2" t="s">
        <v>33</v>
      </c>
      <c r="M425">
        <v>0.24</v>
      </c>
      <c r="N425">
        <v>0.63</v>
      </c>
      <c r="O425">
        <v>29487.4</v>
      </c>
      <c r="P425">
        <v>0</v>
      </c>
      <c r="Q425">
        <v>47</v>
      </c>
      <c r="R425">
        <v>10453.206</v>
      </c>
      <c r="S425">
        <v>36456.205999999998</v>
      </c>
      <c r="T425">
        <v>3484.4000000000015</v>
      </c>
      <c r="U425">
        <v>0</v>
      </c>
      <c r="V425" s="2" t="s">
        <v>2056</v>
      </c>
      <c r="W425" s="2" t="s">
        <v>2062</v>
      </c>
      <c r="X425">
        <v>29036.683300000001</v>
      </c>
      <c r="Y425">
        <v>0.13399992308579786</v>
      </c>
      <c r="Z425" s="2" t="s">
        <v>2061</v>
      </c>
    </row>
    <row r="426" spans="1:26" x14ac:dyDescent="0.3">
      <c r="A426" s="2" t="s">
        <v>894</v>
      </c>
      <c r="B426" s="1">
        <v>44914</v>
      </c>
      <c r="C426" s="2" t="s">
        <v>895</v>
      </c>
      <c r="D426" s="2" t="s">
        <v>18</v>
      </c>
      <c r="E426">
        <v>7090</v>
      </c>
      <c r="F426">
        <v>5.5</v>
      </c>
      <c r="G426">
        <v>36</v>
      </c>
      <c r="H426" s="2" t="s">
        <v>81</v>
      </c>
      <c r="I426" s="2" t="s">
        <v>73</v>
      </c>
      <c r="J426" s="2" t="s">
        <v>37</v>
      </c>
      <c r="K426">
        <v>143931</v>
      </c>
      <c r="L426" s="2" t="s">
        <v>33</v>
      </c>
      <c r="M426">
        <v>0.43</v>
      </c>
      <c r="N426">
        <v>0.71</v>
      </c>
      <c r="O426">
        <v>2472.13</v>
      </c>
      <c r="P426">
        <v>1824.75</v>
      </c>
      <c r="Q426">
        <v>39</v>
      </c>
      <c r="R426">
        <v>1169.8499999999999</v>
      </c>
      <c r="S426">
        <v>8259.85</v>
      </c>
      <c r="T426">
        <v>-2793.12</v>
      </c>
      <c r="U426">
        <v>1</v>
      </c>
      <c r="V426" s="2" t="s">
        <v>2063</v>
      </c>
      <c r="W426" s="2" t="s">
        <v>2064</v>
      </c>
      <c r="X426">
        <v>3249.5873999999999</v>
      </c>
      <c r="Y426">
        <v>-0.39395204513399151</v>
      </c>
      <c r="Z426" s="2" t="s">
        <v>2058</v>
      </c>
    </row>
    <row r="427" spans="1:26" x14ac:dyDescent="0.3">
      <c r="A427" s="2" t="s">
        <v>896</v>
      </c>
      <c r="B427" s="1">
        <v>44931</v>
      </c>
      <c r="C427" s="2" t="s">
        <v>897</v>
      </c>
      <c r="D427" s="2" t="s">
        <v>50</v>
      </c>
      <c r="E427">
        <v>39850</v>
      </c>
      <c r="F427">
        <v>24.3</v>
      </c>
      <c r="G427">
        <v>60</v>
      </c>
      <c r="H427" s="2" t="s">
        <v>19</v>
      </c>
      <c r="I427" s="2" t="s">
        <v>20</v>
      </c>
      <c r="J427" s="2" t="s">
        <v>47</v>
      </c>
      <c r="K427">
        <v>108768</v>
      </c>
      <c r="L427" s="2" t="s">
        <v>33</v>
      </c>
      <c r="M427">
        <v>0.28999999999999998</v>
      </c>
      <c r="N427">
        <v>0.84</v>
      </c>
      <c r="O427">
        <v>49533.55</v>
      </c>
      <c r="P427">
        <v>0</v>
      </c>
      <c r="Q427">
        <v>38</v>
      </c>
      <c r="R427">
        <v>48417.75</v>
      </c>
      <c r="S427">
        <v>88267.75</v>
      </c>
      <c r="T427">
        <v>9683.5500000000029</v>
      </c>
      <c r="U427">
        <v>0</v>
      </c>
      <c r="V427" s="2" t="s">
        <v>2056</v>
      </c>
      <c r="W427" s="2" t="s">
        <v>2057</v>
      </c>
      <c r="X427">
        <v>80696.25</v>
      </c>
      <c r="Y427">
        <v>0.24300000000000008</v>
      </c>
      <c r="Z427" s="2" t="s">
        <v>2058</v>
      </c>
    </row>
    <row r="428" spans="1:26" x14ac:dyDescent="0.3">
      <c r="A428" s="2" t="s">
        <v>898</v>
      </c>
      <c r="B428" s="1">
        <v>45047</v>
      </c>
      <c r="C428" s="2" t="s">
        <v>899</v>
      </c>
      <c r="D428" s="2" t="s">
        <v>56</v>
      </c>
      <c r="E428">
        <v>2925</v>
      </c>
      <c r="F428">
        <v>7.5</v>
      </c>
      <c r="G428">
        <v>60</v>
      </c>
      <c r="H428" s="2" t="s">
        <v>26</v>
      </c>
      <c r="I428" s="2" t="s">
        <v>73</v>
      </c>
      <c r="J428" s="2" t="s">
        <v>37</v>
      </c>
      <c r="K428">
        <v>148544</v>
      </c>
      <c r="L428" s="2" t="s">
        <v>22</v>
      </c>
      <c r="M428">
        <v>0.13</v>
      </c>
      <c r="N428">
        <v>0.81</v>
      </c>
      <c r="O428">
        <v>289.72000000000003</v>
      </c>
      <c r="P428">
        <v>0</v>
      </c>
      <c r="Q428">
        <v>34</v>
      </c>
      <c r="R428">
        <v>1096.875</v>
      </c>
      <c r="S428">
        <v>4021.875</v>
      </c>
      <c r="T428">
        <v>-2635.2799999999997</v>
      </c>
      <c r="U428">
        <v>0</v>
      </c>
      <c r="V428" s="2" t="s">
        <v>2059</v>
      </c>
      <c r="W428" s="2" t="s">
        <v>2064</v>
      </c>
      <c r="X428">
        <v>1828.125</v>
      </c>
      <c r="Y428">
        <v>-0.9009504273504273</v>
      </c>
      <c r="Z428" s="2" t="s">
        <v>2058</v>
      </c>
    </row>
    <row r="429" spans="1:26" x14ac:dyDescent="0.3">
      <c r="A429" s="2" t="s">
        <v>900</v>
      </c>
      <c r="B429" s="1">
        <v>44340</v>
      </c>
      <c r="C429" s="2" t="s">
        <v>901</v>
      </c>
      <c r="D429" s="2" t="s">
        <v>46</v>
      </c>
      <c r="E429">
        <v>19440</v>
      </c>
      <c r="F429">
        <v>19.2</v>
      </c>
      <c r="G429">
        <v>36</v>
      </c>
      <c r="H429" s="2" t="s">
        <v>19</v>
      </c>
      <c r="I429" s="2" t="s">
        <v>36</v>
      </c>
      <c r="J429" s="2" t="s">
        <v>47</v>
      </c>
      <c r="K429">
        <v>65903</v>
      </c>
      <c r="L429" s="2" t="s">
        <v>22</v>
      </c>
      <c r="M429">
        <v>0.17</v>
      </c>
      <c r="N429">
        <v>0.89</v>
      </c>
      <c r="O429">
        <v>23172.48</v>
      </c>
      <c r="P429">
        <v>0</v>
      </c>
      <c r="Q429">
        <v>57</v>
      </c>
      <c r="R429">
        <v>11197.44</v>
      </c>
      <c r="S429">
        <v>30637.440000000002</v>
      </c>
      <c r="T429">
        <v>3732.4799999999996</v>
      </c>
      <c r="U429">
        <v>0</v>
      </c>
      <c r="V429" s="2" t="s">
        <v>2056</v>
      </c>
      <c r="W429" s="2" t="s">
        <v>2062</v>
      </c>
      <c r="X429">
        <v>31104</v>
      </c>
      <c r="Y429">
        <v>0.19199999999999998</v>
      </c>
      <c r="Z429" s="2" t="s">
        <v>2058</v>
      </c>
    </row>
    <row r="430" spans="1:26" x14ac:dyDescent="0.3">
      <c r="A430" s="2" t="s">
        <v>902</v>
      </c>
      <c r="B430" s="1">
        <v>45081</v>
      </c>
      <c r="C430" s="2" t="s">
        <v>903</v>
      </c>
      <c r="D430" s="2" t="s">
        <v>40</v>
      </c>
      <c r="E430">
        <v>27015</v>
      </c>
      <c r="F430">
        <v>24.5</v>
      </c>
      <c r="G430">
        <v>36</v>
      </c>
      <c r="H430" s="2" t="s">
        <v>19</v>
      </c>
      <c r="I430" s="2" t="s">
        <v>36</v>
      </c>
      <c r="J430" s="2" t="s">
        <v>32</v>
      </c>
      <c r="K430">
        <v>102489</v>
      </c>
      <c r="L430" s="2" t="s">
        <v>33</v>
      </c>
      <c r="M430">
        <v>0.12</v>
      </c>
      <c r="N430">
        <v>0.95</v>
      </c>
      <c r="O430">
        <v>33633.68</v>
      </c>
      <c r="P430">
        <v>0</v>
      </c>
      <c r="Q430">
        <v>33</v>
      </c>
      <c r="R430">
        <v>19856.025000000001</v>
      </c>
      <c r="S430">
        <v>46871.025000000001</v>
      </c>
      <c r="T430">
        <v>6618.68</v>
      </c>
      <c r="U430">
        <v>0</v>
      </c>
      <c r="V430" s="2" t="s">
        <v>2056</v>
      </c>
      <c r="W430" s="2" t="s">
        <v>2062</v>
      </c>
      <c r="X430">
        <v>55155.625</v>
      </c>
      <c r="Y430">
        <v>0.24500018508236165</v>
      </c>
      <c r="Z430" s="2" t="s">
        <v>2058</v>
      </c>
    </row>
    <row r="431" spans="1:26" x14ac:dyDescent="0.3">
      <c r="A431" s="2" t="s">
        <v>904</v>
      </c>
      <c r="B431" s="1">
        <v>45289</v>
      </c>
      <c r="C431" s="2" t="s">
        <v>905</v>
      </c>
      <c r="D431" s="2" t="s">
        <v>25</v>
      </c>
      <c r="E431">
        <v>34320</v>
      </c>
      <c r="F431">
        <v>21.5</v>
      </c>
      <c r="G431">
        <v>60</v>
      </c>
      <c r="H431" s="2" t="s">
        <v>81</v>
      </c>
      <c r="I431" s="2" t="s">
        <v>20</v>
      </c>
      <c r="J431" s="2" t="s">
        <v>47</v>
      </c>
      <c r="K431">
        <v>62093</v>
      </c>
      <c r="L431" s="2" t="s">
        <v>33</v>
      </c>
      <c r="M431">
        <v>0.3</v>
      </c>
      <c r="N431">
        <v>0.69</v>
      </c>
      <c r="O431">
        <v>4545.24</v>
      </c>
      <c r="P431">
        <v>12356.63</v>
      </c>
      <c r="Q431">
        <v>26</v>
      </c>
      <c r="R431">
        <v>36894</v>
      </c>
      <c r="S431">
        <v>71214</v>
      </c>
      <c r="T431">
        <v>-17418.13</v>
      </c>
      <c r="U431">
        <v>1</v>
      </c>
      <c r="V431" s="2" t="s">
        <v>2063</v>
      </c>
      <c r="W431" s="2" t="s">
        <v>2057</v>
      </c>
      <c r="X431">
        <v>61490</v>
      </c>
      <c r="Y431">
        <v>-0.50752127039627037</v>
      </c>
      <c r="Z431" s="2" t="s">
        <v>2061</v>
      </c>
    </row>
    <row r="432" spans="1:26" x14ac:dyDescent="0.3">
      <c r="A432" s="2" t="s">
        <v>906</v>
      </c>
      <c r="B432" s="1">
        <v>44592</v>
      </c>
      <c r="C432" s="2" t="s">
        <v>907</v>
      </c>
      <c r="D432" s="2" t="s">
        <v>56</v>
      </c>
      <c r="E432">
        <v>26291</v>
      </c>
      <c r="F432">
        <v>19</v>
      </c>
      <c r="G432">
        <v>36</v>
      </c>
      <c r="H432" s="2" t="s">
        <v>19</v>
      </c>
      <c r="I432" s="2" t="s">
        <v>27</v>
      </c>
      <c r="J432" s="2" t="s">
        <v>21</v>
      </c>
      <c r="K432">
        <v>121036</v>
      </c>
      <c r="L432" s="2" t="s">
        <v>22</v>
      </c>
      <c r="M432">
        <v>0.14000000000000001</v>
      </c>
      <c r="N432">
        <v>0.55000000000000004</v>
      </c>
      <c r="O432">
        <v>31286.29</v>
      </c>
      <c r="P432">
        <v>0</v>
      </c>
      <c r="Q432">
        <v>49</v>
      </c>
      <c r="R432">
        <v>14985.87</v>
      </c>
      <c r="S432">
        <v>41276.870000000003</v>
      </c>
      <c r="T432">
        <v>4995.2900000000009</v>
      </c>
      <c r="U432">
        <v>0</v>
      </c>
      <c r="V432" s="2" t="s">
        <v>2056</v>
      </c>
      <c r="W432" s="2" t="s">
        <v>2060</v>
      </c>
      <c r="X432">
        <v>41627.416700000002</v>
      </c>
      <c r="Y432">
        <v>0.19000000000000003</v>
      </c>
      <c r="Z432" s="2" t="s">
        <v>2061</v>
      </c>
    </row>
    <row r="433" spans="1:26" x14ac:dyDescent="0.3">
      <c r="A433" s="2" t="s">
        <v>908</v>
      </c>
      <c r="B433" s="1">
        <v>45245</v>
      </c>
      <c r="C433" s="2" t="s">
        <v>909</v>
      </c>
      <c r="D433" s="2" t="s">
        <v>72</v>
      </c>
      <c r="E433">
        <v>37679</v>
      </c>
      <c r="F433">
        <v>21.8</v>
      </c>
      <c r="G433">
        <v>60</v>
      </c>
      <c r="H433" s="2" t="s">
        <v>26</v>
      </c>
      <c r="I433" s="2" t="s">
        <v>84</v>
      </c>
      <c r="J433" s="2" t="s">
        <v>37</v>
      </c>
      <c r="K433">
        <v>117954</v>
      </c>
      <c r="L433" s="2" t="s">
        <v>33</v>
      </c>
      <c r="M433">
        <v>0.15</v>
      </c>
      <c r="N433">
        <v>0.51</v>
      </c>
      <c r="O433">
        <v>9138.7099999999991</v>
      </c>
      <c r="P433">
        <v>0</v>
      </c>
      <c r="Q433">
        <v>28</v>
      </c>
      <c r="R433">
        <v>41070.110000000008</v>
      </c>
      <c r="S433">
        <v>78749.110000000015</v>
      </c>
      <c r="T433">
        <v>-28540.29</v>
      </c>
      <c r="U433">
        <v>0</v>
      </c>
      <c r="V433" s="2" t="s">
        <v>2059</v>
      </c>
      <c r="W433" s="2" t="s">
        <v>2062</v>
      </c>
      <c r="X433">
        <v>68450.183300000004</v>
      </c>
      <c r="Y433">
        <v>-0.75745879667719418</v>
      </c>
      <c r="Z433" s="2" t="s">
        <v>2061</v>
      </c>
    </row>
    <row r="434" spans="1:26" x14ac:dyDescent="0.3">
      <c r="A434" s="2" t="s">
        <v>910</v>
      </c>
      <c r="B434" s="1">
        <v>45144</v>
      </c>
      <c r="C434" s="2" t="s">
        <v>911</v>
      </c>
      <c r="D434" s="2" t="s">
        <v>76</v>
      </c>
      <c r="E434">
        <v>27289</v>
      </c>
      <c r="F434">
        <v>24.6</v>
      </c>
      <c r="G434">
        <v>36</v>
      </c>
      <c r="H434" s="2" t="s">
        <v>26</v>
      </c>
      <c r="I434" s="2" t="s">
        <v>57</v>
      </c>
      <c r="J434" s="2" t="s">
        <v>47</v>
      </c>
      <c r="K434">
        <v>149277</v>
      </c>
      <c r="L434" s="2" t="s">
        <v>22</v>
      </c>
      <c r="M434">
        <v>0.48</v>
      </c>
      <c r="N434">
        <v>0.83</v>
      </c>
      <c r="O434">
        <v>2575.9699999999998</v>
      </c>
      <c r="P434">
        <v>0</v>
      </c>
      <c r="Q434">
        <v>31</v>
      </c>
      <c r="R434">
        <v>20139.281999999999</v>
      </c>
      <c r="S434">
        <v>47428.281999999999</v>
      </c>
      <c r="T434">
        <v>-24713.03</v>
      </c>
      <c r="U434">
        <v>0</v>
      </c>
      <c r="V434" s="2" t="s">
        <v>2059</v>
      </c>
      <c r="W434" s="2" t="s">
        <v>2057</v>
      </c>
      <c r="X434">
        <v>55942.45</v>
      </c>
      <c r="Y434">
        <v>-0.90560408955989591</v>
      </c>
      <c r="Z434" s="2" t="s">
        <v>2058</v>
      </c>
    </row>
    <row r="435" spans="1:26" x14ac:dyDescent="0.3">
      <c r="A435" s="2" t="s">
        <v>912</v>
      </c>
      <c r="B435" s="1">
        <v>45087</v>
      </c>
      <c r="C435" s="2" t="s">
        <v>913</v>
      </c>
      <c r="D435" s="2" t="s">
        <v>18</v>
      </c>
      <c r="E435">
        <v>4389</v>
      </c>
      <c r="F435">
        <v>17.399999999999999</v>
      </c>
      <c r="G435">
        <v>60</v>
      </c>
      <c r="H435" s="2" t="s">
        <v>26</v>
      </c>
      <c r="I435" s="2" t="s">
        <v>73</v>
      </c>
      <c r="J435" s="2" t="s">
        <v>37</v>
      </c>
      <c r="K435">
        <v>64314</v>
      </c>
      <c r="L435" s="2" t="s">
        <v>33</v>
      </c>
      <c r="M435">
        <v>0.45</v>
      </c>
      <c r="N435">
        <v>0.89</v>
      </c>
      <c r="O435">
        <v>1442.19</v>
      </c>
      <c r="P435">
        <v>0</v>
      </c>
      <c r="Q435">
        <v>33</v>
      </c>
      <c r="R435">
        <v>3818.43</v>
      </c>
      <c r="S435">
        <v>8207.43</v>
      </c>
      <c r="T435">
        <v>-2946.81</v>
      </c>
      <c r="U435">
        <v>0</v>
      </c>
      <c r="V435" s="2" t="s">
        <v>2059</v>
      </c>
      <c r="W435" s="2" t="s">
        <v>2064</v>
      </c>
      <c r="X435">
        <v>6364.05</v>
      </c>
      <c r="Y435">
        <v>-0.6714080656185919</v>
      </c>
      <c r="Z435" s="2" t="s">
        <v>2058</v>
      </c>
    </row>
    <row r="436" spans="1:26" x14ac:dyDescent="0.3">
      <c r="A436" s="2" t="s">
        <v>914</v>
      </c>
      <c r="B436" s="1">
        <v>44765</v>
      </c>
      <c r="C436" s="2" t="s">
        <v>915</v>
      </c>
      <c r="D436" s="2" t="s">
        <v>56</v>
      </c>
      <c r="E436">
        <v>26683</v>
      </c>
      <c r="F436">
        <v>16.2</v>
      </c>
      <c r="G436">
        <v>60</v>
      </c>
      <c r="H436" s="2" t="s">
        <v>19</v>
      </c>
      <c r="I436" s="2" t="s">
        <v>27</v>
      </c>
      <c r="J436" s="2" t="s">
        <v>21</v>
      </c>
      <c r="K436">
        <v>78225</v>
      </c>
      <c r="L436" s="2" t="s">
        <v>22</v>
      </c>
      <c r="M436">
        <v>0.28000000000000003</v>
      </c>
      <c r="N436">
        <v>0.6</v>
      </c>
      <c r="O436">
        <v>31005.65</v>
      </c>
      <c r="P436">
        <v>0</v>
      </c>
      <c r="Q436">
        <v>43</v>
      </c>
      <c r="R436">
        <v>21613.23</v>
      </c>
      <c r="S436">
        <v>48296.229999999996</v>
      </c>
      <c r="T436">
        <v>4322.6500000000015</v>
      </c>
      <c r="U436">
        <v>0</v>
      </c>
      <c r="V436" s="2" t="s">
        <v>2056</v>
      </c>
      <c r="W436" s="2" t="s">
        <v>2060</v>
      </c>
      <c r="X436">
        <v>36022.050000000003</v>
      </c>
      <c r="Y436">
        <v>0.16200014990818129</v>
      </c>
      <c r="Z436" s="2" t="s">
        <v>2061</v>
      </c>
    </row>
    <row r="437" spans="1:26" x14ac:dyDescent="0.3">
      <c r="A437" s="2" t="s">
        <v>916</v>
      </c>
      <c r="B437" s="1">
        <v>45259</v>
      </c>
      <c r="C437" s="2" t="s">
        <v>917</v>
      </c>
      <c r="D437" s="2" t="s">
        <v>72</v>
      </c>
      <c r="E437">
        <v>14629</v>
      </c>
      <c r="F437">
        <v>17.600000000000001</v>
      </c>
      <c r="G437">
        <v>36</v>
      </c>
      <c r="H437" s="2" t="s">
        <v>19</v>
      </c>
      <c r="I437" s="2" t="s">
        <v>57</v>
      </c>
      <c r="J437" s="2" t="s">
        <v>47</v>
      </c>
      <c r="K437">
        <v>117985</v>
      </c>
      <c r="L437" s="2" t="s">
        <v>29</v>
      </c>
      <c r="M437">
        <v>0.49</v>
      </c>
      <c r="N437">
        <v>0.56999999999999995</v>
      </c>
      <c r="O437">
        <v>17203.7</v>
      </c>
      <c r="P437">
        <v>0</v>
      </c>
      <c r="Q437">
        <v>27</v>
      </c>
      <c r="R437">
        <v>7724.112000000001</v>
      </c>
      <c r="S437">
        <v>22353.112000000001</v>
      </c>
      <c r="T437">
        <v>2574.7000000000007</v>
      </c>
      <c r="U437">
        <v>0</v>
      </c>
      <c r="V437" s="2" t="s">
        <v>2056</v>
      </c>
      <c r="W437" s="2" t="s">
        <v>2057</v>
      </c>
      <c r="X437">
        <v>21455.866699999999</v>
      </c>
      <c r="Y437">
        <v>0.17599972657051069</v>
      </c>
      <c r="Z437" s="2" t="s">
        <v>2058</v>
      </c>
    </row>
    <row r="438" spans="1:26" x14ac:dyDescent="0.3">
      <c r="A438" s="2" t="s">
        <v>918</v>
      </c>
      <c r="B438" s="1">
        <v>44305</v>
      </c>
      <c r="C438" s="2" t="s">
        <v>919</v>
      </c>
      <c r="D438" s="2" t="s">
        <v>53</v>
      </c>
      <c r="E438">
        <v>25826</v>
      </c>
      <c r="F438">
        <v>15.7</v>
      </c>
      <c r="G438">
        <v>60</v>
      </c>
      <c r="H438" s="2" t="s">
        <v>26</v>
      </c>
      <c r="I438" s="2" t="s">
        <v>20</v>
      </c>
      <c r="J438" s="2" t="s">
        <v>47</v>
      </c>
      <c r="K438">
        <v>113014</v>
      </c>
      <c r="L438" s="2" t="s">
        <v>29</v>
      </c>
      <c r="M438">
        <v>0.1</v>
      </c>
      <c r="N438">
        <v>0.53</v>
      </c>
      <c r="O438">
        <v>2961.24</v>
      </c>
      <c r="P438">
        <v>0</v>
      </c>
      <c r="Q438">
        <v>59</v>
      </c>
      <c r="R438">
        <v>20273.409999999996</v>
      </c>
      <c r="S438">
        <v>46099.409999999996</v>
      </c>
      <c r="T438">
        <v>-22864.760000000002</v>
      </c>
      <c r="U438">
        <v>0</v>
      </c>
      <c r="V438" s="2" t="s">
        <v>2059</v>
      </c>
      <c r="W438" s="2" t="s">
        <v>2057</v>
      </c>
      <c r="X438">
        <v>33789.0167</v>
      </c>
      <c r="Y438">
        <v>-0.88533880585456526</v>
      </c>
      <c r="Z438" s="2" t="s">
        <v>2061</v>
      </c>
    </row>
    <row r="439" spans="1:26" x14ac:dyDescent="0.3">
      <c r="A439" s="2" t="s">
        <v>920</v>
      </c>
      <c r="B439" s="1">
        <v>45262</v>
      </c>
      <c r="C439" s="2" t="s">
        <v>921</v>
      </c>
      <c r="D439" s="2" t="s">
        <v>50</v>
      </c>
      <c r="E439">
        <v>36198</v>
      </c>
      <c r="F439">
        <v>17.7</v>
      </c>
      <c r="G439">
        <v>60</v>
      </c>
      <c r="H439" s="2" t="s">
        <v>19</v>
      </c>
      <c r="I439" s="2" t="s">
        <v>27</v>
      </c>
      <c r="J439" s="2" t="s">
        <v>21</v>
      </c>
      <c r="K439">
        <v>65179</v>
      </c>
      <c r="L439" s="2" t="s">
        <v>22</v>
      </c>
      <c r="M439">
        <v>0.35</v>
      </c>
      <c r="N439">
        <v>0.87</v>
      </c>
      <c r="O439">
        <v>42605.05</v>
      </c>
      <c r="P439">
        <v>0</v>
      </c>
      <c r="Q439">
        <v>27</v>
      </c>
      <c r="R439">
        <v>32035.229999999996</v>
      </c>
      <c r="S439">
        <v>68233.23</v>
      </c>
      <c r="T439">
        <v>6407.0500000000029</v>
      </c>
      <c r="U439">
        <v>0</v>
      </c>
      <c r="V439" s="2" t="s">
        <v>2056</v>
      </c>
      <c r="W439" s="2" t="s">
        <v>2060</v>
      </c>
      <c r="X439">
        <v>53392.05</v>
      </c>
      <c r="Y439">
        <v>0.1770001105033428</v>
      </c>
      <c r="Z439" s="2" t="s">
        <v>2058</v>
      </c>
    </row>
    <row r="440" spans="1:26" x14ac:dyDescent="0.3">
      <c r="A440" s="2" t="s">
        <v>922</v>
      </c>
      <c r="B440" s="1">
        <v>45131</v>
      </c>
      <c r="C440" s="2" t="s">
        <v>923</v>
      </c>
      <c r="D440" s="2" t="s">
        <v>50</v>
      </c>
      <c r="E440">
        <v>27630</v>
      </c>
      <c r="F440">
        <v>14</v>
      </c>
      <c r="G440">
        <v>60</v>
      </c>
      <c r="H440" s="2" t="s">
        <v>19</v>
      </c>
      <c r="I440" s="2" t="s">
        <v>36</v>
      </c>
      <c r="J440" s="2" t="s">
        <v>21</v>
      </c>
      <c r="K440">
        <v>147305</v>
      </c>
      <c r="L440" s="2" t="s">
        <v>29</v>
      </c>
      <c r="M440">
        <v>0.35</v>
      </c>
      <c r="N440">
        <v>0.64</v>
      </c>
      <c r="O440">
        <v>31498.2</v>
      </c>
      <c r="P440">
        <v>0</v>
      </c>
      <c r="Q440">
        <v>31</v>
      </c>
      <c r="R440">
        <v>19341</v>
      </c>
      <c r="S440">
        <v>46971</v>
      </c>
      <c r="T440">
        <v>3868.2000000000007</v>
      </c>
      <c r="U440">
        <v>0</v>
      </c>
      <c r="V440" s="2" t="s">
        <v>2056</v>
      </c>
      <c r="W440" s="2" t="s">
        <v>2062</v>
      </c>
      <c r="X440">
        <v>32235</v>
      </c>
      <c r="Y440">
        <v>0.14000000000000001</v>
      </c>
      <c r="Z440" s="2" t="s">
        <v>2061</v>
      </c>
    </row>
    <row r="441" spans="1:26" x14ac:dyDescent="0.3">
      <c r="A441" s="2" t="s">
        <v>924</v>
      </c>
      <c r="B441" s="1">
        <v>44594</v>
      </c>
      <c r="C441" s="2" t="s">
        <v>925</v>
      </c>
      <c r="D441" s="2" t="s">
        <v>40</v>
      </c>
      <c r="E441">
        <v>34226</v>
      </c>
      <c r="F441">
        <v>9.4</v>
      </c>
      <c r="G441">
        <v>36</v>
      </c>
      <c r="H441" s="2" t="s">
        <v>19</v>
      </c>
      <c r="I441" s="2" t="s">
        <v>27</v>
      </c>
      <c r="J441" s="2" t="s">
        <v>21</v>
      </c>
      <c r="K441">
        <v>142417</v>
      </c>
      <c r="L441" s="2" t="s">
        <v>33</v>
      </c>
      <c r="M441">
        <v>0.28000000000000003</v>
      </c>
      <c r="N441">
        <v>0.68</v>
      </c>
      <c r="O441">
        <v>37443.24</v>
      </c>
      <c r="P441">
        <v>0</v>
      </c>
      <c r="Q441">
        <v>49</v>
      </c>
      <c r="R441">
        <v>9651.732</v>
      </c>
      <c r="S441">
        <v>43877.732000000004</v>
      </c>
      <c r="T441">
        <v>3217.239999999998</v>
      </c>
      <c r="U441">
        <v>0</v>
      </c>
      <c r="V441" s="2" t="s">
        <v>2056</v>
      </c>
      <c r="W441" s="2" t="s">
        <v>2060</v>
      </c>
      <c r="X441">
        <v>26810.366699999999</v>
      </c>
      <c r="Y441">
        <v>9.3999883129784315E-2</v>
      </c>
      <c r="Z441" s="2" t="s">
        <v>2061</v>
      </c>
    </row>
    <row r="442" spans="1:26" x14ac:dyDescent="0.3">
      <c r="A442" s="2" t="s">
        <v>926</v>
      </c>
      <c r="B442" s="1">
        <v>44830</v>
      </c>
      <c r="C442" s="2" t="s">
        <v>927</v>
      </c>
      <c r="D442" s="2" t="s">
        <v>40</v>
      </c>
      <c r="E442">
        <v>33975</v>
      </c>
      <c r="F442">
        <v>7.4</v>
      </c>
      <c r="G442">
        <v>36</v>
      </c>
      <c r="H442" s="2" t="s">
        <v>19</v>
      </c>
      <c r="I442" s="2" t="s">
        <v>27</v>
      </c>
      <c r="J442" s="2" t="s">
        <v>37</v>
      </c>
      <c r="K442">
        <v>55338</v>
      </c>
      <c r="L442" s="2" t="s">
        <v>22</v>
      </c>
      <c r="M442">
        <v>0.26</v>
      </c>
      <c r="N442">
        <v>0.73</v>
      </c>
      <c r="O442">
        <v>36489.15</v>
      </c>
      <c r="P442">
        <v>0</v>
      </c>
      <c r="Q442">
        <v>41</v>
      </c>
      <c r="R442">
        <v>7542.4500000000007</v>
      </c>
      <c r="S442">
        <v>41517.449999999997</v>
      </c>
      <c r="T442">
        <v>2514.1500000000015</v>
      </c>
      <c r="U442">
        <v>0</v>
      </c>
      <c r="V442" s="2" t="s">
        <v>2056</v>
      </c>
      <c r="W442" s="2" t="s">
        <v>2060</v>
      </c>
      <c r="X442">
        <v>20951.250599999999</v>
      </c>
      <c r="Y442">
        <v>7.4000000000000038E-2</v>
      </c>
      <c r="Z442" s="2" t="s">
        <v>2061</v>
      </c>
    </row>
    <row r="443" spans="1:26" x14ac:dyDescent="0.3">
      <c r="A443" s="2" t="s">
        <v>928</v>
      </c>
      <c r="B443" s="1">
        <v>44929</v>
      </c>
      <c r="C443" s="2" t="s">
        <v>929</v>
      </c>
      <c r="D443" s="2" t="s">
        <v>56</v>
      </c>
      <c r="E443">
        <v>1899</v>
      </c>
      <c r="F443">
        <v>6.4</v>
      </c>
      <c r="G443">
        <v>36</v>
      </c>
      <c r="H443" s="2" t="s">
        <v>81</v>
      </c>
      <c r="I443" s="2" t="s">
        <v>57</v>
      </c>
      <c r="J443" s="2" t="s">
        <v>21</v>
      </c>
      <c r="K443">
        <v>122435</v>
      </c>
      <c r="L443" s="2" t="s">
        <v>22</v>
      </c>
      <c r="M443">
        <v>0.28000000000000003</v>
      </c>
      <c r="N443">
        <v>0.88</v>
      </c>
      <c r="O443">
        <v>487.5</v>
      </c>
      <c r="P443">
        <v>737.8</v>
      </c>
      <c r="Q443">
        <v>38</v>
      </c>
      <c r="R443">
        <v>364.608</v>
      </c>
      <c r="S443">
        <v>2263.6080000000002</v>
      </c>
      <c r="T443">
        <v>-673.7</v>
      </c>
      <c r="U443">
        <v>1</v>
      </c>
      <c r="V443" s="2" t="s">
        <v>2063</v>
      </c>
      <c r="W443" s="2" t="s">
        <v>2057</v>
      </c>
      <c r="X443">
        <v>1012.8002</v>
      </c>
      <c r="Y443">
        <v>-0.35476566614007377</v>
      </c>
      <c r="Z443" s="2" t="s">
        <v>2058</v>
      </c>
    </row>
    <row r="444" spans="1:26" x14ac:dyDescent="0.3">
      <c r="A444" s="2" t="s">
        <v>930</v>
      </c>
      <c r="B444" s="1">
        <v>44431</v>
      </c>
      <c r="C444" s="2" t="s">
        <v>931</v>
      </c>
      <c r="D444" s="2" t="s">
        <v>56</v>
      </c>
      <c r="E444">
        <v>12653</v>
      </c>
      <c r="F444">
        <v>10.3</v>
      </c>
      <c r="G444">
        <v>60</v>
      </c>
      <c r="H444" s="2" t="s">
        <v>19</v>
      </c>
      <c r="I444" s="2" t="s">
        <v>20</v>
      </c>
      <c r="J444" s="2" t="s">
        <v>37</v>
      </c>
      <c r="K444">
        <v>99681</v>
      </c>
      <c r="L444" s="2" t="s">
        <v>33</v>
      </c>
      <c r="M444">
        <v>0.27</v>
      </c>
      <c r="N444">
        <v>0.79</v>
      </c>
      <c r="O444">
        <v>13956.26</v>
      </c>
      <c r="P444">
        <v>0</v>
      </c>
      <c r="Q444">
        <v>54</v>
      </c>
      <c r="R444">
        <v>6516.295000000001</v>
      </c>
      <c r="S444">
        <v>19169.295000000002</v>
      </c>
      <c r="T444">
        <v>1303.2600000000002</v>
      </c>
      <c r="U444">
        <v>0</v>
      </c>
      <c r="V444" s="2" t="s">
        <v>2056</v>
      </c>
      <c r="W444" s="2" t="s">
        <v>2057</v>
      </c>
      <c r="X444">
        <v>10860.4917</v>
      </c>
      <c r="Y444">
        <v>0.1030000790326405</v>
      </c>
      <c r="Z444" s="2" t="s">
        <v>2061</v>
      </c>
    </row>
    <row r="445" spans="1:26" x14ac:dyDescent="0.3">
      <c r="A445" s="2" t="s">
        <v>932</v>
      </c>
      <c r="B445" s="1">
        <v>44854</v>
      </c>
      <c r="C445" s="2" t="s">
        <v>933</v>
      </c>
      <c r="D445" s="2" t="s">
        <v>46</v>
      </c>
      <c r="E445">
        <v>28961</v>
      </c>
      <c r="F445">
        <v>5.9</v>
      </c>
      <c r="G445">
        <v>36</v>
      </c>
      <c r="H445" s="2" t="s">
        <v>26</v>
      </c>
      <c r="I445" s="2" t="s">
        <v>27</v>
      </c>
      <c r="J445" s="2" t="s">
        <v>32</v>
      </c>
      <c r="K445">
        <v>62101</v>
      </c>
      <c r="L445" s="2" t="s">
        <v>33</v>
      </c>
      <c r="M445">
        <v>0.39</v>
      </c>
      <c r="N445">
        <v>0.78</v>
      </c>
      <c r="O445">
        <v>1542.14</v>
      </c>
      <c r="P445">
        <v>0</v>
      </c>
      <c r="Q445">
        <v>40</v>
      </c>
      <c r="R445">
        <v>5126.0970000000007</v>
      </c>
      <c r="S445">
        <v>34087.097000000002</v>
      </c>
      <c r="T445">
        <v>-27418.86</v>
      </c>
      <c r="U445">
        <v>0</v>
      </c>
      <c r="V445" s="2" t="s">
        <v>2059</v>
      </c>
      <c r="W445" s="2" t="s">
        <v>2060</v>
      </c>
      <c r="X445">
        <v>14239.166300000001</v>
      </c>
      <c r="Y445">
        <v>-0.94675114809571492</v>
      </c>
      <c r="Z445" s="2" t="s">
        <v>2061</v>
      </c>
    </row>
    <row r="446" spans="1:26" x14ac:dyDescent="0.3">
      <c r="A446" s="2" t="s">
        <v>934</v>
      </c>
      <c r="B446" s="1">
        <v>44947</v>
      </c>
      <c r="C446" s="2" t="s">
        <v>935</v>
      </c>
      <c r="D446" s="2" t="s">
        <v>76</v>
      </c>
      <c r="E446">
        <v>17405</v>
      </c>
      <c r="F446">
        <v>16.3</v>
      </c>
      <c r="G446">
        <v>60</v>
      </c>
      <c r="H446" s="2" t="s">
        <v>19</v>
      </c>
      <c r="I446" s="2" t="s">
        <v>57</v>
      </c>
      <c r="J446" s="2" t="s">
        <v>47</v>
      </c>
      <c r="K446">
        <v>32775</v>
      </c>
      <c r="L446" s="2" t="s">
        <v>22</v>
      </c>
      <c r="M446">
        <v>0.15</v>
      </c>
      <c r="N446">
        <v>0.57999999999999996</v>
      </c>
      <c r="O446">
        <v>20242.02</v>
      </c>
      <c r="P446">
        <v>0</v>
      </c>
      <c r="Q446">
        <v>37</v>
      </c>
      <c r="R446">
        <v>14185.074999999999</v>
      </c>
      <c r="S446">
        <v>31590.074999999997</v>
      </c>
      <c r="T446">
        <v>2837.0200000000004</v>
      </c>
      <c r="U446">
        <v>0</v>
      </c>
      <c r="V446" s="2" t="s">
        <v>2056</v>
      </c>
      <c r="W446" s="2" t="s">
        <v>2057</v>
      </c>
      <c r="X446">
        <v>23641.791700000002</v>
      </c>
      <c r="Y446">
        <v>0.16300028727377194</v>
      </c>
      <c r="Z446" s="2" t="s">
        <v>2061</v>
      </c>
    </row>
    <row r="447" spans="1:26" x14ac:dyDescent="0.3">
      <c r="A447" s="2" t="s">
        <v>936</v>
      </c>
      <c r="B447" s="1">
        <v>44784</v>
      </c>
      <c r="C447" s="2" t="s">
        <v>937</v>
      </c>
      <c r="D447" s="2" t="s">
        <v>65</v>
      </c>
      <c r="E447">
        <v>9601</v>
      </c>
      <c r="F447">
        <v>10.7</v>
      </c>
      <c r="G447">
        <v>60</v>
      </c>
      <c r="H447" s="2" t="s">
        <v>19</v>
      </c>
      <c r="I447" s="2" t="s">
        <v>84</v>
      </c>
      <c r="J447" s="2" t="s">
        <v>47</v>
      </c>
      <c r="K447">
        <v>141497</v>
      </c>
      <c r="L447" s="2" t="s">
        <v>33</v>
      </c>
      <c r="M447">
        <v>0.18</v>
      </c>
      <c r="N447">
        <v>0.73</v>
      </c>
      <c r="O447">
        <v>10628.31</v>
      </c>
      <c r="P447">
        <v>0</v>
      </c>
      <c r="Q447">
        <v>43</v>
      </c>
      <c r="R447">
        <v>5136.5349999999999</v>
      </c>
      <c r="S447">
        <v>14737.535</v>
      </c>
      <c r="T447">
        <v>1027.3099999999995</v>
      </c>
      <c r="U447">
        <v>0</v>
      </c>
      <c r="V447" s="2" t="s">
        <v>2056</v>
      </c>
      <c r="W447" s="2" t="s">
        <v>2062</v>
      </c>
      <c r="X447">
        <v>8560.8917000000001</v>
      </c>
      <c r="Y447">
        <v>0.10700031246745126</v>
      </c>
      <c r="Z447" s="2" t="s">
        <v>2061</v>
      </c>
    </row>
    <row r="448" spans="1:26" x14ac:dyDescent="0.3">
      <c r="A448" s="2" t="s">
        <v>938</v>
      </c>
      <c r="B448" s="1">
        <v>45229</v>
      </c>
      <c r="C448" s="2" t="s">
        <v>939</v>
      </c>
      <c r="D448" s="2" t="s">
        <v>53</v>
      </c>
      <c r="E448">
        <v>34662</v>
      </c>
      <c r="F448">
        <v>21.5</v>
      </c>
      <c r="G448">
        <v>36</v>
      </c>
      <c r="H448" s="2" t="s">
        <v>19</v>
      </c>
      <c r="I448" s="2" t="s">
        <v>20</v>
      </c>
      <c r="J448" s="2" t="s">
        <v>28</v>
      </c>
      <c r="K448">
        <v>127183</v>
      </c>
      <c r="L448" s="2" t="s">
        <v>22</v>
      </c>
      <c r="M448">
        <v>0.17</v>
      </c>
      <c r="N448">
        <v>0.82</v>
      </c>
      <c r="O448">
        <v>42114.33</v>
      </c>
      <c r="P448">
        <v>0</v>
      </c>
      <c r="Q448">
        <v>28</v>
      </c>
      <c r="R448">
        <v>22356.99</v>
      </c>
      <c r="S448">
        <v>57018.990000000005</v>
      </c>
      <c r="T448">
        <v>7452.3300000000017</v>
      </c>
      <c r="U448">
        <v>0</v>
      </c>
      <c r="V448" s="2" t="s">
        <v>2056</v>
      </c>
      <c r="W448" s="2" t="s">
        <v>2057</v>
      </c>
      <c r="X448">
        <v>62102.75</v>
      </c>
      <c r="Y448">
        <v>0.21500000000000005</v>
      </c>
      <c r="Z448" s="2" t="s">
        <v>2058</v>
      </c>
    </row>
    <row r="449" spans="1:26" x14ac:dyDescent="0.3">
      <c r="A449" s="2" t="s">
        <v>940</v>
      </c>
      <c r="B449" s="1">
        <v>45150</v>
      </c>
      <c r="C449" s="2" t="s">
        <v>941</v>
      </c>
      <c r="D449" s="2" t="s">
        <v>40</v>
      </c>
      <c r="E449">
        <v>34282</v>
      </c>
      <c r="F449">
        <v>6.5</v>
      </c>
      <c r="G449">
        <v>36</v>
      </c>
      <c r="H449" s="2" t="s">
        <v>19</v>
      </c>
      <c r="I449" s="2" t="s">
        <v>57</v>
      </c>
      <c r="J449" s="2" t="s">
        <v>32</v>
      </c>
      <c r="K449">
        <v>75619</v>
      </c>
      <c r="L449" s="2" t="s">
        <v>33</v>
      </c>
      <c r="M449">
        <v>0.2</v>
      </c>
      <c r="N449">
        <v>0.94</v>
      </c>
      <c r="O449">
        <v>36510.33</v>
      </c>
      <c r="P449">
        <v>0</v>
      </c>
      <c r="Q449">
        <v>31</v>
      </c>
      <c r="R449">
        <v>6684.9900000000007</v>
      </c>
      <c r="S449">
        <v>40966.99</v>
      </c>
      <c r="T449">
        <v>2228.3300000000017</v>
      </c>
      <c r="U449">
        <v>0</v>
      </c>
      <c r="V449" s="2" t="s">
        <v>2056</v>
      </c>
      <c r="W449" s="2" t="s">
        <v>2057</v>
      </c>
      <c r="X449">
        <v>18569.4198</v>
      </c>
      <c r="Y449">
        <v>6.5000000000000058E-2</v>
      </c>
      <c r="Z449" s="2" t="s">
        <v>2058</v>
      </c>
    </row>
    <row r="450" spans="1:26" x14ac:dyDescent="0.3">
      <c r="A450" s="2" t="s">
        <v>942</v>
      </c>
      <c r="B450" s="1">
        <v>44688</v>
      </c>
      <c r="C450" s="2" t="s">
        <v>943</v>
      </c>
      <c r="D450" s="2" t="s">
        <v>65</v>
      </c>
      <c r="E450">
        <v>22288</v>
      </c>
      <c r="F450">
        <v>9.5</v>
      </c>
      <c r="G450">
        <v>60</v>
      </c>
      <c r="H450" s="2" t="s">
        <v>19</v>
      </c>
      <c r="I450" s="2" t="s">
        <v>57</v>
      </c>
      <c r="J450" s="2" t="s">
        <v>21</v>
      </c>
      <c r="K450">
        <v>75838</v>
      </c>
      <c r="L450" s="2" t="s">
        <v>22</v>
      </c>
      <c r="M450">
        <v>0.31</v>
      </c>
      <c r="N450">
        <v>0.59</v>
      </c>
      <c r="O450">
        <v>24405.360000000001</v>
      </c>
      <c r="P450">
        <v>0</v>
      </c>
      <c r="Q450">
        <v>46</v>
      </c>
      <c r="R450">
        <v>10586.800000000001</v>
      </c>
      <c r="S450">
        <v>32874.800000000003</v>
      </c>
      <c r="T450">
        <v>2117.3600000000006</v>
      </c>
      <c r="U450">
        <v>0</v>
      </c>
      <c r="V450" s="2" t="s">
        <v>2056</v>
      </c>
      <c r="W450" s="2" t="s">
        <v>2057</v>
      </c>
      <c r="X450">
        <v>17644.666700000002</v>
      </c>
      <c r="Y450">
        <v>9.5000000000000029E-2</v>
      </c>
      <c r="Z450" s="2" t="s">
        <v>2061</v>
      </c>
    </row>
    <row r="451" spans="1:26" x14ac:dyDescent="0.3">
      <c r="A451" s="2" t="s">
        <v>944</v>
      </c>
      <c r="B451" s="1">
        <v>45109</v>
      </c>
      <c r="C451" s="2" t="s">
        <v>945</v>
      </c>
      <c r="D451" s="2" t="s">
        <v>65</v>
      </c>
      <c r="E451">
        <v>30545</v>
      </c>
      <c r="F451">
        <v>19.600000000000001</v>
      </c>
      <c r="G451">
        <v>60</v>
      </c>
      <c r="H451" s="2" t="s">
        <v>26</v>
      </c>
      <c r="I451" s="2" t="s">
        <v>36</v>
      </c>
      <c r="J451" s="2" t="s">
        <v>21</v>
      </c>
      <c r="K451">
        <v>49539</v>
      </c>
      <c r="L451" s="2" t="s">
        <v>33</v>
      </c>
      <c r="M451">
        <v>0.14000000000000001</v>
      </c>
      <c r="N451">
        <v>0.5</v>
      </c>
      <c r="O451">
        <v>5878.95</v>
      </c>
      <c r="P451">
        <v>0</v>
      </c>
      <c r="Q451">
        <v>32</v>
      </c>
      <c r="R451">
        <v>29934.099999999995</v>
      </c>
      <c r="S451">
        <v>60479.099999999991</v>
      </c>
      <c r="T451">
        <v>-24666.05</v>
      </c>
      <c r="U451">
        <v>0</v>
      </c>
      <c r="V451" s="2" t="s">
        <v>2059</v>
      </c>
      <c r="W451" s="2" t="s">
        <v>2062</v>
      </c>
      <c r="X451">
        <v>49890.166700000002</v>
      </c>
      <c r="Y451">
        <v>-0.80753151088557862</v>
      </c>
      <c r="Z451" s="2" t="s">
        <v>2061</v>
      </c>
    </row>
    <row r="452" spans="1:26" x14ac:dyDescent="0.3">
      <c r="A452" s="2" t="s">
        <v>946</v>
      </c>
      <c r="B452" s="1">
        <v>44366</v>
      </c>
      <c r="C452" s="2" t="s">
        <v>947</v>
      </c>
      <c r="D452" s="2" t="s">
        <v>76</v>
      </c>
      <c r="E452">
        <v>37877</v>
      </c>
      <c r="F452">
        <v>17</v>
      </c>
      <c r="G452">
        <v>36</v>
      </c>
      <c r="H452" s="2" t="s">
        <v>19</v>
      </c>
      <c r="I452" s="2" t="s">
        <v>20</v>
      </c>
      <c r="J452" s="2" t="s">
        <v>32</v>
      </c>
      <c r="K452">
        <v>132274</v>
      </c>
      <c r="L452" s="2" t="s">
        <v>33</v>
      </c>
      <c r="M452">
        <v>0.45</v>
      </c>
      <c r="N452">
        <v>0.53</v>
      </c>
      <c r="O452">
        <v>44316.09</v>
      </c>
      <c r="P452">
        <v>0</v>
      </c>
      <c r="Q452">
        <v>57</v>
      </c>
      <c r="R452">
        <v>19317.27</v>
      </c>
      <c r="S452">
        <v>57194.270000000004</v>
      </c>
      <c r="T452">
        <v>6439.0899999999965</v>
      </c>
      <c r="U452">
        <v>0</v>
      </c>
      <c r="V452" s="2" t="s">
        <v>2056</v>
      </c>
      <c r="W452" s="2" t="s">
        <v>2057</v>
      </c>
      <c r="X452">
        <v>53659.083299999998</v>
      </c>
      <c r="Y452">
        <v>0.1699999999999999</v>
      </c>
      <c r="Z452" s="2" t="s">
        <v>2058</v>
      </c>
    </row>
    <row r="453" spans="1:26" x14ac:dyDescent="0.3">
      <c r="A453" s="2" t="s">
        <v>948</v>
      </c>
      <c r="B453" s="1">
        <v>45142</v>
      </c>
      <c r="C453" s="2" t="s">
        <v>949</v>
      </c>
      <c r="D453" s="2" t="s">
        <v>25</v>
      </c>
      <c r="E453">
        <v>16313</v>
      </c>
      <c r="F453">
        <v>6.3</v>
      </c>
      <c r="G453">
        <v>36</v>
      </c>
      <c r="H453" s="2" t="s">
        <v>19</v>
      </c>
      <c r="I453" s="2" t="s">
        <v>20</v>
      </c>
      <c r="J453" s="2" t="s">
        <v>21</v>
      </c>
      <c r="K453">
        <v>87124</v>
      </c>
      <c r="L453" s="2" t="s">
        <v>29</v>
      </c>
      <c r="M453">
        <v>0.22</v>
      </c>
      <c r="N453">
        <v>0.67</v>
      </c>
      <c r="O453">
        <v>17340.72</v>
      </c>
      <c r="P453">
        <v>0</v>
      </c>
      <c r="Q453">
        <v>31</v>
      </c>
      <c r="R453">
        <v>3083.1570000000006</v>
      </c>
      <c r="S453">
        <v>19396.156999999999</v>
      </c>
      <c r="T453">
        <v>1027.7200000000012</v>
      </c>
      <c r="U453">
        <v>0</v>
      </c>
      <c r="V453" s="2" t="s">
        <v>2056</v>
      </c>
      <c r="W453" s="2" t="s">
        <v>2057</v>
      </c>
      <c r="X453">
        <v>8564.3271999999997</v>
      </c>
      <c r="Y453">
        <v>6.3000061300803115E-2</v>
      </c>
      <c r="Z453" s="2" t="s">
        <v>2061</v>
      </c>
    </row>
    <row r="454" spans="1:26" x14ac:dyDescent="0.3">
      <c r="A454" s="2" t="s">
        <v>950</v>
      </c>
      <c r="B454" s="1">
        <v>44991</v>
      </c>
      <c r="C454" s="2" t="s">
        <v>951</v>
      </c>
      <c r="D454" s="2" t="s">
        <v>25</v>
      </c>
      <c r="E454">
        <v>16349</v>
      </c>
      <c r="F454">
        <v>22.5</v>
      </c>
      <c r="G454">
        <v>36</v>
      </c>
      <c r="H454" s="2" t="s">
        <v>19</v>
      </c>
      <c r="I454" s="2" t="s">
        <v>20</v>
      </c>
      <c r="J454" s="2" t="s">
        <v>28</v>
      </c>
      <c r="K454">
        <v>95149</v>
      </c>
      <c r="L454" s="2" t="s">
        <v>29</v>
      </c>
      <c r="M454">
        <v>0.17</v>
      </c>
      <c r="N454">
        <v>0.87</v>
      </c>
      <c r="O454">
        <v>20027.53</v>
      </c>
      <c r="P454">
        <v>0</v>
      </c>
      <c r="Q454">
        <v>36</v>
      </c>
      <c r="R454">
        <v>11035.574999999999</v>
      </c>
      <c r="S454">
        <v>27384.574999999997</v>
      </c>
      <c r="T454">
        <v>3678.5299999999988</v>
      </c>
      <c r="U454">
        <v>0</v>
      </c>
      <c r="V454" s="2" t="s">
        <v>2056</v>
      </c>
      <c r="W454" s="2" t="s">
        <v>2057</v>
      </c>
      <c r="X454">
        <v>30654.375</v>
      </c>
      <c r="Y454">
        <v>0.22500030582910263</v>
      </c>
      <c r="Z454" s="2" t="s">
        <v>2058</v>
      </c>
    </row>
    <row r="455" spans="1:26" x14ac:dyDescent="0.3">
      <c r="A455" s="2" t="s">
        <v>952</v>
      </c>
      <c r="B455" s="1">
        <v>44830</v>
      </c>
      <c r="C455" s="2" t="s">
        <v>953</v>
      </c>
      <c r="D455" s="2" t="s">
        <v>40</v>
      </c>
      <c r="E455">
        <v>8179</v>
      </c>
      <c r="F455">
        <v>22.5</v>
      </c>
      <c r="G455">
        <v>60</v>
      </c>
      <c r="H455" s="2" t="s">
        <v>19</v>
      </c>
      <c r="I455" s="2" t="s">
        <v>84</v>
      </c>
      <c r="J455" s="2" t="s">
        <v>37</v>
      </c>
      <c r="K455">
        <v>56616</v>
      </c>
      <c r="L455" s="2" t="s">
        <v>29</v>
      </c>
      <c r="M455">
        <v>0.37</v>
      </c>
      <c r="N455">
        <v>0.5</v>
      </c>
      <c r="O455">
        <v>10019.280000000001</v>
      </c>
      <c r="P455">
        <v>0</v>
      </c>
      <c r="Q455">
        <v>41</v>
      </c>
      <c r="R455">
        <v>9201.375</v>
      </c>
      <c r="S455">
        <v>17380.375</v>
      </c>
      <c r="T455">
        <v>1840.2800000000007</v>
      </c>
      <c r="U455">
        <v>0</v>
      </c>
      <c r="V455" s="2" t="s">
        <v>2056</v>
      </c>
      <c r="W455" s="2" t="s">
        <v>2062</v>
      </c>
      <c r="X455">
        <v>15335.625</v>
      </c>
      <c r="Y455">
        <v>0.22500061132167753</v>
      </c>
      <c r="Z455" s="2" t="s">
        <v>2061</v>
      </c>
    </row>
    <row r="456" spans="1:26" x14ac:dyDescent="0.3">
      <c r="A456" s="2" t="s">
        <v>954</v>
      </c>
      <c r="B456" s="1">
        <v>44225</v>
      </c>
      <c r="C456" s="2" t="s">
        <v>955</v>
      </c>
      <c r="D456" s="2" t="s">
        <v>72</v>
      </c>
      <c r="E456">
        <v>11326</v>
      </c>
      <c r="F456">
        <v>11.6</v>
      </c>
      <c r="G456">
        <v>60</v>
      </c>
      <c r="H456" s="2" t="s">
        <v>81</v>
      </c>
      <c r="I456" s="2" t="s">
        <v>20</v>
      </c>
      <c r="J456" s="2" t="s">
        <v>47</v>
      </c>
      <c r="K456">
        <v>109655</v>
      </c>
      <c r="L456" s="2" t="s">
        <v>33</v>
      </c>
      <c r="M456">
        <v>0.12</v>
      </c>
      <c r="N456">
        <v>0.71</v>
      </c>
      <c r="O456">
        <v>3433.56</v>
      </c>
      <c r="P456">
        <v>1960.48</v>
      </c>
      <c r="Q456">
        <v>61</v>
      </c>
      <c r="R456">
        <v>6569.0800000000008</v>
      </c>
      <c r="S456">
        <v>17895.080000000002</v>
      </c>
      <c r="T456">
        <v>-5931.96</v>
      </c>
      <c r="U456">
        <v>1</v>
      </c>
      <c r="V456" s="2" t="s">
        <v>2063</v>
      </c>
      <c r="W456" s="2" t="s">
        <v>2057</v>
      </c>
      <c r="X456">
        <v>10948.466700000001</v>
      </c>
      <c r="Y456">
        <v>-0.52374713049620347</v>
      </c>
      <c r="Z456" s="2" t="s">
        <v>2061</v>
      </c>
    </row>
    <row r="457" spans="1:26" x14ac:dyDescent="0.3">
      <c r="A457" s="2" t="s">
        <v>956</v>
      </c>
      <c r="B457" s="1">
        <v>44535</v>
      </c>
      <c r="C457" s="2" t="s">
        <v>957</v>
      </c>
      <c r="D457" s="2" t="s">
        <v>76</v>
      </c>
      <c r="E457">
        <v>2560</v>
      </c>
      <c r="F457">
        <v>11.8</v>
      </c>
      <c r="G457">
        <v>60</v>
      </c>
      <c r="H457" s="2" t="s">
        <v>19</v>
      </c>
      <c r="I457" s="2" t="s">
        <v>20</v>
      </c>
      <c r="J457" s="2" t="s">
        <v>32</v>
      </c>
      <c r="K457">
        <v>120695</v>
      </c>
      <c r="L457" s="2" t="s">
        <v>22</v>
      </c>
      <c r="M457">
        <v>0.35</v>
      </c>
      <c r="N457">
        <v>0.65</v>
      </c>
      <c r="O457">
        <v>2862.08</v>
      </c>
      <c r="P457">
        <v>0</v>
      </c>
      <c r="Q457">
        <v>51</v>
      </c>
      <c r="R457">
        <v>1510.3999999999999</v>
      </c>
      <c r="S457">
        <v>4070.3999999999996</v>
      </c>
      <c r="T457">
        <v>302.07999999999993</v>
      </c>
      <c r="U457">
        <v>0</v>
      </c>
      <c r="V457" s="2" t="s">
        <v>2056</v>
      </c>
      <c r="W457" s="2" t="s">
        <v>2057</v>
      </c>
      <c r="X457">
        <v>2517.3332999999998</v>
      </c>
      <c r="Y457">
        <v>0.11799999999999997</v>
      </c>
      <c r="Z457" s="2" t="s">
        <v>2061</v>
      </c>
    </row>
    <row r="458" spans="1:26" x14ac:dyDescent="0.3">
      <c r="A458" s="2" t="s">
        <v>958</v>
      </c>
      <c r="B458" s="1">
        <v>44696</v>
      </c>
      <c r="C458" s="2" t="s">
        <v>959</v>
      </c>
      <c r="D458" s="2" t="s">
        <v>76</v>
      </c>
      <c r="E458">
        <v>14612</v>
      </c>
      <c r="F458">
        <v>24.8</v>
      </c>
      <c r="G458">
        <v>60</v>
      </c>
      <c r="H458" s="2" t="s">
        <v>19</v>
      </c>
      <c r="I458" s="2" t="s">
        <v>20</v>
      </c>
      <c r="J458" s="2" t="s">
        <v>47</v>
      </c>
      <c r="K458">
        <v>84567</v>
      </c>
      <c r="L458" s="2" t="s">
        <v>33</v>
      </c>
      <c r="M458">
        <v>0.38</v>
      </c>
      <c r="N458">
        <v>0.52</v>
      </c>
      <c r="O458">
        <v>18235.78</v>
      </c>
      <c r="P458">
        <v>0</v>
      </c>
      <c r="Q458">
        <v>46</v>
      </c>
      <c r="R458">
        <v>18118.88</v>
      </c>
      <c r="S458">
        <v>32730.880000000001</v>
      </c>
      <c r="T458">
        <v>3623.7799999999988</v>
      </c>
      <c r="U458">
        <v>0</v>
      </c>
      <c r="V458" s="2" t="s">
        <v>2056</v>
      </c>
      <c r="W458" s="2" t="s">
        <v>2057</v>
      </c>
      <c r="X458">
        <v>30198.133300000001</v>
      </c>
      <c r="Y458">
        <v>0.24800027374760464</v>
      </c>
      <c r="Z458" s="2" t="s">
        <v>2061</v>
      </c>
    </row>
    <row r="459" spans="1:26" x14ac:dyDescent="0.3">
      <c r="A459" s="2" t="s">
        <v>960</v>
      </c>
      <c r="B459" s="1">
        <v>44707</v>
      </c>
      <c r="C459" s="2" t="s">
        <v>961</v>
      </c>
      <c r="D459" s="2" t="s">
        <v>18</v>
      </c>
      <c r="E459">
        <v>18650</v>
      </c>
      <c r="F459">
        <v>17.5</v>
      </c>
      <c r="G459">
        <v>60</v>
      </c>
      <c r="H459" s="2" t="s">
        <v>19</v>
      </c>
      <c r="I459" s="2" t="s">
        <v>27</v>
      </c>
      <c r="J459" s="2" t="s">
        <v>37</v>
      </c>
      <c r="K459">
        <v>67099</v>
      </c>
      <c r="L459" s="2" t="s">
        <v>29</v>
      </c>
      <c r="M459">
        <v>0.19</v>
      </c>
      <c r="N459">
        <v>0.7</v>
      </c>
      <c r="O459">
        <v>21913.75</v>
      </c>
      <c r="P459">
        <v>0</v>
      </c>
      <c r="Q459">
        <v>45</v>
      </c>
      <c r="R459">
        <v>16318.75</v>
      </c>
      <c r="S459">
        <v>34968.75</v>
      </c>
      <c r="T459">
        <v>3263.75</v>
      </c>
      <c r="U459">
        <v>0</v>
      </c>
      <c r="V459" s="2" t="s">
        <v>2056</v>
      </c>
      <c r="W459" s="2" t="s">
        <v>2060</v>
      </c>
      <c r="X459">
        <v>27197.916700000002</v>
      </c>
      <c r="Y459">
        <v>0.17499999999999999</v>
      </c>
      <c r="Z459" s="2" t="s">
        <v>2061</v>
      </c>
    </row>
    <row r="460" spans="1:26" x14ac:dyDescent="0.3">
      <c r="A460" s="2" t="s">
        <v>962</v>
      </c>
      <c r="B460" s="1">
        <v>44413</v>
      </c>
      <c r="C460" s="2" t="s">
        <v>963</v>
      </c>
      <c r="D460" s="2" t="s">
        <v>65</v>
      </c>
      <c r="E460">
        <v>27745</v>
      </c>
      <c r="F460">
        <v>15.6</v>
      </c>
      <c r="G460">
        <v>36</v>
      </c>
      <c r="H460" s="2" t="s">
        <v>60</v>
      </c>
      <c r="I460" s="2" t="s">
        <v>20</v>
      </c>
      <c r="J460" s="2" t="s">
        <v>32</v>
      </c>
      <c r="K460">
        <v>105831</v>
      </c>
      <c r="L460" s="2" t="s">
        <v>33</v>
      </c>
      <c r="M460">
        <v>0.12</v>
      </c>
      <c r="N460">
        <v>0.61</v>
      </c>
      <c r="O460">
        <v>0</v>
      </c>
      <c r="P460">
        <v>0</v>
      </c>
      <c r="Q460">
        <v>55</v>
      </c>
      <c r="R460">
        <v>12984.660000000002</v>
      </c>
      <c r="S460">
        <v>40729.660000000003</v>
      </c>
      <c r="T460">
        <v>-27745</v>
      </c>
      <c r="U460">
        <v>0</v>
      </c>
      <c r="V460" s="2" t="s">
        <v>2063</v>
      </c>
      <c r="W460" s="2" t="s">
        <v>2057</v>
      </c>
      <c r="X460">
        <v>36068.5</v>
      </c>
      <c r="Y460">
        <v>-1</v>
      </c>
      <c r="Z460" s="2" t="s">
        <v>2061</v>
      </c>
    </row>
    <row r="461" spans="1:26" x14ac:dyDescent="0.3">
      <c r="A461" s="2" t="s">
        <v>964</v>
      </c>
      <c r="B461" s="1">
        <v>45290</v>
      </c>
      <c r="C461" s="2" t="s">
        <v>965</v>
      </c>
      <c r="D461" s="2" t="s">
        <v>18</v>
      </c>
      <c r="E461">
        <v>32890</v>
      </c>
      <c r="F461">
        <v>21.8</v>
      </c>
      <c r="G461">
        <v>36</v>
      </c>
      <c r="H461" s="2" t="s">
        <v>19</v>
      </c>
      <c r="I461" s="2" t="s">
        <v>57</v>
      </c>
      <c r="J461" s="2" t="s">
        <v>37</v>
      </c>
      <c r="K461">
        <v>130246</v>
      </c>
      <c r="L461" s="2" t="s">
        <v>29</v>
      </c>
      <c r="M461">
        <v>0.25</v>
      </c>
      <c r="N461">
        <v>0.66</v>
      </c>
      <c r="O461">
        <v>40060.019999999997</v>
      </c>
      <c r="P461">
        <v>0</v>
      </c>
      <c r="Q461">
        <v>26</v>
      </c>
      <c r="R461">
        <v>21510.06</v>
      </c>
      <c r="S461">
        <v>54400.06</v>
      </c>
      <c r="T461">
        <v>7170.0199999999968</v>
      </c>
      <c r="U461">
        <v>0</v>
      </c>
      <c r="V461" s="2" t="s">
        <v>2056</v>
      </c>
      <c r="W461" s="2" t="s">
        <v>2057</v>
      </c>
      <c r="X461">
        <v>59750.166700000002</v>
      </c>
      <c r="Y461">
        <v>0.21799999999999992</v>
      </c>
      <c r="Z461" s="2" t="s">
        <v>2061</v>
      </c>
    </row>
    <row r="462" spans="1:26" x14ac:dyDescent="0.3">
      <c r="A462" s="2" t="s">
        <v>966</v>
      </c>
      <c r="B462" s="1">
        <v>44641</v>
      </c>
      <c r="C462" s="2" t="s">
        <v>967</v>
      </c>
      <c r="D462" s="2" t="s">
        <v>65</v>
      </c>
      <c r="E462">
        <v>21022</v>
      </c>
      <c r="F462">
        <v>10.7</v>
      </c>
      <c r="G462">
        <v>60</v>
      </c>
      <c r="H462" s="2" t="s">
        <v>26</v>
      </c>
      <c r="I462" s="2" t="s">
        <v>57</v>
      </c>
      <c r="J462" s="2" t="s">
        <v>21</v>
      </c>
      <c r="K462">
        <v>91799</v>
      </c>
      <c r="L462" s="2" t="s">
        <v>29</v>
      </c>
      <c r="M462">
        <v>0.14000000000000001</v>
      </c>
      <c r="N462">
        <v>0.82</v>
      </c>
      <c r="O462">
        <v>5630.06</v>
      </c>
      <c r="P462">
        <v>0</v>
      </c>
      <c r="Q462">
        <v>47</v>
      </c>
      <c r="R462">
        <v>11246.769999999999</v>
      </c>
      <c r="S462">
        <v>32268.769999999997</v>
      </c>
      <c r="T462">
        <v>-15391.939999999999</v>
      </c>
      <c r="U462">
        <v>0</v>
      </c>
      <c r="V462" s="2" t="s">
        <v>2059</v>
      </c>
      <c r="W462" s="2" t="s">
        <v>2057</v>
      </c>
      <c r="X462">
        <v>18744.616699999999</v>
      </c>
      <c r="Y462">
        <v>-0.73218247550185511</v>
      </c>
      <c r="Z462" s="2" t="s">
        <v>2058</v>
      </c>
    </row>
    <row r="463" spans="1:26" x14ac:dyDescent="0.3">
      <c r="A463" s="2" t="s">
        <v>968</v>
      </c>
      <c r="B463" s="1">
        <v>45072</v>
      </c>
      <c r="C463" s="2" t="s">
        <v>969</v>
      </c>
      <c r="D463" s="2" t="s">
        <v>25</v>
      </c>
      <c r="E463">
        <v>5780</v>
      </c>
      <c r="F463">
        <v>13.6</v>
      </c>
      <c r="G463">
        <v>60</v>
      </c>
      <c r="H463" s="2" t="s">
        <v>19</v>
      </c>
      <c r="I463" s="2" t="s">
        <v>73</v>
      </c>
      <c r="J463" s="2" t="s">
        <v>21</v>
      </c>
      <c r="K463">
        <v>120221</v>
      </c>
      <c r="L463" s="2" t="s">
        <v>22</v>
      </c>
      <c r="M463">
        <v>0.15</v>
      </c>
      <c r="N463">
        <v>0.73</v>
      </c>
      <c r="O463">
        <v>6566.08</v>
      </c>
      <c r="P463">
        <v>0</v>
      </c>
      <c r="Q463">
        <v>33</v>
      </c>
      <c r="R463">
        <v>3930.4</v>
      </c>
      <c r="S463">
        <v>9710.4</v>
      </c>
      <c r="T463">
        <v>786.07999999999993</v>
      </c>
      <c r="U463">
        <v>0</v>
      </c>
      <c r="V463" s="2" t="s">
        <v>2056</v>
      </c>
      <c r="W463" s="2" t="s">
        <v>2064</v>
      </c>
      <c r="X463">
        <v>6550.6666999999998</v>
      </c>
      <c r="Y463">
        <v>0.13599999999999998</v>
      </c>
      <c r="Z463" s="2" t="s">
        <v>2061</v>
      </c>
    </row>
    <row r="464" spans="1:26" x14ac:dyDescent="0.3">
      <c r="A464" s="2" t="s">
        <v>970</v>
      </c>
      <c r="B464" s="1">
        <v>44363</v>
      </c>
      <c r="C464" s="2" t="s">
        <v>971</v>
      </c>
      <c r="D464" s="2" t="s">
        <v>40</v>
      </c>
      <c r="E464">
        <v>19311</v>
      </c>
      <c r="F464">
        <v>10.4</v>
      </c>
      <c r="G464">
        <v>36</v>
      </c>
      <c r="H464" s="2" t="s">
        <v>81</v>
      </c>
      <c r="I464" s="2" t="s">
        <v>27</v>
      </c>
      <c r="J464" s="2" t="s">
        <v>21</v>
      </c>
      <c r="K464">
        <v>144879</v>
      </c>
      <c r="L464" s="2" t="s">
        <v>22</v>
      </c>
      <c r="M464">
        <v>0.2</v>
      </c>
      <c r="N464">
        <v>0.56000000000000005</v>
      </c>
      <c r="O464">
        <v>7598.51</v>
      </c>
      <c r="P464">
        <v>3245.92</v>
      </c>
      <c r="Q464">
        <v>57</v>
      </c>
      <c r="R464">
        <v>6025.0320000000002</v>
      </c>
      <c r="S464">
        <v>25336.031999999999</v>
      </c>
      <c r="T464">
        <v>-8466.57</v>
      </c>
      <c r="U464">
        <v>1</v>
      </c>
      <c r="V464" s="2" t="s">
        <v>2063</v>
      </c>
      <c r="W464" s="2" t="s">
        <v>2060</v>
      </c>
      <c r="X464">
        <v>16736.2</v>
      </c>
      <c r="Y464">
        <v>-0.43843249961162029</v>
      </c>
      <c r="Z464" s="2" t="s">
        <v>2061</v>
      </c>
    </row>
    <row r="465" spans="1:26" x14ac:dyDescent="0.3">
      <c r="A465" s="2" t="s">
        <v>972</v>
      </c>
      <c r="B465" s="1">
        <v>44287</v>
      </c>
      <c r="C465" s="2" t="s">
        <v>973</v>
      </c>
      <c r="D465" s="2" t="s">
        <v>53</v>
      </c>
      <c r="E465">
        <v>29380</v>
      </c>
      <c r="F465">
        <v>20.8</v>
      </c>
      <c r="G465">
        <v>36</v>
      </c>
      <c r="H465" s="2" t="s">
        <v>81</v>
      </c>
      <c r="I465" s="2" t="s">
        <v>73</v>
      </c>
      <c r="J465" s="2" t="s">
        <v>37</v>
      </c>
      <c r="K465">
        <v>55479</v>
      </c>
      <c r="L465" s="2" t="s">
        <v>29</v>
      </c>
      <c r="M465">
        <v>0.22</v>
      </c>
      <c r="N465">
        <v>0.93</v>
      </c>
      <c r="O465">
        <v>10642.35</v>
      </c>
      <c r="P465">
        <v>10361.469999999999</v>
      </c>
      <c r="Q465">
        <v>59</v>
      </c>
      <c r="R465">
        <v>18333.12</v>
      </c>
      <c r="S465">
        <v>47713.119999999995</v>
      </c>
      <c r="T465">
        <v>-8376.18</v>
      </c>
      <c r="U465">
        <v>1</v>
      </c>
      <c r="V465" s="2" t="s">
        <v>2063</v>
      </c>
      <c r="W465" s="2" t="s">
        <v>2064</v>
      </c>
      <c r="X465">
        <v>50925.333299999998</v>
      </c>
      <c r="Y465">
        <v>-0.28509802586793737</v>
      </c>
      <c r="Z465" s="2" t="s">
        <v>2058</v>
      </c>
    </row>
    <row r="466" spans="1:26" x14ac:dyDescent="0.3">
      <c r="A466" s="2" t="s">
        <v>974</v>
      </c>
      <c r="B466" s="1">
        <v>44910</v>
      </c>
      <c r="C466" s="2" t="s">
        <v>975</v>
      </c>
      <c r="D466" s="2" t="s">
        <v>25</v>
      </c>
      <c r="E466">
        <v>3356</v>
      </c>
      <c r="F466">
        <v>16.5</v>
      </c>
      <c r="G466">
        <v>36</v>
      </c>
      <c r="H466" s="2" t="s">
        <v>26</v>
      </c>
      <c r="I466" s="2" t="s">
        <v>36</v>
      </c>
      <c r="J466" s="2" t="s">
        <v>37</v>
      </c>
      <c r="K466">
        <v>76172</v>
      </c>
      <c r="L466" s="2" t="s">
        <v>29</v>
      </c>
      <c r="M466">
        <v>0.31</v>
      </c>
      <c r="N466">
        <v>0.79</v>
      </c>
      <c r="O466">
        <v>710.07</v>
      </c>
      <c r="P466">
        <v>0</v>
      </c>
      <c r="Q466">
        <v>39</v>
      </c>
      <c r="R466">
        <v>1661.22</v>
      </c>
      <c r="S466">
        <v>5017.22</v>
      </c>
      <c r="T466">
        <v>-2645.93</v>
      </c>
      <c r="U466">
        <v>0</v>
      </c>
      <c r="V466" s="2" t="s">
        <v>2059</v>
      </c>
      <c r="W466" s="2" t="s">
        <v>2062</v>
      </c>
      <c r="X466">
        <v>4614.5</v>
      </c>
      <c r="Y466">
        <v>-0.78841775923718704</v>
      </c>
      <c r="Z466" s="2" t="s">
        <v>2061</v>
      </c>
    </row>
    <row r="467" spans="1:26" x14ac:dyDescent="0.3">
      <c r="A467" s="2" t="s">
        <v>976</v>
      </c>
      <c r="B467" s="1">
        <v>44235</v>
      </c>
      <c r="C467" s="2" t="s">
        <v>977</v>
      </c>
      <c r="D467" s="2" t="s">
        <v>76</v>
      </c>
      <c r="E467">
        <v>5790</v>
      </c>
      <c r="F467">
        <v>18.2</v>
      </c>
      <c r="G467">
        <v>36</v>
      </c>
      <c r="H467" s="2" t="s">
        <v>19</v>
      </c>
      <c r="I467" s="2" t="s">
        <v>36</v>
      </c>
      <c r="J467" s="2" t="s">
        <v>37</v>
      </c>
      <c r="K467">
        <v>129165</v>
      </c>
      <c r="L467" s="2" t="s">
        <v>33</v>
      </c>
      <c r="M467">
        <v>0.37</v>
      </c>
      <c r="N467">
        <v>0.84</v>
      </c>
      <c r="O467">
        <v>6843.78</v>
      </c>
      <c r="P467">
        <v>0</v>
      </c>
      <c r="Q467">
        <v>61</v>
      </c>
      <c r="R467">
        <v>3161.34</v>
      </c>
      <c r="S467">
        <v>8951.34</v>
      </c>
      <c r="T467">
        <v>1053.7799999999997</v>
      </c>
      <c r="U467">
        <v>0</v>
      </c>
      <c r="V467" s="2" t="s">
        <v>2056</v>
      </c>
      <c r="W467" s="2" t="s">
        <v>2062</v>
      </c>
      <c r="X467">
        <v>8781.5</v>
      </c>
      <c r="Y467">
        <v>0.18199999999999997</v>
      </c>
      <c r="Z467" s="2" t="s">
        <v>2058</v>
      </c>
    </row>
    <row r="468" spans="1:26" x14ac:dyDescent="0.3">
      <c r="A468" s="2" t="s">
        <v>978</v>
      </c>
      <c r="B468" s="1">
        <v>44369</v>
      </c>
      <c r="C468" s="2" t="s">
        <v>979</v>
      </c>
      <c r="D468" s="2" t="s">
        <v>53</v>
      </c>
      <c r="E468">
        <v>27911</v>
      </c>
      <c r="F468">
        <v>10</v>
      </c>
      <c r="G468">
        <v>60</v>
      </c>
      <c r="H468" s="2" t="s">
        <v>19</v>
      </c>
      <c r="I468" s="2" t="s">
        <v>57</v>
      </c>
      <c r="J468" s="2" t="s">
        <v>47</v>
      </c>
      <c r="K468">
        <v>85863</v>
      </c>
      <c r="L468" s="2" t="s">
        <v>29</v>
      </c>
      <c r="M468">
        <v>0.34</v>
      </c>
      <c r="N468">
        <v>0.54</v>
      </c>
      <c r="O468">
        <v>30702.1</v>
      </c>
      <c r="P468">
        <v>0</v>
      </c>
      <c r="Q468">
        <v>56</v>
      </c>
      <c r="R468">
        <v>13955.5</v>
      </c>
      <c r="S468">
        <v>41866.5</v>
      </c>
      <c r="T468">
        <v>2791.0999999999985</v>
      </c>
      <c r="U468">
        <v>0</v>
      </c>
      <c r="V468" s="2" t="s">
        <v>2056</v>
      </c>
      <c r="W468" s="2" t="s">
        <v>2057</v>
      </c>
      <c r="X468">
        <v>23259.166700000002</v>
      </c>
      <c r="Y468">
        <v>9.999999999999995E-2</v>
      </c>
      <c r="Z468" s="2" t="s">
        <v>2061</v>
      </c>
    </row>
    <row r="469" spans="1:26" x14ac:dyDescent="0.3">
      <c r="A469" s="2" t="s">
        <v>980</v>
      </c>
      <c r="B469" s="1">
        <v>44849</v>
      </c>
      <c r="C469" s="2" t="s">
        <v>981</v>
      </c>
      <c r="D469" s="2" t="s">
        <v>56</v>
      </c>
      <c r="E469">
        <v>25363</v>
      </c>
      <c r="F469">
        <v>9.4</v>
      </c>
      <c r="G469">
        <v>36</v>
      </c>
      <c r="H469" s="2" t="s">
        <v>19</v>
      </c>
      <c r="I469" s="2" t="s">
        <v>27</v>
      </c>
      <c r="J469" s="2" t="s">
        <v>37</v>
      </c>
      <c r="K469">
        <v>72043</v>
      </c>
      <c r="L469" s="2" t="s">
        <v>33</v>
      </c>
      <c r="M469">
        <v>0.16</v>
      </c>
      <c r="N469">
        <v>0.52</v>
      </c>
      <c r="O469">
        <v>27747.119999999999</v>
      </c>
      <c r="P469">
        <v>0</v>
      </c>
      <c r="Q469">
        <v>41</v>
      </c>
      <c r="R469">
        <v>7152.3660000000009</v>
      </c>
      <c r="S469">
        <v>32515.366000000002</v>
      </c>
      <c r="T469">
        <v>2384.119999999999</v>
      </c>
      <c r="U469">
        <v>0</v>
      </c>
      <c r="V469" s="2" t="s">
        <v>2056</v>
      </c>
      <c r="W469" s="2" t="s">
        <v>2060</v>
      </c>
      <c r="X469">
        <v>19867.683400000002</v>
      </c>
      <c r="Y469">
        <v>9.3999921144974921E-2</v>
      </c>
      <c r="Z469" s="2" t="s">
        <v>2061</v>
      </c>
    </row>
    <row r="470" spans="1:26" x14ac:dyDescent="0.3">
      <c r="A470" s="2" t="s">
        <v>982</v>
      </c>
      <c r="B470" s="1">
        <v>44950</v>
      </c>
      <c r="C470" s="2" t="s">
        <v>983</v>
      </c>
      <c r="D470" s="2" t="s">
        <v>53</v>
      </c>
      <c r="E470">
        <v>21049</v>
      </c>
      <c r="F470">
        <v>14.8</v>
      </c>
      <c r="G470">
        <v>60</v>
      </c>
      <c r="H470" s="2" t="s">
        <v>19</v>
      </c>
      <c r="I470" s="2" t="s">
        <v>27</v>
      </c>
      <c r="J470" s="2" t="s">
        <v>21</v>
      </c>
      <c r="K470">
        <v>112569</v>
      </c>
      <c r="L470" s="2" t="s">
        <v>29</v>
      </c>
      <c r="M470">
        <v>0.17</v>
      </c>
      <c r="N470">
        <v>0.51</v>
      </c>
      <c r="O470">
        <v>24164.25</v>
      </c>
      <c r="P470">
        <v>0</v>
      </c>
      <c r="Q470">
        <v>37</v>
      </c>
      <c r="R470">
        <v>15576.26</v>
      </c>
      <c r="S470">
        <v>36625.26</v>
      </c>
      <c r="T470">
        <v>3115.25</v>
      </c>
      <c r="U470">
        <v>0</v>
      </c>
      <c r="V470" s="2" t="s">
        <v>2056</v>
      </c>
      <c r="W470" s="2" t="s">
        <v>2060</v>
      </c>
      <c r="X470">
        <v>25960.433300000001</v>
      </c>
      <c r="Y470">
        <v>0.14799990498360968</v>
      </c>
      <c r="Z470" s="2" t="s">
        <v>2061</v>
      </c>
    </row>
    <row r="471" spans="1:26" x14ac:dyDescent="0.3">
      <c r="A471" s="2" t="s">
        <v>984</v>
      </c>
      <c r="B471" s="1">
        <v>45278</v>
      </c>
      <c r="C471" s="2" t="s">
        <v>985</v>
      </c>
      <c r="D471" s="2" t="s">
        <v>53</v>
      </c>
      <c r="E471">
        <v>11181</v>
      </c>
      <c r="F471">
        <v>19.8</v>
      </c>
      <c r="G471">
        <v>36</v>
      </c>
      <c r="H471" s="2" t="s">
        <v>19</v>
      </c>
      <c r="I471" s="2" t="s">
        <v>36</v>
      </c>
      <c r="J471" s="2" t="s">
        <v>28</v>
      </c>
      <c r="K471">
        <v>132438</v>
      </c>
      <c r="L471" s="2" t="s">
        <v>22</v>
      </c>
      <c r="M471">
        <v>0.45</v>
      </c>
      <c r="N471">
        <v>0.57999999999999996</v>
      </c>
      <c r="O471">
        <v>13394.84</v>
      </c>
      <c r="P471">
        <v>0</v>
      </c>
      <c r="Q471">
        <v>27</v>
      </c>
      <c r="R471">
        <v>6641.5140000000001</v>
      </c>
      <c r="S471">
        <v>17822.513999999999</v>
      </c>
      <c r="T471">
        <v>2213.84</v>
      </c>
      <c r="U471">
        <v>0</v>
      </c>
      <c r="V471" s="2" t="s">
        <v>2056</v>
      </c>
      <c r="W471" s="2" t="s">
        <v>2062</v>
      </c>
      <c r="X471">
        <v>18448.650000000001</v>
      </c>
      <c r="Y471">
        <v>0.19800017887487703</v>
      </c>
      <c r="Z471" s="2" t="s">
        <v>2058</v>
      </c>
    </row>
    <row r="472" spans="1:26" x14ac:dyDescent="0.3">
      <c r="A472" s="2" t="s">
        <v>986</v>
      </c>
      <c r="B472" s="1">
        <v>44672</v>
      </c>
      <c r="C472" s="2" t="s">
        <v>987</v>
      </c>
      <c r="D472" s="2" t="s">
        <v>25</v>
      </c>
      <c r="E472">
        <v>17082</v>
      </c>
      <c r="F472">
        <v>15.5</v>
      </c>
      <c r="G472">
        <v>36</v>
      </c>
      <c r="H472" s="2" t="s">
        <v>19</v>
      </c>
      <c r="I472" s="2" t="s">
        <v>57</v>
      </c>
      <c r="J472" s="2" t="s">
        <v>37</v>
      </c>
      <c r="K472">
        <v>140107</v>
      </c>
      <c r="L472" s="2" t="s">
        <v>22</v>
      </c>
      <c r="M472">
        <v>0.32</v>
      </c>
      <c r="N472">
        <v>0.69</v>
      </c>
      <c r="O472">
        <v>19729.71</v>
      </c>
      <c r="P472">
        <v>0</v>
      </c>
      <c r="Q472">
        <v>46</v>
      </c>
      <c r="R472">
        <v>7943.13</v>
      </c>
      <c r="S472">
        <v>25025.13</v>
      </c>
      <c r="T472">
        <v>2647.7099999999991</v>
      </c>
      <c r="U472">
        <v>0</v>
      </c>
      <c r="V472" s="2" t="s">
        <v>2056</v>
      </c>
      <c r="W472" s="2" t="s">
        <v>2057</v>
      </c>
      <c r="X472">
        <v>22064.25</v>
      </c>
      <c r="Y472">
        <v>0.15499999999999994</v>
      </c>
      <c r="Z472" s="2" t="s">
        <v>2061</v>
      </c>
    </row>
    <row r="473" spans="1:26" x14ac:dyDescent="0.3">
      <c r="A473" s="2" t="s">
        <v>988</v>
      </c>
      <c r="B473" s="1">
        <v>44652</v>
      </c>
      <c r="C473" s="2" t="s">
        <v>989</v>
      </c>
      <c r="D473" s="2" t="s">
        <v>76</v>
      </c>
      <c r="E473">
        <v>1661</v>
      </c>
      <c r="F473">
        <v>5.7</v>
      </c>
      <c r="G473">
        <v>36</v>
      </c>
      <c r="H473" s="2" t="s">
        <v>26</v>
      </c>
      <c r="I473" s="2" t="s">
        <v>73</v>
      </c>
      <c r="J473" s="2" t="s">
        <v>28</v>
      </c>
      <c r="K473">
        <v>45408</v>
      </c>
      <c r="L473" s="2" t="s">
        <v>29</v>
      </c>
      <c r="M473">
        <v>0.45</v>
      </c>
      <c r="N473">
        <v>0.92</v>
      </c>
      <c r="O473">
        <v>117.05</v>
      </c>
      <c r="P473">
        <v>0</v>
      </c>
      <c r="Q473">
        <v>47</v>
      </c>
      <c r="R473">
        <v>284.03100000000001</v>
      </c>
      <c r="S473">
        <v>1945.0309999999999</v>
      </c>
      <c r="T473">
        <v>-1543.95</v>
      </c>
      <c r="U473">
        <v>0</v>
      </c>
      <c r="V473" s="2" t="s">
        <v>2059</v>
      </c>
      <c r="W473" s="2" t="s">
        <v>2064</v>
      </c>
      <c r="X473">
        <v>788.97569999999996</v>
      </c>
      <c r="Y473">
        <v>-0.92953040337146298</v>
      </c>
      <c r="Z473" s="2" t="s">
        <v>2058</v>
      </c>
    </row>
    <row r="474" spans="1:26" x14ac:dyDescent="0.3">
      <c r="A474" s="2" t="s">
        <v>990</v>
      </c>
      <c r="B474" s="1">
        <v>45025</v>
      </c>
      <c r="C474" s="2" t="s">
        <v>991</v>
      </c>
      <c r="D474" s="2" t="s">
        <v>53</v>
      </c>
      <c r="E474">
        <v>38412</v>
      </c>
      <c r="F474">
        <v>22.4</v>
      </c>
      <c r="G474">
        <v>60</v>
      </c>
      <c r="H474" s="2" t="s">
        <v>19</v>
      </c>
      <c r="I474" s="2" t="s">
        <v>57</v>
      </c>
      <c r="J474" s="2" t="s">
        <v>21</v>
      </c>
      <c r="K474">
        <v>87980</v>
      </c>
      <c r="L474" s="2" t="s">
        <v>33</v>
      </c>
      <c r="M474">
        <v>0.25</v>
      </c>
      <c r="N474">
        <v>0.71</v>
      </c>
      <c r="O474">
        <v>47016.29</v>
      </c>
      <c r="P474">
        <v>0</v>
      </c>
      <c r="Q474">
        <v>35</v>
      </c>
      <c r="R474">
        <v>43021.439999999995</v>
      </c>
      <c r="S474">
        <v>81433.440000000002</v>
      </c>
      <c r="T474">
        <v>8604.2900000000009</v>
      </c>
      <c r="U474">
        <v>0</v>
      </c>
      <c r="V474" s="2" t="s">
        <v>2056</v>
      </c>
      <c r="W474" s="2" t="s">
        <v>2057</v>
      </c>
      <c r="X474">
        <v>71702.399999999994</v>
      </c>
      <c r="Y474">
        <v>0.22400005206706239</v>
      </c>
      <c r="Z474" s="2" t="s">
        <v>2061</v>
      </c>
    </row>
    <row r="475" spans="1:26" x14ac:dyDescent="0.3">
      <c r="A475" s="2" t="s">
        <v>992</v>
      </c>
      <c r="B475" s="1">
        <v>45091</v>
      </c>
      <c r="C475" s="2" t="s">
        <v>993</v>
      </c>
      <c r="D475" s="2" t="s">
        <v>25</v>
      </c>
      <c r="E475">
        <v>3920</v>
      </c>
      <c r="F475">
        <v>6.3</v>
      </c>
      <c r="G475">
        <v>60</v>
      </c>
      <c r="H475" s="2" t="s">
        <v>19</v>
      </c>
      <c r="I475" s="2" t="s">
        <v>84</v>
      </c>
      <c r="J475" s="2" t="s">
        <v>37</v>
      </c>
      <c r="K475">
        <v>112956</v>
      </c>
      <c r="L475" s="2" t="s">
        <v>33</v>
      </c>
      <c r="M475">
        <v>0.35</v>
      </c>
      <c r="N475">
        <v>0.63</v>
      </c>
      <c r="O475">
        <v>4166.96</v>
      </c>
      <c r="P475">
        <v>0</v>
      </c>
      <c r="Q475">
        <v>33</v>
      </c>
      <c r="R475">
        <v>1234.8</v>
      </c>
      <c r="S475">
        <v>5154.8</v>
      </c>
      <c r="T475">
        <v>246.96000000000004</v>
      </c>
      <c r="U475">
        <v>0</v>
      </c>
      <c r="V475" s="2" t="s">
        <v>2056</v>
      </c>
      <c r="W475" s="2" t="s">
        <v>2062</v>
      </c>
      <c r="X475">
        <v>2058</v>
      </c>
      <c r="Y475">
        <v>6.3000000000000014E-2</v>
      </c>
      <c r="Z475" s="2" t="s">
        <v>2061</v>
      </c>
    </row>
    <row r="476" spans="1:26" x14ac:dyDescent="0.3">
      <c r="A476" s="2" t="s">
        <v>994</v>
      </c>
      <c r="B476" s="1">
        <v>45221</v>
      </c>
      <c r="C476" s="2" t="s">
        <v>995</v>
      </c>
      <c r="D476" s="2" t="s">
        <v>25</v>
      </c>
      <c r="E476">
        <v>26658</v>
      </c>
      <c r="F476">
        <v>24.1</v>
      </c>
      <c r="G476">
        <v>36</v>
      </c>
      <c r="H476" s="2" t="s">
        <v>19</v>
      </c>
      <c r="I476" s="2" t="s">
        <v>20</v>
      </c>
      <c r="J476" s="2" t="s">
        <v>47</v>
      </c>
      <c r="K476">
        <v>46351</v>
      </c>
      <c r="L476" s="2" t="s">
        <v>33</v>
      </c>
      <c r="M476">
        <v>0.31</v>
      </c>
      <c r="N476">
        <v>0.75</v>
      </c>
      <c r="O476">
        <v>33082.58</v>
      </c>
      <c r="P476">
        <v>0</v>
      </c>
      <c r="Q476">
        <v>28</v>
      </c>
      <c r="R476">
        <v>19273.734</v>
      </c>
      <c r="S476">
        <v>45931.733999999997</v>
      </c>
      <c r="T476">
        <v>6424.5800000000017</v>
      </c>
      <c r="U476">
        <v>0</v>
      </c>
      <c r="V476" s="2" t="s">
        <v>2056</v>
      </c>
      <c r="W476" s="2" t="s">
        <v>2057</v>
      </c>
      <c r="X476">
        <v>53538.15</v>
      </c>
      <c r="Y476">
        <v>0.241000075024383</v>
      </c>
      <c r="Z476" s="2" t="s">
        <v>2061</v>
      </c>
    </row>
    <row r="477" spans="1:26" x14ac:dyDescent="0.3">
      <c r="A477" s="2" t="s">
        <v>996</v>
      </c>
      <c r="B477" s="1">
        <v>44583</v>
      </c>
      <c r="C477" s="2" t="s">
        <v>997</v>
      </c>
      <c r="D477" s="2" t="s">
        <v>53</v>
      </c>
      <c r="E477">
        <v>15025</v>
      </c>
      <c r="F477">
        <v>5.5</v>
      </c>
      <c r="G477">
        <v>60</v>
      </c>
      <c r="H477" s="2" t="s">
        <v>315</v>
      </c>
      <c r="I477" s="2" t="s">
        <v>20</v>
      </c>
      <c r="J477" s="2" t="s">
        <v>47</v>
      </c>
      <c r="K477">
        <v>34131</v>
      </c>
      <c r="L477" s="2" t="s">
        <v>29</v>
      </c>
      <c r="M477">
        <v>0.23</v>
      </c>
      <c r="N477">
        <v>0.55000000000000004</v>
      </c>
      <c r="O477">
        <v>0</v>
      </c>
      <c r="P477">
        <v>0</v>
      </c>
      <c r="Q477">
        <v>49</v>
      </c>
      <c r="R477">
        <v>4131.875</v>
      </c>
      <c r="S477">
        <v>19156.875</v>
      </c>
      <c r="T477">
        <v>-15025</v>
      </c>
      <c r="U477">
        <v>0</v>
      </c>
      <c r="V477" s="2" t="s">
        <v>2063</v>
      </c>
      <c r="W477" s="2" t="s">
        <v>2057</v>
      </c>
      <c r="X477">
        <v>6886.4583000000002</v>
      </c>
      <c r="Y477">
        <v>-1</v>
      </c>
      <c r="Z477" s="2" t="s">
        <v>2061</v>
      </c>
    </row>
    <row r="478" spans="1:26" x14ac:dyDescent="0.3">
      <c r="A478" s="2" t="s">
        <v>998</v>
      </c>
      <c r="B478" s="1">
        <v>44544</v>
      </c>
      <c r="C478" s="2" t="s">
        <v>999</v>
      </c>
      <c r="D478" s="2" t="s">
        <v>65</v>
      </c>
      <c r="E478">
        <v>9946</v>
      </c>
      <c r="F478">
        <v>18.899999999999999</v>
      </c>
      <c r="G478">
        <v>60</v>
      </c>
      <c r="H478" s="2" t="s">
        <v>19</v>
      </c>
      <c r="I478" s="2" t="s">
        <v>57</v>
      </c>
      <c r="J478" s="2" t="s">
        <v>28</v>
      </c>
      <c r="K478">
        <v>146836</v>
      </c>
      <c r="L478" s="2" t="s">
        <v>29</v>
      </c>
      <c r="M478">
        <v>0.28999999999999998</v>
      </c>
      <c r="N478">
        <v>0.77</v>
      </c>
      <c r="O478">
        <v>11825.79</v>
      </c>
      <c r="P478">
        <v>0</v>
      </c>
      <c r="Q478">
        <v>51</v>
      </c>
      <c r="R478">
        <v>9398.9699999999993</v>
      </c>
      <c r="S478">
        <v>19344.97</v>
      </c>
      <c r="T478">
        <v>1879.7900000000009</v>
      </c>
      <c r="U478">
        <v>0</v>
      </c>
      <c r="V478" s="2" t="s">
        <v>2056</v>
      </c>
      <c r="W478" s="2" t="s">
        <v>2057</v>
      </c>
      <c r="X478">
        <v>15664.95</v>
      </c>
      <c r="Y478">
        <v>0.18899959782827275</v>
      </c>
      <c r="Z478" s="2" t="s">
        <v>2061</v>
      </c>
    </row>
    <row r="479" spans="1:26" x14ac:dyDescent="0.3">
      <c r="A479" s="2" t="s">
        <v>1000</v>
      </c>
      <c r="B479" s="1">
        <v>44386</v>
      </c>
      <c r="C479" s="2" t="s">
        <v>1001</v>
      </c>
      <c r="D479" s="2" t="s">
        <v>76</v>
      </c>
      <c r="E479">
        <v>29706</v>
      </c>
      <c r="F479">
        <v>6.6</v>
      </c>
      <c r="G479">
        <v>36</v>
      </c>
      <c r="H479" s="2" t="s">
        <v>26</v>
      </c>
      <c r="I479" s="2" t="s">
        <v>20</v>
      </c>
      <c r="J479" s="2" t="s">
        <v>47</v>
      </c>
      <c r="K479">
        <v>74825</v>
      </c>
      <c r="L479" s="2" t="s">
        <v>22</v>
      </c>
      <c r="M479">
        <v>0.3</v>
      </c>
      <c r="N479">
        <v>0.76</v>
      </c>
      <c r="O479">
        <v>12789.38</v>
      </c>
      <c r="P479">
        <v>0</v>
      </c>
      <c r="Q479">
        <v>56</v>
      </c>
      <c r="R479">
        <v>5881.7879999999996</v>
      </c>
      <c r="S479">
        <v>35587.788</v>
      </c>
      <c r="T479">
        <v>-16916.620000000003</v>
      </c>
      <c r="U479">
        <v>0</v>
      </c>
      <c r="V479" s="2" t="s">
        <v>2059</v>
      </c>
      <c r="W479" s="2" t="s">
        <v>2057</v>
      </c>
      <c r="X479">
        <v>16338.302299999999</v>
      </c>
      <c r="Y479">
        <v>-0.5694681209183331</v>
      </c>
      <c r="Z479" s="2" t="s">
        <v>2061</v>
      </c>
    </row>
    <row r="480" spans="1:26" x14ac:dyDescent="0.3">
      <c r="A480" s="2" t="s">
        <v>1002</v>
      </c>
      <c r="B480" s="1">
        <v>44701</v>
      </c>
      <c r="C480" s="2" t="s">
        <v>1003</v>
      </c>
      <c r="D480" s="2" t="s">
        <v>50</v>
      </c>
      <c r="E480">
        <v>17309</v>
      </c>
      <c r="F480">
        <v>23.2</v>
      </c>
      <c r="G480">
        <v>36</v>
      </c>
      <c r="H480" s="2" t="s">
        <v>19</v>
      </c>
      <c r="I480" s="2" t="s">
        <v>73</v>
      </c>
      <c r="J480" s="2" t="s">
        <v>47</v>
      </c>
      <c r="K480">
        <v>41349</v>
      </c>
      <c r="L480" s="2" t="s">
        <v>22</v>
      </c>
      <c r="M480">
        <v>0.18</v>
      </c>
      <c r="N480">
        <v>0.86</v>
      </c>
      <c r="O480">
        <v>21324.69</v>
      </c>
      <c r="P480">
        <v>0</v>
      </c>
      <c r="Q480">
        <v>45</v>
      </c>
      <c r="R480">
        <v>12047.064</v>
      </c>
      <c r="S480">
        <v>29356.063999999998</v>
      </c>
      <c r="T480">
        <v>4015.6899999999987</v>
      </c>
      <c r="U480">
        <v>0</v>
      </c>
      <c r="V480" s="2" t="s">
        <v>2056</v>
      </c>
      <c r="W480" s="2" t="s">
        <v>2064</v>
      </c>
      <c r="X480">
        <v>33464.066700000003</v>
      </c>
      <c r="Y480">
        <v>0.23200011554682529</v>
      </c>
      <c r="Z480" s="2" t="s">
        <v>2058</v>
      </c>
    </row>
    <row r="481" spans="1:26" x14ac:dyDescent="0.3">
      <c r="A481" s="2" t="s">
        <v>1004</v>
      </c>
      <c r="B481" s="1">
        <v>45020</v>
      </c>
      <c r="C481" s="2" t="s">
        <v>1005</v>
      </c>
      <c r="D481" s="2" t="s">
        <v>53</v>
      </c>
      <c r="E481">
        <v>34120</v>
      </c>
      <c r="F481">
        <v>14.3</v>
      </c>
      <c r="G481">
        <v>60</v>
      </c>
      <c r="H481" s="2" t="s">
        <v>19</v>
      </c>
      <c r="I481" s="2" t="s">
        <v>20</v>
      </c>
      <c r="J481" s="2" t="s">
        <v>47</v>
      </c>
      <c r="K481">
        <v>90931</v>
      </c>
      <c r="L481" s="2" t="s">
        <v>29</v>
      </c>
      <c r="M481">
        <v>0.23</v>
      </c>
      <c r="N481">
        <v>0.94</v>
      </c>
      <c r="O481">
        <v>38999.160000000003</v>
      </c>
      <c r="P481">
        <v>0</v>
      </c>
      <c r="Q481">
        <v>35</v>
      </c>
      <c r="R481">
        <v>24395.8</v>
      </c>
      <c r="S481">
        <v>58515.8</v>
      </c>
      <c r="T481">
        <v>4879.1600000000035</v>
      </c>
      <c r="U481">
        <v>0</v>
      </c>
      <c r="V481" s="2" t="s">
        <v>2056</v>
      </c>
      <c r="W481" s="2" t="s">
        <v>2057</v>
      </c>
      <c r="X481">
        <v>40659.666700000002</v>
      </c>
      <c r="Y481">
        <v>0.1430000000000001</v>
      </c>
      <c r="Z481" s="2" t="s">
        <v>2058</v>
      </c>
    </row>
    <row r="482" spans="1:26" x14ac:dyDescent="0.3">
      <c r="A482" s="2" t="s">
        <v>1006</v>
      </c>
      <c r="B482" s="1">
        <v>45125</v>
      </c>
      <c r="C482" s="2" t="s">
        <v>1007</v>
      </c>
      <c r="D482" s="2" t="s">
        <v>18</v>
      </c>
      <c r="E482">
        <v>31027</v>
      </c>
      <c r="F482">
        <v>7.8</v>
      </c>
      <c r="G482">
        <v>60</v>
      </c>
      <c r="H482" s="2" t="s">
        <v>19</v>
      </c>
      <c r="I482" s="2" t="s">
        <v>57</v>
      </c>
      <c r="J482" s="2" t="s">
        <v>21</v>
      </c>
      <c r="K482">
        <v>74254</v>
      </c>
      <c r="L482" s="2" t="s">
        <v>22</v>
      </c>
      <c r="M482">
        <v>0.42</v>
      </c>
      <c r="N482">
        <v>0.61</v>
      </c>
      <c r="O482">
        <v>33447.11</v>
      </c>
      <c r="P482">
        <v>0</v>
      </c>
      <c r="Q482">
        <v>32</v>
      </c>
      <c r="R482">
        <v>12100.53</v>
      </c>
      <c r="S482">
        <v>43127.53</v>
      </c>
      <c r="T482">
        <v>2420.1100000000006</v>
      </c>
      <c r="U482">
        <v>0</v>
      </c>
      <c r="V482" s="2" t="s">
        <v>2056</v>
      </c>
      <c r="W482" s="2" t="s">
        <v>2057</v>
      </c>
      <c r="X482">
        <v>20167.55</v>
      </c>
      <c r="Y482">
        <v>7.8000128919972947E-2</v>
      </c>
      <c r="Z482" s="2" t="s">
        <v>2058</v>
      </c>
    </row>
    <row r="483" spans="1:26" x14ac:dyDescent="0.3">
      <c r="A483" s="2" t="s">
        <v>1008</v>
      </c>
      <c r="B483" s="1">
        <v>45130</v>
      </c>
      <c r="C483" s="2" t="s">
        <v>1009</v>
      </c>
      <c r="D483" s="2" t="s">
        <v>18</v>
      </c>
      <c r="E483">
        <v>8005</v>
      </c>
      <c r="F483">
        <v>11.8</v>
      </c>
      <c r="G483">
        <v>60</v>
      </c>
      <c r="H483" s="2" t="s">
        <v>19</v>
      </c>
      <c r="I483" s="2" t="s">
        <v>36</v>
      </c>
      <c r="J483" s="2" t="s">
        <v>47</v>
      </c>
      <c r="K483">
        <v>68225</v>
      </c>
      <c r="L483" s="2" t="s">
        <v>33</v>
      </c>
      <c r="M483">
        <v>0.47</v>
      </c>
      <c r="N483">
        <v>0.73</v>
      </c>
      <c r="O483">
        <v>8949.59</v>
      </c>
      <c r="P483">
        <v>0</v>
      </c>
      <c r="Q483">
        <v>31</v>
      </c>
      <c r="R483">
        <v>4722.95</v>
      </c>
      <c r="S483">
        <v>12727.95</v>
      </c>
      <c r="T483">
        <v>944.59000000000015</v>
      </c>
      <c r="U483">
        <v>0</v>
      </c>
      <c r="V483" s="2" t="s">
        <v>2056</v>
      </c>
      <c r="W483" s="2" t="s">
        <v>2062</v>
      </c>
      <c r="X483">
        <v>7871.5833000000002</v>
      </c>
      <c r="Y483">
        <v>0.11800000000000002</v>
      </c>
      <c r="Z483" s="2" t="s">
        <v>2058</v>
      </c>
    </row>
    <row r="484" spans="1:26" x14ac:dyDescent="0.3">
      <c r="A484" s="2" t="s">
        <v>1010</v>
      </c>
      <c r="B484" s="1">
        <v>44330</v>
      </c>
      <c r="C484" s="2" t="s">
        <v>1011</v>
      </c>
      <c r="D484" s="2" t="s">
        <v>56</v>
      </c>
      <c r="E484">
        <v>1956</v>
      </c>
      <c r="F484">
        <v>8.3000000000000007</v>
      </c>
      <c r="G484">
        <v>36</v>
      </c>
      <c r="H484" s="2" t="s">
        <v>26</v>
      </c>
      <c r="I484" s="2" t="s">
        <v>57</v>
      </c>
      <c r="J484" s="2" t="s">
        <v>32</v>
      </c>
      <c r="K484">
        <v>134383</v>
      </c>
      <c r="L484" s="2" t="s">
        <v>33</v>
      </c>
      <c r="M484">
        <v>0.24</v>
      </c>
      <c r="N484">
        <v>0.91</v>
      </c>
      <c r="O484">
        <v>899.87</v>
      </c>
      <c r="P484">
        <v>0</v>
      </c>
      <c r="Q484">
        <v>58</v>
      </c>
      <c r="R484">
        <v>487.04400000000004</v>
      </c>
      <c r="S484">
        <v>2443.0439999999999</v>
      </c>
      <c r="T484">
        <v>-1056.1300000000001</v>
      </c>
      <c r="U484">
        <v>0</v>
      </c>
      <c r="V484" s="2" t="s">
        <v>2059</v>
      </c>
      <c r="W484" s="2" t="s">
        <v>2057</v>
      </c>
      <c r="X484">
        <v>1352.9</v>
      </c>
      <c r="Y484">
        <v>-0.53994376278118617</v>
      </c>
      <c r="Z484" s="2" t="s">
        <v>2058</v>
      </c>
    </row>
    <row r="485" spans="1:26" x14ac:dyDescent="0.3">
      <c r="A485" s="2" t="s">
        <v>1012</v>
      </c>
      <c r="B485" s="1">
        <v>44254</v>
      </c>
      <c r="C485" s="2" t="s">
        <v>1013</v>
      </c>
      <c r="D485" s="2" t="s">
        <v>76</v>
      </c>
      <c r="E485">
        <v>35839</v>
      </c>
      <c r="F485">
        <v>8.4</v>
      </c>
      <c r="G485">
        <v>36</v>
      </c>
      <c r="H485" s="2" t="s">
        <v>26</v>
      </c>
      <c r="I485" s="2" t="s">
        <v>27</v>
      </c>
      <c r="J485" s="2" t="s">
        <v>37</v>
      </c>
      <c r="K485">
        <v>42453</v>
      </c>
      <c r="L485" s="2" t="s">
        <v>29</v>
      </c>
      <c r="M485">
        <v>0.22</v>
      </c>
      <c r="N485">
        <v>0.85</v>
      </c>
      <c r="O485">
        <v>15026.66</v>
      </c>
      <c r="P485">
        <v>0</v>
      </c>
      <c r="Q485">
        <v>60</v>
      </c>
      <c r="R485">
        <v>9031.4280000000017</v>
      </c>
      <c r="S485">
        <v>44870.428</v>
      </c>
      <c r="T485">
        <v>-20812.34</v>
      </c>
      <c r="U485">
        <v>0</v>
      </c>
      <c r="V485" s="2" t="s">
        <v>2059</v>
      </c>
      <c r="W485" s="2" t="s">
        <v>2060</v>
      </c>
      <c r="X485">
        <v>25087.3001</v>
      </c>
      <c r="Y485">
        <v>-0.58071765395239827</v>
      </c>
      <c r="Z485" s="2" t="s">
        <v>2058</v>
      </c>
    </row>
    <row r="486" spans="1:26" x14ac:dyDescent="0.3">
      <c r="A486" s="2" t="s">
        <v>1014</v>
      </c>
      <c r="B486" s="1">
        <v>44881</v>
      </c>
      <c r="C486" s="2" t="s">
        <v>1015</v>
      </c>
      <c r="D486" s="2" t="s">
        <v>25</v>
      </c>
      <c r="E486">
        <v>9595</v>
      </c>
      <c r="F486">
        <v>24</v>
      </c>
      <c r="G486">
        <v>60</v>
      </c>
      <c r="H486" s="2" t="s">
        <v>19</v>
      </c>
      <c r="I486" s="2" t="s">
        <v>20</v>
      </c>
      <c r="J486" s="2" t="s">
        <v>47</v>
      </c>
      <c r="K486">
        <v>48814</v>
      </c>
      <c r="L486" s="2" t="s">
        <v>33</v>
      </c>
      <c r="M486">
        <v>0.18</v>
      </c>
      <c r="N486">
        <v>0.72</v>
      </c>
      <c r="O486">
        <v>11897.8</v>
      </c>
      <c r="P486">
        <v>0</v>
      </c>
      <c r="Q486">
        <v>40</v>
      </c>
      <c r="R486">
        <v>11514</v>
      </c>
      <c r="S486">
        <v>21109</v>
      </c>
      <c r="T486">
        <v>2302.7999999999993</v>
      </c>
      <c r="U486">
        <v>0</v>
      </c>
      <c r="V486" s="2" t="s">
        <v>2056</v>
      </c>
      <c r="W486" s="2" t="s">
        <v>2057</v>
      </c>
      <c r="X486">
        <v>19190</v>
      </c>
      <c r="Y486">
        <v>0.23999999999999994</v>
      </c>
      <c r="Z486" s="2" t="s">
        <v>2061</v>
      </c>
    </row>
    <row r="487" spans="1:26" x14ac:dyDescent="0.3">
      <c r="A487" s="2" t="s">
        <v>1016</v>
      </c>
      <c r="B487" s="1">
        <v>44868</v>
      </c>
      <c r="C487" s="2" t="s">
        <v>1017</v>
      </c>
      <c r="D487" s="2" t="s">
        <v>46</v>
      </c>
      <c r="E487">
        <v>13803</v>
      </c>
      <c r="F487">
        <v>13.9</v>
      </c>
      <c r="G487">
        <v>36</v>
      </c>
      <c r="H487" s="2" t="s">
        <v>60</v>
      </c>
      <c r="I487" s="2" t="s">
        <v>20</v>
      </c>
      <c r="J487" s="2" t="s">
        <v>47</v>
      </c>
      <c r="K487">
        <v>48263</v>
      </c>
      <c r="L487" s="2" t="s">
        <v>29</v>
      </c>
      <c r="M487">
        <v>0.37</v>
      </c>
      <c r="N487">
        <v>0.93</v>
      </c>
      <c r="O487">
        <v>0</v>
      </c>
      <c r="P487">
        <v>0</v>
      </c>
      <c r="Q487">
        <v>40</v>
      </c>
      <c r="R487">
        <v>5755.8509999999997</v>
      </c>
      <c r="S487">
        <v>19558.850999999999</v>
      </c>
      <c r="T487">
        <v>-13803</v>
      </c>
      <c r="U487">
        <v>0</v>
      </c>
      <c r="V487" s="2" t="s">
        <v>2063</v>
      </c>
      <c r="W487" s="2" t="s">
        <v>2057</v>
      </c>
      <c r="X487">
        <v>15988.475</v>
      </c>
      <c r="Y487">
        <v>-1</v>
      </c>
      <c r="Z487" s="2" t="s">
        <v>2058</v>
      </c>
    </row>
    <row r="488" spans="1:26" x14ac:dyDescent="0.3">
      <c r="A488" s="2" t="s">
        <v>1018</v>
      </c>
      <c r="B488" s="1">
        <v>44369</v>
      </c>
      <c r="C488" s="2" t="s">
        <v>1019</v>
      </c>
      <c r="D488" s="2" t="s">
        <v>40</v>
      </c>
      <c r="E488">
        <v>26963</v>
      </c>
      <c r="F488">
        <v>20.8</v>
      </c>
      <c r="G488">
        <v>36</v>
      </c>
      <c r="H488" s="2" t="s">
        <v>19</v>
      </c>
      <c r="I488" s="2" t="s">
        <v>84</v>
      </c>
      <c r="J488" s="2" t="s">
        <v>47</v>
      </c>
      <c r="K488">
        <v>107694</v>
      </c>
      <c r="L488" s="2" t="s">
        <v>33</v>
      </c>
      <c r="M488">
        <v>0.23</v>
      </c>
      <c r="N488">
        <v>0.53</v>
      </c>
      <c r="O488">
        <v>32571.3</v>
      </c>
      <c r="P488">
        <v>0</v>
      </c>
      <c r="Q488">
        <v>56</v>
      </c>
      <c r="R488">
        <v>16824.912</v>
      </c>
      <c r="S488">
        <v>43787.911999999997</v>
      </c>
      <c r="T488">
        <v>5608.2999999999993</v>
      </c>
      <c r="U488">
        <v>0</v>
      </c>
      <c r="V488" s="2" t="s">
        <v>2056</v>
      </c>
      <c r="W488" s="2" t="s">
        <v>2062</v>
      </c>
      <c r="X488">
        <v>46735.866699999999</v>
      </c>
      <c r="Y488">
        <v>0.20799985164855539</v>
      </c>
      <c r="Z488" s="2" t="s">
        <v>2061</v>
      </c>
    </row>
    <row r="489" spans="1:26" x14ac:dyDescent="0.3">
      <c r="A489" s="2" t="s">
        <v>1020</v>
      </c>
      <c r="B489" s="1">
        <v>45011</v>
      </c>
      <c r="C489" s="2" t="s">
        <v>1021</v>
      </c>
      <c r="D489" s="2" t="s">
        <v>72</v>
      </c>
      <c r="E489">
        <v>37221</v>
      </c>
      <c r="F489">
        <v>17.8</v>
      </c>
      <c r="G489">
        <v>60</v>
      </c>
      <c r="H489" s="2" t="s">
        <v>315</v>
      </c>
      <c r="I489" s="2" t="s">
        <v>27</v>
      </c>
      <c r="J489" s="2" t="s">
        <v>32</v>
      </c>
      <c r="K489">
        <v>45735</v>
      </c>
      <c r="L489" s="2" t="s">
        <v>29</v>
      </c>
      <c r="M489">
        <v>0.5</v>
      </c>
      <c r="N489">
        <v>0.92</v>
      </c>
      <c r="O489">
        <v>0</v>
      </c>
      <c r="P489">
        <v>0</v>
      </c>
      <c r="Q489">
        <v>35</v>
      </c>
      <c r="R489">
        <v>33126.69</v>
      </c>
      <c r="S489">
        <v>70347.69</v>
      </c>
      <c r="T489">
        <v>-37221</v>
      </c>
      <c r="U489">
        <v>0</v>
      </c>
      <c r="V489" s="2" t="s">
        <v>2063</v>
      </c>
      <c r="W489" s="2" t="s">
        <v>2060</v>
      </c>
      <c r="X489">
        <v>55211.15</v>
      </c>
      <c r="Y489">
        <v>-1</v>
      </c>
      <c r="Z489" s="2" t="s">
        <v>2058</v>
      </c>
    </row>
    <row r="490" spans="1:26" x14ac:dyDescent="0.3">
      <c r="A490" s="2" t="s">
        <v>1022</v>
      </c>
      <c r="B490" s="1">
        <v>44276</v>
      </c>
      <c r="C490" s="2" t="s">
        <v>1023</v>
      </c>
      <c r="D490" s="2" t="s">
        <v>46</v>
      </c>
      <c r="E490">
        <v>34723</v>
      </c>
      <c r="F490">
        <v>18.5</v>
      </c>
      <c r="G490">
        <v>60</v>
      </c>
      <c r="H490" s="2" t="s">
        <v>315</v>
      </c>
      <c r="I490" s="2" t="s">
        <v>57</v>
      </c>
      <c r="J490" s="2" t="s">
        <v>47</v>
      </c>
      <c r="K490">
        <v>45830</v>
      </c>
      <c r="L490" s="2" t="s">
        <v>33</v>
      </c>
      <c r="M490">
        <v>0.23</v>
      </c>
      <c r="N490">
        <v>0.52</v>
      </c>
      <c r="O490">
        <v>0</v>
      </c>
      <c r="P490">
        <v>0</v>
      </c>
      <c r="Q490">
        <v>59</v>
      </c>
      <c r="R490">
        <v>32118.774999999998</v>
      </c>
      <c r="S490">
        <v>66841.774999999994</v>
      </c>
      <c r="T490">
        <v>-34723</v>
      </c>
      <c r="U490">
        <v>0</v>
      </c>
      <c r="V490" s="2" t="s">
        <v>2063</v>
      </c>
      <c r="W490" s="2" t="s">
        <v>2057</v>
      </c>
      <c r="X490">
        <v>53531.291700000002</v>
      </c>
      <c r="Y490">
        <v>-1</v>
      </c>
      <c r="Z490" s="2" t="s">
        <v>2061</v>
      </c>
    </row>
    <row r="491" spans="1:26" x14ac:dyDescent="0.3">
      <c r="A491" s="2" t="s">
        <v>1024</v>
      </c>
      <c r="B491" s="1">
        <v>45082</v>
      </c>
      <c r="C491" s="2" t="s">
        <v>1025</v>
      </c>
      <c r="D491" s="2" t="s">
        <v>76</v>
      </c>
      <c r="E491">
        <v>16282</v>
      </c>
      <c r="F491">
        <v>7.6</v>
      </c>
      <c r="G491">
        <v>36</v>
      </c>
      <c r="H491" s="2" t="s">
        <v>19</v>
      </c>
      <c r="I491" s="2" t="s">
        <v>36</v>
      </c>
      <c r="J491" s="2" t="s">
        <v>47</v>
      </c>
      <c r="K491">
        <v>77893</v>
      </c>
      <c r="L491" s="2" t="s">
        <v>33</v>
      </c>
      <c r="M491">
        <v>0.26</v>
      </c>
      <c r="N491">
        <v>0.75</v>
      </c>
      <c r="O491">
        <v>17519.43</v>
      </c>
      <c r="P491">
        <v>0</v>
      </c>
      <c r="Q491">
        <v>33</v>
      </c>
      <c r="R491">
        <v>3712.2960000000003</v>
      </c>
      <c r="S491">
        <v>19994.296000000002</v>
      </c>
      <c r="T491">
        <v>1237.4300000000003</v>
      </c>
      <c r="U491">
        <v>0</v>
      </c>
      <c r="V491" s="2" t="s">
        <v>2056</v>
      </c>
      <c r="W491" s="2" t="s">
        <v>2062</v>
      </c>
      <c r="X491">
        <v>10311.9336</v>
      </c>
      <c r="Y491">
        <v>7.5999877164967464E-2</v>
      </c>
      <c r="Z491" s="2" t="s">
        <v>2061</v>
      </c>
    </row>
    <row r="492" spans="1:26" x14ac:dyDescent="0.3">
      <c r="A492" s="2" t="s">
        <v>1026</v>
      </c>
      <c r="B492" s="1">
        <v>44399</v>
      </c>
      <c r="C492" s="2" t="s">
        <v>1027</v>
      </c>
      <c r="D492" s="2" t="s">
        <v>76</v>
      </c>
      <c r="E492">
        <v>5703</v>
      </c>
      <c r="F492">
        <v>9.6999999999999993</v>
      </c>
      <c r="G492">
        <v>36</v>
      </c>
      <c r="H492" s="2" t="s">
        <v>19</v>
      </c>
      <c r="I492" s="2" t="s">
        <v>36</v>
      </c>
      <c r="J492" s="2" t="s">
        <v>37</v>
      </c>
      <c r="K492">
        <v>74673</v>
      </c>
      <c r="L492" s="2" t="s">
        <v>22</v>
      </c>
      <c r="M492">
        <v>0.34</v>
      </c>
      <c r="N492">
        <v>0.9</v>
      </c>
      <c r="O492">
        <v>6256.19</v>
      </c>
      <c r="P492">
        <v>0</v>
      </c>
      <c r="Q492">
        <v>55</v>
      </c>
      <c r="R492">
        <v>1659.5730000000001</v>
      </c>
      <c r="S492">
        <v>7362.5730000000003</v>
      </c>
      <c r="T492">
        <v>553.1899999999996</v>
      </c>
      <c r="U492">
        <v>0</v>
      </c>
      <c r="V492" s="2" t="s">
        <v>2056</v>
      </c>
      <c r="W492" s="2" t="s">
        <v>2062</v>
      </c>
      <c r="X492">
        <v>4609.9250000000002</v>
      </c>
      <c r="Y492">
        <v>9.6999824653690975E-2</v>
      </c>
      <c r="Z492" s="2" t="s">
        <v>2058</v>
      </c>
    </row>
    <row r="493" spans="1:26" x14ac:dyDescent="0.3">
      <c r="A493" s="2" t="s">
        <v>1028</v>
      </c>
      <c r="B493" s="1">
        <v>44960</v>
      </c>
      <c r="C493" s="2" t="s">
        <v>1029</v>
      </c>
      <c r="D493" s="2" t="s">
        <v>53</v>
      </c>
      <c r="E493">
        <v>7563</v>
      </c>
      <c r="F493">
        <v>20.7</v>
      </c>
      <c r="G493">
        <v>60</v>
      </c>
      <c r="H493" s="2" t="s">
        <v>19</v>
      </c>
      <c r="I493" s="2" t="s">
        <v>41</v>
      </c>
      <c r="J493" s="2" t="s">
        <v>32</v>
      </c>
      <c r="K493">
        <v>119462</v>
      </c>
      <c r="L493" s="2" t="s">
        <v>22</v>
      </c>
      <c r="M493">
        <v>0.42</v>
      </c>
      <c r="N493">
        <v>0.62</v>
      </c>
      <c r="O493">
        <v>9128.5400000000009</v>
      </c>
      <c r="P493">
        <v>0</v>
      </c>
      <c r="Q493">
        <v>37</v>
      </c>
      <c r="R493">
        <v>7827.7050000000008</v>
      </c>
      <c r="S493">
        <v>15390.705000000002</v>
      </c>
      <c r="T493">
        <v>1565.5400000000009</v>
      </c>
      <c r="U493">
        <v>0</v>
      </c>
      <c r="V493" s="2" t="s">
        <v>2056</v>
      </c>
      <c r="W493" s="2" t="s">
        <v>2062</v>
      </c>
      <c r="X493">
        <v>13046.174999999999</v>
      </c>
      <c r="Y493">
        <v>0.20699986777733714</v>
      </c>
      <c r="Z493" s="2" t="s">
        <v>2058</v>
      </c>
    </row>
    <row r="494" spans="1:26" x14ac:dyDescent="0.3">
      <c r="A494" s="2" t="s">
        <v>1030</v>
      </c>
      <c r="B494" s="1">
        <v>44243</v>
      </c>
      <c r="C494" s="2" t="s">
        <v>1031</v>
      </c>
      <c r="D494" s="2" t="s">
        <v>53</v>
      </c>
      <c r="E494">
        <v>26849</v>
      </c>
      <c r="F494">
        <v>24.4</v>
      </c>
      <c r="G494">
        <v>36</v>
      </c>
      <c r="H494" s="2" t="s">
        <v>26</v>
      </c>
      <c r="I494" s="2" t="s">
        <v>57</v>
      </c>
      <c r="J494" s="2" t="s">
        <v>32</v>
      </c>
      <c r="K494">
        <v>75066</v>
      </c>
      <c r="L494" s="2" t="s">
        <v>22</v>
      </c>
      <c r="M494">
        <v>0.28999999999999998</v>
      </c>
      <c r="N494">
        <v>0.71</v>
      </c>
      <c r="O494">
        <v>2888.35</v>
      </c>
      <c r="P494">
        <v>0</v>
      </c>
      <c r="Q494">
        <v>61</v>
      </c>
      <c r="R494">
        <v>19653.468000000001</v>
      </c>
      <c r="S494">
        <v>46502.468000000001</v>
      </c>
      <c r="T494">
        <v>-23960.65</v>
      </c>
      <c r="U494">
        <v>0</v>
      </c>
      <c r="V494" s="2" t="s">
        <v>2059</v>
      </c>
      <c r="W494" s="2" t="s">
        <v>2057</v>
      </c>
      <c r="X494">
        <v>54592.966699999997</v>
      </c>
      <c r="Y494">
        <v>-0.89242243658981713</v>
      </c>
      <c r="Z494" s="2" t="s">
        <v>2061</v>
      </c>
    </row>
    <row r="495" spans="1:26" x14ac:dyDescent="0.3">
      <c r="A495" s="2" t="s">
        <v>1032</v>
      </c>
      <c r="B495" s="1">
        <v>44852</v>
      </c>
      <c r="C495" s="2" t="s">
        <v>1033</v>
      </c>
      <c r="D495" s="2" t="s">
        <v>46</v>
      </c>
      <c r="E495">
        <v>32860</v>
      </c>
      <c r="F495">
        <v>10.3</v>
      </c>
      <c r="G495">
        <v>36</v>
      </c>
      <c r="H495" s="2" t="s">
        <v>19</v>
      </c>
      <c r="I495" s="2" t="s">
        <v>20</v>
      </c>
      <c r="J495" s="2" t="s">
        <v>47</v>
      </c>
      <c r="K495">
        <v>130315</v>
      </c>
      <c r="L495" s="2" t="s">
        <v>22</v>
      </c>
      <c r="M495">
        <v>0.27</v>
      </c>
      <c r="N495">
        <v>0.65</v>
      </c>
      <c r="O495">
        <v>36244.58</v>
      </c>
      <c r="P495">
        <v>0</v>
      </c>
      <c r="Q495">
        <v>41</v>
      </c>
      <c r="R495">
        <v>10153.74</v>
      </c>
      <c r="S495">
        <v>43013.74</v>
      </c>
      <c r="T495">
        <v>3384.5800000000017</v>
      </c>
      <c r="U495">
        <v>0</v>
      </c>
      <c r="V495" s="2" t="s">
        <v>2056</v>
      </c>
      <c r="W495" s="2" t="s">
        <v>2057</v>
      </c>
      <c r="X495">
        <v>28204.833299999998</v>
      </c>
      <c r="Y495">
        <v>0.10300000000000005</v>
      </c>
      <c r="Z495" s="2" t="s">
        <v>2061</v>
      </c>
    </row>
    <row r="496" spans="1:26" x14ac:dyDescent="0.3">
      <c r="A496" s="2" t="s">
        <v>1034</v>
      </c>
      <c r="B496" s="1">
        <v>44667</v>
      </c>
      <c r="C496" s="2" t="s">
        <v>1035</v>
      </c>
      <c r="D496" s="2" t="s">
        <v>25</v>
      </c>
      <c r="E496">
        <v>32585</v>
      </c>
      <c r="F496">
        <v>10.4</v>
      </c>
      <c r="G496">
        <v>60</v>
      </c>
      <c r="H496" s="2" t="s">
        <v>60</v>
      </c>
      <c r="I496" s="2" t="s">
        <v>73</v>
      </c>
      <c r="J496" s="2" t="s">
        <v>32</v>
      </c>
      <c r="K496">
        <v>33373</v>
      </c>
      <c r="L496" s="2" t="s">
        <v>22</v>
      </c>
      <c r="M496">
        <v>0.5</v>
      </c>
      <c r="N496">
        <v>0.93</v>
      </c>
      <c r="O496">
        <v>0</v>
      </c>
      <c r="P496">
        <v>0</v>
      </c>
      <c r="Q496">
        <v>47</v>
      </c>
      <c r="R496">
        <v>16944.2</v>
      </c>
      <c r="S496">
        <v>49529.2</v>
      </c>
      <c r="T496">
        <v>-32585</v>
      </c>
      <c r="U496">
        <v>0</v>
      </c>
      <c r="V496" s="2" t="s">
        <v>2063</v>
      </c>
      <c r="W496" s="2" t="s">
        <v>2064</v>
      </c>
      <c r="X496">
        <v>28240.333299999998</v>
      </c>
      <c r="Y496">
        <v>-1</v>
      </c>
      <c r="Z496" s="2" t="s">
        <v>2058</v>
      </c>
    </row>
    <row r="497" spans="1:26" x14ac:dyDescent="0.3">
      <c r="A497" s="2" t="s">
        <v>1036</v>
      </c>
      <c r="B497" s="1">
        <v>45167</v>
      </c>
      <c r="C497" s="2" t="s">
        <v>1037</v>
      </c>
      <c r="D497" s="2" t="s">
        <v>56</v>
      </c>
      <c r="E497">
        <v>23015</v>
      </c>
      <c r="F497">
        <v>14.5</v>
      </c>
      <c r="G497">
        <v>60</v>
      </c>
      <c r="H497" s="2" t="s">
        <v>26</v>
      </c>
      <c r="I497" s="2" t="s">
        <v>27</v>
      </c>
      <c r="J497" s="2" t="s">
        <v>28</v>
      </c>
      <c r="K497">
        <v>40335</v>
      </c>
      <c r="L497" s="2" t="s">
        <v>22</v>
      </c>
      <c r="M497">
        <v>0.1</v>
      </c>
      <c r="N497">
        <v>0.87</v>
      </c>
      <c r="O497">
        <v>11485.91</v>
      </c>
      <c r="P497">
        <v>0</v>
      </c>
      <c r="Q497">
        <v>30</v>
      </c>
      <c r="R497">
        <v>16685.875</v>
      </c>
      <c r="S497">
        <v>39700.875</v>
      </c>
      <c r="T497">
        <v>-11529.09</v>
      </c>
      <c r="U497">
        <v>0</v>
      </c>
      <c r="V497" s="2" t="s">
        <v>2059</v>
      </c>
      <c r="W497" s="2" t="s">
        <v>2060</v>
      </c>
      <c r="X497">
        <v>27809.791700000002</v>
      </c>
      <c r="Y497">
        <v>-0.50093808385835326</v>
      </c>
      <c r="Z497" s="2" t="s">
        <v>2058</v>
      </c>
    </row>
    <row r="498" spans="1:26" x14ac:dyDescent="0.3">
      <c r="A498" s="2" t="s">
        <v>1038</v>
      </c>
      <c r="B498" s="1">
        <v>45232</v>
      </c>
      <c r="C498" s="2" t="s">
        <v>1039</v>
      </c>
      <c r="D498" s="2" t="s">
        <v>53</v>
      </c>
      <c r="E498">
        <v>13003</v>
      </c>
      <c r="F498">
        <v>24.7</v>
      </c>
      <c r="G498">
        <v>36</v>
      </c>
      <c r="H498" s="2" t="s">
        <v>19</v>
      </c>
      <c r="I498" s="2" t="s">
        <v>20</v>
      </c>
      <c r="J498" s="2" t="s">
        <v>32</v>
      </c>
      <c r="K498">
        <v>53741</v>
      </c>
      <c r="L498" s="2" t="s">
        <v>29</v>
      </c>
      <c r="M498">
        <v>0.46</v>
      </c>
      <c r="N498">
        <v>0.82</v>
      </c>
      <c r="O498">
        <v>16214.74</v>
      </c>
      <c r="P498">
        <v>0</v>
      </c>
      <c r="Q498">
        <v>28</v>
      </c>
      <c r="R498">
        <v>9635.223</v>
      </c>
      <c r="S498">
        <v>22638.222999999998</v>
      </c>
      <c r="T498">
        <v>3211.74</v>
      </c>
      <c r="U498">
        <v>0</v>
      </c>
      <c r="V498" s="2" t="s">
        <v>2056</v>
      </c>
      <c r="W498" s="2" t="s">
        <v>2057</v>
      </c>
      <c r="X498">
        <v>26764.508300000001</v>
      </c>
      <c r="Y498">
        <v>0.24699992309467045</v>
      </c>
      <c r="Z498" s="2" t="s">
        <v>2058</v>
      </c>
    </row>
    <row r="499" spans="1:26" x14ac:dyDescent="0.3">
      <c r="A499" s="2" t="s">
        <v>1040</v>
      </c>
      <c r="B499" s="1">
        <v>44932</v>
      </c>
      <c r="C499" s="2" t="s">
        <v>1041</v>
      </c>
      <c r="D499" s="2" t="s">
        <v>72</v>
      </c>
      <c r="E499">
        <v>27958</v>
      </c>
      <c r="F499">
        <v>10.4</v>
      </c>
      <c r="G499">
        <v>36</v>
      </c>
      <c r="H499" s="2" t="s">
        <v>19</v>
      </c>
      <c r="I499" s="2" t="s">
        <v>84</v>
      </c>
      <c r="J499" s="2" t="s">
        <v>32</v>
      </c>
      <c r="K499">
        <v>40692</v>
      </c>
      <c r="L499" s="2" t="s">
        <v>29</v>
      </c>
      <c r="M499">
        <v>0.16</v>
      </c>
      <c r="N499">
        <v>0.76</v>
      </c>
      <c r="O499">
        <v>30865.63</v>
      </c>
      <c r="P499">
        <v>0</v>
      </c>
      <c r="Q499">
        <v>38</v>
      </c>
      <c r="R499">
        <v>8722.8960000000006</v>
      </c>
      <c r="S499">
        <v>36680.896000000001</v>
      </c>
      <c r="T499">
        <v>2907.630000000001</v>
      </c>
      <c r="U499">
        <v>0</v>
      </c>
      <c r="V499" s="2" t="s">
        <v>2056</v>
      </c>
      <c r="W499" s="2" t="s">
        <v>2062</v>
      </c>
      <c r="X499">
        <v>24230.2667</v>
      </c>
      <c r="Y499">
        <v>0.1039999284641248</v>
      </c>
      <c r="Z499" s="2" t="s">
        <v>2061</v>
      </c>
    </row>
    <row r="500" spans="1:26" x14ac:dyDescent="0.3">
      <c r="A500" s="2" t="s">
        <v>1042</v>
      </c>
      <c r="B500" s="1">
        <v>44980</v>
      </c>
      <c r="C500" s="2" t="s">
        <v>1043</v>
      </c>
      <c r="D500" s="2" t="s">
        <v>72</v>
      </c>
      <c r="E500">
        <v>27017</v>
      </c>
      <c r="F500">
        <v>13.1</v>
      </c>
      <c r="G500">
        <v>36</v>
      </c>
      <c r="H500" s="2" t="s">
        <v>26</v>
      </c>
      <c r="I500" s="2" t="s">
        <v>20</v>
      </c>
      <c r="J500" s="2" t="s">
        <v>32</v>
      </c>
      <c r="K500">
        <v>77295</v>
      </c>
      <c r="L500" s="2" t="s">
        <v>22</v>
      </c>
      <c r="M500">
        <v>0.41</v>
      </c>
      <c r="N500">
        <v>0.87</v>
      </c>
      <c r="O500">
        <v>4494.63</v>
      </c>
      <c r="P500">
        <v>0</v>
      </c>
      <c r="Q500">
        <v>36</v>
      </c>
      <c r="R500">
        <v>10617.681</v>
      </c>
      <c r="S500">
        <v>37634.680999999997</v>
      </c>
      <c r="T500">
        <v>-22522.37</v>
      </c>
      <c r="U500">
        <v>0</v>
      </c>
      <c r="V500" s="2" t="s">
        <v>2059</v>
      </c>
      <c r="W500" s="2" t="s">
        <v>2057</v>
      </c>
      <c r="X500">
        <v>29493.558300000001</v>
      </c>
      <c r="Y500">
        <v>-0.83363696931561604</v>
      </c>
      <c r="Z500" s="2" t="s">
        <v>2058</v>
      </c>
    </row>
    <row r="501" spans="1:26" x14ac:dyDescent="0.3">
      <c r="A501" s="2" t="s">
        <v>1044</v>
      </c>
      <c r="B501" s="1">
        <v>45164</v>
      </c>
      <c r="C501" s="2" t="s">
        <v>1045</v>
      </c>
      <c r="D501" s="2" t="s">
        <v>56</v>
      </c>
      <c r="E501">
        <v>12171</v>
      </c>
      <c r="F501">
        <v>22.8</v>
      </c>
      <c r="G501">
        <v>60</v>
      </c>
      <c r="H501" s="2" t="s">
        <v>19</v>
      </c>
      <c r="I501" s="2" t="s">
        <v>73</v>
      </c>
      <c r="J501" s="2" t="s">
        <v>21</v>
      </c>
      <c r="K501">
        <v>75541</v>
      </c>
      <c r="L501" s="2" t="s">
        <v>29</v>
      </c>
      <c r="M501">
        <v>0.35</v>
      </c>
      <c r="N501">
        <v>0.68</v>
      </c>
      <c r="O501">
        <v>14945.99</v>
      </c>
      <c r="P501">
        <v>0</v>
      </c>
      <c r="Q501">
        <v>30</v>
      </c>
      <c r="R501">
        <v>13874.94</v>
      </c>
      <c r="S501">
        <v>26045.940000000002</v>
      </c>
      <c r="T501">
        <v>2774.99</v>
      </c>
      <c r="U501">
        <v>0</v>
      </c>
      <c r="V501" s="2" t="s">
        <v>2056</v>
      </c>
      <c r="W501" s="2" t="s">
        <v>2064</v>
      </c>
      <c r="X501">
        <v>23124.9</v>
      </c>
      <c r="Y501">
        <v>0.22800016432503489</v>
      </c>
      <c r="Z501" s="2" t="s">
        <v>2061</v>
      </c>
    </row>
    <row r="502" spans="1:26" x14ac:dyDescent="0.3">
      <c r="A502" s="2" t="s">
        <v>1046</v>
      </c>
      <c r="B502" s="1">
        <v>44554</v>
      </c>
      <c r="C502" s="2" t="s">
        <v>1047</v>
      </c>
      <c r="D502" s="2" t="s">
        <v>65</v>
      </c>
      <c r="E502">
        <v>13201</v>
      </c>
      <c r="F502">
        <v>5.0999999999999996</v>
      </c>
      <c r="G502">
        <v>36</v>
      </c>
      <c r="H502" s="2" t="s">
        <v>26</v>
      </c>
      <c r="I502" s="2" t="s">
        <v>57</v>
      </c>
      <c r="J502" s="2" t="s">
        <v>21</v>
      </c>
      <c r="K502">
        <v>64057</v>
      </c>
      <c r="L502" s="2" t="s">
        <v>22</v>
      </c>
      <c r="M502">
        <v>0.24</v>
      </c>
      <c r="N502">
        <v>0.7</v>
      </c>
      <c r="O502">
        <v>4962.1499999999996</v>
      </c>
      <c r="P502">
        <v>0</v>
      </c>
      <c r="Q502">
        <v>50</v>
      </c>
      <c r="R502">
        <v>2019.7529999999997</v>
      </c>
      <c r="S502">
        <v>15220.753000000001</v>
      </c>
      <c r="T502">
        <v>-8238.85</v>
      </c>
      <c r="U502">
        <v>0</v>
      </c>
      <c r="V502" s="2" t="s">
        <v>2059</v>
      </c>
      <c r="W502" s="2" t="s">
        <v>2057</v>
      </c>
      <c r="X502">
        <v>5610.4413000000004</v>
      </c>
      <c r="Y502">
        <v>-0.62410802211953642</v>
      </c>
      <c r="Z502" s="2" t="s">
        <v>2061</v>
      </c>
    </row>
    <row r="503" spans="1:26" x14ac:dyDescent="0.3">
      <c r="A503" s="2" t="s">
        <v>1048</v>
      </c>
      <c r="B503" s="1">
        <v>45168</v>
      </c>
      <c r="C503" s="2" t="s">
        <v>1049</v>
      </c>
      <c r="D503" s="2" t="s">
        <v>65</v>
      </c>
      <c r="E503">
        <v>30426</v>
      </c>
      <c r="F503">
        <v>5.8</v>
      </c>
      <c r="G503">
        <v>36</v>
      </c>
      <c r="H503" s="2" t="s">
        <v>19</v>
      </c>
      <c r="I503" s="2" t="s">
        <v>27</v>
      </c>
      <c r="J503" s="2" t="s">
        <v>21</v>
      </c>
      <c r="K503">
        <v>96983</v>
      </c>
      <c r="L503" s="2" t="s">
        <v>29</v>
      </c>
      <c r="M503">
        <v>0.45</v>
      </c>
      <c r="N503">
        <v>0.83</v>
      </c>
      <c r="O503">
        <v>32190.71</v>
      </c>
      <c r="P503">
        <v>0</v>
      </c>
      <c r="Q503">
        <v>30</v>
      </c>
      <c r="R503">
        <v>5294.1239999999998</v>
      </c>
      <c r="S503">
        <v>35720.123999999996</v>
      </c>
      <c r="T503">
        <v>1764.7099999999991</v>
      </c>
      <c r="U503">
        <v>0</v>
      </c>
      <c r="V503" s="2" t="s">
        <v>2056</v>
      </c>
      <c r="W503" s="2" t="s">
        <v>2060</v>
      </c>
      <c r="X503">
        <v>14705.910099999999</v>
      </c>
      <c r="Y503">
        <v>5.8000065733254426E-2</v>
      </c>
      <c r="Z503" s="2" t="s">
        <v>2058</v>
      </c>
    </row>
    <row r="504" spans="1:26" x14ac:dyDescent="0.3">
      <c r="A504" s="2" t="s">
        <v>1050</v>
      </c>
      <c r="B504" s="1">
        <v>44864</v>
      </c>
      <c r="C504" s="2" t="s">
        <v>1051</v>
      </c>
      <c r="D504" s="2" t="s">
        <v>76</v>
      </c>
      <c r="E504">
        <v>18778</v>
      </c>
      <c r="F504">
        <v>17.100000000000001</v>
      </c>
      <c r="G504">
        <v>60</v>
      </c>
      <c r="H504" s="2" t="s">
        <v>19</v>
      </c>
      <c r="I504" s="2" t="s">
        <v>57</v>
      </c>
      <c r="J504" s="2" t="s">
        <v>32</v>
      </c>
      <c r="K504">
        <v>49583</v>
      </c>
      <c r="L504" s="2" t="s">
        <v>33</v>
      </c>
      <c r="M504">
        <v>0.11</v>
      </c>
      <c r="N504">
        <v>0.66</v>
      </c>
      <c r="O504">
        <v>21989.040000000001</v>
      </c>
      <c r="P504">
        <v>0</v>
      </c>
      <c r="Q504">
        <v>40</v>
      </c>
      <c r="R504">
        <v>16055.190000000002</v>
      </c>
      <c r="S504">
        <v>34833.19</v>
      </c>
      <c r="T504">
        <v>3211.0400000000009</v>
      </c>
      <c r="U504">
        <v>0</v>
      </c>
      <c r="V504" s="2" t="s">
        <v>2056</v>
      </c>
      <c r="W504" s="2" t="s">
        <v>2057</v>
      </c>
      <c r="X504">
        <v>26758.65</v>
      </c>
      <c r="Y504">
        <v>0.17100010650761535</v>
      </c>
      <c r="Z504" s="2" t="s">
        <v>2061</v>
      </c>
    </row>
    <row r="505" spans="1:26" x14ac:dyDescent="0.3">
      <c r="A505" s="2" t="s">
        <v>1052</v>
      </c>
      <c r="B505" s="1">
        <v>44569</v>
      </c>
      <c r="C505" s="2" t="s">
        <v>1053</v>
      </c>
      <c r="D505" s="2" t="s">
        <v>53</v>
      </c>
      <c r="E505">
        <v>22116</v>
      </c>
      <c r="F505">
        <v>23.1</v>
      </c>
      <c r="G505">
        <v>60</v>
      </c>
      <c r="H505" s="2" t="s">
        <v>19</v>
      </c>
      <c r="I505" s="2" t="s">
        <v>84</v>
      </c>
      <c r="J505" s="2" t="s">
        <v>28</v>
      </c>
      <c r="K505">
        <v>52765</v>
      </c>
      <c r="L505" s="2" t="s">
        <v>29</v>
      </c>
      <c r="M505">
        <v>0.19</v>
      </c>
      <c r="N505">
        <v>0.53</v>
      </c>
      <c r="O505">
        <v>27224.799999999999</v>
      </c>
      <c r="P505">
        <v>0</v>
      </c>
      <c r="Q505">
        <v>50</v>
      </c>
      <c r="R505">
        <v>25543.98</v>
      </c>
      <c r="S505">
        <v>47659.979999999996</v>
      </c>
      <c r="T505">
        <v>5108.7999999999993</v>
      </c>
      <c r="U505">
        <v>0</v>
      </c>
      <c r="V505" s="2" t="s">
        <v>2056</v>
      </c>
      <c r="W505" s="2" t="s">
        <v>2062</v>
      </c>
      <c r="X505">
        <v>42573.3</v>
      </c>
      <c r="Y505">
        <v>0.23100018086453245</v>
      </c>
      <c r="Z505" s="2" t="s">
        <v>2061</v>
      </c>
    </row>
    <row r="506" spans="1:26" x14ac:dyDescent="0.3">
      <c r="A506" s="2" t="s">
        <v>1054</v>
      </c>
      <c r="B506" s="1">
        <v>45228</v>
      </c>
      <c r="C506" s="2" t="s">
        <v>1055</v>
      </c>
      <c r="D506" s="2" t="s">
        <v>18</v>
      </c>
      <c r="E506">
        <v>34297</v>
      </c>
      <c r="F506">
        <v>9.8000000000000007</v>
      </c>
      <c r="G506">
        <v>36</v>
      </c>
      <c r="H506" s="2" t="s">
        <v>26</v>
      </c>
      <c r="I506" s="2" t="s">
        <v>73</v>
      </c>
      <c r="J506" s="2" t="s">
        <v>32</v>
      </c>
      <c r="K506">
        <v>89287</v>
      </c>
      <c r="L506" s="2" t="s">
        <v>29</v>
      </c>
      <c r="M506">
        <v>0.33</v>
      </c>
      <c r="N506">
        <v>0.53</v>
      </c>
      <c r="O506">
        <v>15729.14</v>
      </c>
      <c r="P506">
        <v>0</v>
      </c>
      <c r="Q506">
        <v>28</v>
      </c>
      <c r="R506">
        <v>10083.318000000001</v>
      </c>
      <c r="S506">
        <v>44380.317999999999</v>
      </c>
      <c r="T506">
        <v>-18567.86</v>
      </c>
      <c r="U506">
        <v>0</v>
      </c>
      <c r="V506" s="2" t="s">
        <v>2059</v>
      </c>
      <c r="W506" s="2" t="s">
        <v>2064</v>
      </c>
      <c r="X506">
        <v>28009.216700000001</v>
      </c>
      <c r="Y506">
        <v>-0.54138437764235936</v>
      </c>
      <c r="Z506" s="2" t="s">
        <v>2061</v>
      </c>
    </row>
    <row r="507" spans="1:26" x14ac:dyDescent="0.3">
      <c r="A507" s="2" t="s">
        <v>1056</v>
      </c>
      <c r="B507" s="1">
        <v>44872</v>
      </c>
      <c r="C507" s="2" t="s">
        <v>1057</v>
      </c>
      <c r="D507" s="2" t="s">
        <v>46</v>
      </c>
      <c r="E507">
        <v>20342</v>
      </c>
      <c r="F507">
        <v>14.4</v>
      </c>
      <c r="G507">
        <v>60</v>
      </c>
      <c r="H507" s="2" t="s">
        <v>19</v>
      </c>
      <c r="I507" s="2" t="s">
        <v>84</v>
      </c>
      <c r="J507" s="2" t="s">
        <v>47</v>
      </c>
      <c r="K507">
        <v>53906</v>
      </c>
      <c r="L507" s="2" t="s">
        <v>29</v>
      </c>
      <c r="M507">
        <v>0.24</v>
      </c>
      <c r="N507">
        <v>0.55000000000000004</v>
      </c>
      <c r="O507">
        <v>23271.25</v>
      </c>
      <c r="P507">
        <v>0</v>
      </c>
      <c r="Q507">
        <v>40</v>
      </c>
      <c r="R507">
        <v>14646.24</v>
      </c>
      <c r="S507">
        <v>34988.239999999998</v>
      </c>
      <c r="T507">
        <v>2929.25</v>
      </c>
      <c r="U507">
        <v>0</v>
      </c>
      <c r="V507" s="2" t="s">
        <v>2056</v>
      </c>
      <c r="W507" s="2" t="s">
        <v>2062</v>
      </c>
      <c r="X507">
        <v>24410.400000000001</v>
      </c>
      <c r="Y507">
        <v>0.14400009831874938</v>
      </c>
      <c r="Z507" s="2" t="s">
        <v>2061</v>
      </c>
    </row>
    <row r="508" spans="1:26" x14ac:dyDescent="0.3">
      <c r="A508" s="2" t="s">
        <v>1058</v>
      </c>
      <c r="B508" s="1">
        <v>44286</v>
      </c>
      <c r="C508" s="2" t="s">
        <v>1059</v>
      </c>
      <c r="D508" s="2" t="s">
        <v>50</v>
      </c>
      <c r="E508">
        <v>28490</v>
      </c>
      <c r="F508">
        <v>14</v>
      </c>
      <c r="G508">
        <v>60</v>
      </c>
      <c r="H508" s="2" t="s">
        <v>26</v>
      </c>
      <c r="I508" s="2" t="s">
        <v>41</v>
      </c>
      <c r="J508" s="2" t="s">
        <v>28</v>
      </c>
      <c r="K508">
        <v>115103</v>
      </c>
      <c r="L508" s="2" t="s">
        <v>33</v>
      </c>
      <c r="M508">
        <v>0.34</v>
      </c>
      <c r="N508">
        <v>0.89</v>
      </c>
      <c r="O508">
        <v>4446.13</v>
      </c>
      <c r="P508">
        <v>0</v>
      </c>
      <c r="Q508">
        <v>59</v>
      </c>
      <c r="R508">
        <v>19943</v>
      </c>
      <c r="S508">
        <v>48433</v>
      </c>
      <c r="T508">
        <v>-24043.87</v>
      </c>
      <c r="U508">
        <v>0</v>
      </c>
      <c r="V508" s="2" t="s">
        <v>2059</v>
      </c>
      <c r="W508" s="2" t="s">
        <v>2062</v>
      </c>
      <c r="X508">
        <v>33238.333299999998</v>
      </c>
      <c r="Y508">
        <v>-0.84394068094068087</v>
      </c>
      <c r="Z508" s="2" t="s">
        <v>2058</v>
      </c>
    </row>
    <row r="509" spans="1:26" x14ac:dyDescent="0.3">
      <c r="A509" s="2" t="s">
        <v>1060</v>
      </c>
      <c r="B509" s="1">
        <v>44894</v>
      </c>
      <c r="C509" s="2" t="s">
        <v>1061</v>
      </c>
      <c r="D509" s="2" t="s">
        <v>56</v>
      </c>
      <c r="E509">
        <v>20975</v>
      </c>
      <c r="F509">
        <v>14.5</v>
      </c>
      <c r="G509">
        <v>36</v>
      </c>
      <c r="H509" s="2" t="s">
        <v>19</v>
      </c>
      <c r="I509" s="2" t="s">
        <v>27</v>
      </c>
      <c r="J509" s="2" t="s">
        <v>21</v>
      </c>
      <c r="K509">
        <v>109675</v>
      </c>
      <c r="L509" s="2" t="s">
        <v>22</v>
      </c>
      <c r="M509">
        <v>0.11</v>
      </c>
      <c r="N509">
        <v>0.71</v>
      </c>
      <c r="O509">
        <v>24016.38</v>
      </c>
      <c r="P509">
        <v>0</v>
      </c>
      <c r="Q509">
        <v>39</v>
      </c>
      <c r="R509">
        <v>9124.125</v>
      </c>
      <c r="S509">
        <v>30099.125</v>
      </c>
      <c r="T509">
        <v>3041.380000000001</v>
      </c>
      <c r="U509">
        <v>0</v>
      </c>
      <c r="V509" s="2" t="s">
        <v>2056</v>
      </c>
      <c r="W509" s="2" t="s">
        <v>2060</v>
      </c>
      <c r="X509">
        <v>25344.791700000002</v>
      </c>
      <c r="Y509">
        <v>0.14500023837902271</v>
      </c>
      <c r="Z509" s="2" t="s">
        <v>2061</v>
      </c>
    </row>
    <row r="510" spans="1:26" x14ac:dyDescent="0.3">
      <c r="A510" s="2" t="s">
        <v>1062</v>
      </c>
      <c r="B510" s="1">
        <v>44736</v>
      </c>
      <c r="C510" s="2" t="s">
        <v>1063</v>
      </c>
      <c r="D510" s="2" t="s">
        <v>76</v>
      </c>
      <c r="E510">
        <v>27723</v>
      </c>
      <c r="F510">
        <v>17.5</v>
      </c>
      <c r="G510">
        <v>60</v>
      </c>
      <c r="H510" s="2" t="s">
        <v>26</v>
      </c>
      <c r="I510" s="2" t="s">
        <v>41</v>
      </c>
      <c r="J510" s="2" t="s">
        <v>37</v>
      </c>
      <c r="K510">
        <v>76525</v>
      </c>
      <c r="L510" s="2" t="s">
        <v>29</v>
      </c>
      <c r="M510">
        <v>0.15</v>
      </c>
      <c r="N510">
        <v>0.82</v>
      </c>
      <c r="O510">
        <v>12716.99</v>
      </c>
      <c r="P510">
        <v>0</v>
      </c>
      <c r="Q510">
        <v>44</v>
      </c>
      <c r="R510">
        <v>24257.625</v>
      </c>
      <c r="S510">
        <v>51980.625</v>
      </c>
      <c r="T510">
        <v>-15006.01</v>
      </c>
      <c r="U510">
        <v>0</v>
      </c>
      <c r="V510" s="2" t="s">
        <v>2059</v>
      </c>
      <c r="W510" s="2" t="s">
        <v>2062</v>
      </c>
      <c r="X510">
        <v>40429.375</v>
      </c>
      <c r="Y510">
        <v>-0.54128377159759045</v>
      </c>
      <c r="Z510" s="2" t="s">
        <v>2058</v>
      </c>
    </row>
    <row r="511" spans="1:26" x14ac:dyDescent="0.3">
      <c r="A511" s="2" t="s">
        <v>1064</v>
      </c>
      <c r="B511" s="1">
        <v>44928</v>
      </c>
      <c r="C511" s="2" t="s">
        <v>1065</v>
      </c>
      <c r="D511" s="2" t="s">
        <v>18</v>
      </c>
      <c r="E511">
        <v>24279</v>
      </c>
      <c r="F511">
        <v>14.4</v>
      </c>
      <c r="G511">
        <v>60</v>
      </c>
      <c r="H511" s="2" t="s">
        <v>26</v>
      </c>
      <c r="I511" s="2" t="s">
        <v>20</v>
      </c>
      <c r="J511" s="2" t="s">
        <v>28</v>
      </c>
      <c r="K511">
        <v>68230</v>
      </c>
      <c r="L511" s="2" t="s">
        <v>29</v>
      </c>
      <c r="M511">
        <v>0.15</v>
      </c>
      <c r="N511">
        <v>0.68</v>
      </c>
      <c r="O511">
        <v>4595.21</v>
      </c>
      <c r="P511">
        <v>0</v>
      </c>
      <c r="Q511">
        <v>38</v>
      </c>
      <c r="R511">
        <v>17480.88</v>
      </c>
      <c r="S511">
        <v>41759.880000000005</v>
      </c>
      <c r="T511">
        <v>-19683.79</v>
      </c>
      <c r="U511">
        <v>0</v>
      </c>
      <c r="V511" s="2" t="s">
        <v>2059</v>
      </c>
      <c r="W511" s="2" t="s">
        <v>2057</v>
      </c>
      <c r="X511">
        <v>29134.799999999999</v>
      </c>
      <c r="Y511">
        <v>-0.81073314386918738</v>
      </c>
      <c r="Z511" s="2" t="s">
        <v>2061</v>
      </c>
    </row>
    <row r="512" spans="1:26" x14ac:dyDescent="0.3">
      <c r="A512" s="2" t="s">
        <v>1066</v>
      </c>
      <c r="B512" s="1">
        <v>45065</v>
      </c>
      <c r="C512" s="2" t="s">
        <v>1067</v>
      </c>
      <c r="D512" s="2" t="s">
        <v>53</v>
      </c>
      <c r="E512">
        <v>13765</v>
      </c>
      <c r="F512">
        <v>13.9</v>
      </c>
      <c r="G512">
        <v>36</v>
      </c>
      <c r="H512" s="2" t="s">
        <v>19</v>
      </c>
      <c r="I512" s="2" t="s">
        <v>57</v>
      </c>
      <c r="J512" s="2" t="s">
        <v>21</v>
      </c>
      <c r="K512">
        <v>147904</v>
      </c>
      <c r="L512" s="2" t="s">
        <v>33</v>
      </c>
      <c r="M512">
        <v>0.18</v>
      </c>
      <c r="N512">
        <v>0.62</v>
      </c>
      <c r="O512">
        <v>15678.34</v>
      </c>
      <c r="P512">
        <v>0</v>
      </c>
      <c r="Q512">
        <v>34</v>
      </c>
      <c r="R512">
        <v>5740.0050000000001</v>
      </c>
      <c r="S512">
        <v>19505.005000000001</v>
      </c>
      <c r="T512">
        <v>1913.3400000000001</v>
      </c>
      <c r="U512">
        <v>0</v>
      </c>
      <c r="V512" s="2" t="s">
        <v>2056</v>
      </c>
      <c r="W512" s="2" t="s">
        <v>2057</v>
      </c>
      <c r="X512">
        <v>15944.4583</v>
      </c>
      <c r="Y512">
        <v>0.1390003632401017</v>
      </c>
      <c r="Z512" s="2" t="s">
        <v>2061</v>
      </c>
    </row>
    <row r="513" spans="1:26" x14ac:dyDescent="0.3">
      <c r="A513" s="2" t="s">
        <v>1068</v>
      </c>
      <c r="B513" s="1">
        <v>44237</v>
      </c>
      <c r="C513" s="2" t="s">
        <v>1069</v>
      </c>
      <c r="D513" s="2" t="s">
        <v>18</v>
      </c>
      <c r="E513">
        <v>12561</v>
      </c>
      <c r="F513">
        <v>14.5</v>
      </c>
      <c r="G513">
        <v>60</v>
      </c>
      <c r="H513" s="2" t="s">
        <v>26</v>
      </c>
      <c r="I513" s="2" t="s">
        <v>20</v>
      </c>
      <c r="J513" s="2" t="s">
        <v>28</v>
      </c>
      <c r="K513">
        <v>49520</v>
      </c>
      <c r="L513" s="2" t="s">
        <v>22</v>
      </c>
      <c r="M513">
        <v>0.28000000000000003</v>
      </c>
      <c r="N513">
        <v>0.66</v>
      </c>
      <c r="O513">
        <v>6147.18</v>
      </c>
      <c r="P513">
        <v>0</v>
      </c>
      <c r="Q513">
        <v>61</v>
      </c>
      <c r="R513">
        <v>9106.7250000000004</v>
      </c>
      <c r="S513">
        <v>21667.724999999999</v>
      </c>
      <c r="T513">
        <v>-6413.82</v>
      </c>
      <c r="U513">
        <v>0</v>
      </c>
      <c r="V513" s="2" t="s">
        <v>2059</v>
      </c>
      <c r="W513" s="2" t="s">
        <v>2057</v>
      </c>
      <c r="X513">
        <v>15177.875</v>
      </c>
      <c r="Y513">
        <v>-0.51061380463338901</v>
      </c>
      <c r="Z513" s="2" t="s">
        <v>2061</v>
      </c>
    </row>
    <row r="514" spans="1:26" x14ac:dyDescent="0.3">
      <c r="A514" s="2" t="s">
        <v>1070</v>
      </c>
      <c r="B514" s="1">
        <v>44936</v>
      </c>
      <c r="C514" s="2" t="s">
        <v>1071</v>
      </c>
      <c r="D514" s="2" t="s">
        <v>18</v>
      </c>
      <c r="E514">
        <v>1525</v>
      </c>
      <c r="F514">
        <v>16.8</v>
      </c>
      <c r="G514">
        <v>36</v>
      </c>
      <c r="H514" s="2" t="s">
        <v>19</v>
      </c>
      <c r="I514" s="2" t="s">
        <v>57</v>
      </c>
      <c r="J514" s="2" t="s">
        <v>28</v>
      </c>
      <c r="K514">
        <v>115238</v>
      </c>
      <c r="L514" s="2" t="s">
        <v>29</v>
      </c>
      <c r="M514">
        <v>0.4</v>
      </c>
      <c r="N514">
        <v>0.86</v>
      </c>
      <c r="O514">
        <v>1781.2</v>
      </c>
      <c r="P514">
        <v>0</v>
      </c>
      <c r="Q514">
        <v>38</v>
      </c>
      <c r="R514">
        <v>768.59999999999991</v>
      </c>
      <c r="S514">
        <v>2293.6</v>
      </c>
      <c r="T514">
        <v>256.20000000000005</v>
      </c>
      <c r="U514">
        <v>0</v>
      </c>
      <c r="V514" s="2" t="s">
        <v>2056</v>
      </c>
      <c r="W514" s="2" t="s">
        <v>2057</v>
      </c>
      <c r="X514">
        <v>2135</v>
      </c>
      <c r="Y514">
        <v>0.16800000000000004</v>
      </c>
      <c r="Z514" s="2" t="s">
        <v>2058</v>
      </c>
    </row>
    <row r="515" spans="1:26" x14ac:dyDescent="0.3">
      <c r="A515" s="2" t="s">
        <v>1072</v>
      </c>
      <c r="B515" s="1">
        <v>44698</v>
      </c>
      <c r="C515" s="2" t="s">
        <v>1073</v>
      </c>
      <c r="D515" s="2" t="s">
        <v>56</v>
      </c>
      <c r="E515">
        <v>23861</v>
      </c>
      <c r="F515">
        <v>15.7</v>
      </c>
      <c r="G515">
        <v>36</v>
      </c>
      <c r="H515" s="2" t="s">
        <v>19</v>
      </c>
      <c r="I515" s="2" t="s">
        <v>84</v>
      </c>
      <c r="J515" s="2" t="s">
        <v>32</v>
      </c>
      <c r="K515">
        <v>81934</v>
      </c>
      <c r="L515" s="2" t="s">
        <v>33</v>
      </c>
      <c r="M515">
        <v>0.46</v>
      </c>
      <c r="N515">
        <v>0.78</v>
      </c>
      <c r="O515">
        <v>27607.18</v>
      </c>
      <c r="P515">
        <v>0</v>
      </c>
      <c r="Q515">
        <v>46</v>
      </c>
      <c r="R515">
        <v>11238.531000000001</v>
      </c>
      <c r="S515">
        <v>35099.531000000003</v>
      </c>
      <c r="T515">
        <v>3746.1800000000003</v>
      </c>
      <c r="U515">
        <v>0</v>
      </c>
      <c r="V515" s="2" t="s">
        <v>2056</v>
      </c>
      <c r="W515" s="2" t="s">
        <v>2062</v>
      </c>
      <c r="X515">
        <v>31218.1417</v>
      </c>
      <c r="Y515">
        <v>0.1570001257281757</v>
      </c>
      <c r="Z515" s="2" t="s">
        <v>2058</v>
      </c>
    </row>
    <row r="516" spans="1:26" x14ac:dyDescent="0.3">
      <c r="A516" s="2" t="s">
        <v>1074</v>
      </c>
      <c r="B516" s="1">
        <v>45155</v>
      </c>
      <c r="C516" s="2" t="s">
        <v>1075</v>
      </c>
      <c r="D516" s="2" t="s">
        <v>76</v>
      </c>
      <c r="E516">
        <v>34142</v>
      </c>
      <c r="F516">
        <v>22.1</v>
      </c>
      <c r="G516">
        <v>60</v>
      </c>
      <c r="H516" s="2" t="s">
        <v>19</v>
      </c>
      <c r="I516" s="2" t="s">
        <v>20</v>
      </c>
      <c r="J516" s="2" t="s">
        <v>47</v>
      </c>
      <c r="K516">
        <v>55566</v>
      </c>
      <c r="L516" s="2" t="s">
        <v>22</v>
      </c>
      <c r="M516">
        <v>0.43</v>
      </c>
      <c r="N516">
        <v>0.92</v>
      </c>
      <c r="O516">
        <v>41687.379999999997</v>
      </c>
      <c r="P516">
        <v>0</v>
      </c>
      <c r="Q516">
        <v>31</v>
      </c>
      <c r="R516">
        <v>37726.910000000003</v>
      </c>
      <c r="S516">
        <v>71868.91</v>
      </c>
      <c r="T516">
        <v>7545.3799999999974</v>
      </c>
      <c r="U516">
        <v>0</v>
      </c>
      <c r="V516" s="2" t="s">
        <v>2056</v>
      </c>
      <c r="W516" s="2" t="s">
        <v>2057</v>
      </c>
      <c r="X516">
        <v>62878.183299999997</v>
      </c>
      <c r="Y516">
        <v>0.22099994142112347</v>
      </c>
      <c r="Z516" s="2" t="s">
        <v>2058</v>
      </c>
    </row>
    <row r="517" spans="1:26" x14ac:dyDescent="0.3">
      <c r="A517" s="2" t="s">
        <v>1076</v>
      </c>
      <c r="B517" s="1">
        <v>45125</v>
      </c>
      <c r="C517" s="2" t="s">
        <v>1077</v>
      </c>
      <c r="D517" s="2" t="s">
        <v>25</v>
      </c>
      <c r="E517">
        <v>27916</v>
      </c>
      <c r="F517">
        <v>6</v>
      </c>
      <c r="G517">
        <v>60</v>
      </c>
      <c r="H517" s="2" t="s">
        <v>26</v>
      </c>
      <c r="I517" s="2" t="s">
        <v>73</v>
      </c>
      <c r="J517" s="2" t="s">
        <v>37</v>
      </c>
      <c r="K517">
        <v>103193</v>
      </c>
      <c r="L517" s="2" t="s">
        <v>22</v>
      </c>
      <c r="M517">
        <v>0.18</v>
      </c>
      <c r="N517">
        <v>0.81</v>
      </c>
      <c r="O517">
        <v>4929.04</v>
      </c>
      <c r="P517">
        <v>0</v>
      </c>
      <c r="Q517">
        <v>32</v>
      </c>
      <c r="R517">
        <v>8374.8000000000011</v>
      </c>
      <c r="S517">
        <v>36290.800000000003</v>
      </c>
      <c r="T517">
        <v>-22986.959999999999</v>
      </c>
      <c r="U517">
        <v>0</v>
      </c>
      <c r="V517" s="2" t="s">
        <v>2059</v>
      </c>
      <c r="W517" s="2" t="s">
        <v>2064</v>
      </c>
      <c r="X517">
        <v>13958</v>
      </c>
      <c r="Y517">
        <v>-0.82343315661269523</v>
      </c>
      <c r="Z517" s="2" t="s">
        <v>2058</v>
      </c>
    </row>
    <row r="518" spans="1:26" x14ac:dyDescent="0.3">
      <c r="A518" s="2" t="s">
        <v>1078</v>
      </c>
      <c r="B518" s="1">
        <v>44657</v>
      </c>
      <c r="C518" s="2" t="s">
        <v>1079</v>
      </c>
      <c r="D518" s="2" t="s">
        <v>72</v>
      </c>
      <c r="E518">
        <v>5648</v>
      </c>
      <c r="F518">
        <v>21.7</v>
      </c>
      <c r="G518">
        <v>60</v>
      </c>
      <c r="H518" s="2" t="s">
        <v>81</v>
      </c>
      <c r="I518" s="2" t="s">
        <v>73</v>
      </c>
      <c r="J518" s="2" t="s">
        <v>21</v>
      </c>
      <c r="K518">
        <v>133224</v>
      </c>
      <c r="L518" s="2" t="s">
        <v>29</v>
      </c>
      <c r="M518">
        <v>0.28000000000000003</v>
      </c>
      <c r="N518">
        <v>0.76</v>
      </c>
      <c r="O518">
        <v>2180.3000000000002</v>
      </c>
      <c r="P518">
        <v>1908.91</v>
      </c>
      <c r="Q518">
        <v>47</v>
      </c>
      <c r="R518">
        <v>6128.079999999999</v>
      </c>
      <c r="S518">
        <v>11776.079999999998</v>
      </c>
      <c r="T518">
        <v>-1558.79</v>
      </c>
      <c r="U518">
        <v>1</v>
      </c>
      <c r="V518" s="2" t="s">
        <v>2063</v>
      </c>
      <c r="W518" s="2" t="s">
        <v>2064</v>
      </c>
      <c r="X518">
        <v>10213.466700000001</v>
      </c>
      <c r="Y518">
        <v>-0.27598973087818696</v>
      </c>
      <c r="Z518" s="2" t="s">
        <v>2061</v>
      </c>
    </row>
    <row r="519" spans="1:26" x14ac:dyDescent="0.3">
      <c r="A519" s="2" t="s">
        <v>1080</v>
      </c>
      <c r="B519" s="1">
        <v>44928</v>
      </c>
      <c r="C519" s="2" t="s">
        <v>1081</v>
      </c>
      <c r="D519" s="2" t="s">
        <v>46</v>
      </c>
      <c r="E519">
        <v>36133</v>
      </c>
      <c r="F519">
        <v>21.9</v>
      </c>
      <c r="G519">
        <v>36</v>
      </c>
      <c r="H519" s="2" t="s">
        <v>26</v>
      </c>
      <c r="I519" s="2" t="s">
        <v>73</v>
      </c>
      <c r="J519" s="2" t="s">
        <v>28</v>
      </c>
      <c r="K519">
        <v>60134</v>
      </c>
      <c r="L519" s="2" t="s">
        <v>29</v>
      </c>
      <c r="M519">
        <v>0.18</v>
      </c>
      <c r="N519">
        <v>0.77</v>
      </c>
      <c r="O519">
        <v>2677.28</v>
      </c>
      <c r="P519">
        <v>0</v>
      </c>
      <c r="Q519">
        <v>38</v>
      </c>
      <c r="R519">
        <v>23739.380999999998</v>
      </c>
      <c r="S519">
        <v>59872.380999999994</v>
      </c>
      <c r="T519">
        <v>-33455.72</v>
      </c>
      <c r="U519">
        <v>0</v>
      </c>
      <c r="V519" s="2" t="s">
        <v>2059</v>
      </c>
      <c r="W519" s="2" t="s">
        <v>2064</v>
      </c>
      <c r="X519">
        <v>65942.725000000006</v>
      </c>
      <c r="Y519">
        <v>-0.92590485152077051</v>
      </c>
      <c r="Z519" s="2" t="s">
        <v>2061</v>
      </c>
    </row>
    <row r="520" spans="1:26" x14ac:dyDescent="0.3">
      <c r="A520" s="2" t="s">
        <v>1082</v>
      </c>
      <c r="B520" s="1">
        <v>44948</v>
      </c>
      <c r="C520" s="2" t="s">
        <v>1083</v>
      </c>
      <c r="D520" s="2" t="s">
        <v>76</v>
      </c>
      <c r="E520">
        <v>31523</v>
      </c>
      <c r="F520">
        <v>10.7</v>
      </c>
      <c r="G520">
        <v>60</v>
      </c>
      <c r="H520" s="2" t="s">
        <v>19</v>
      </c>
      <c r="I520" s="2" t="s">
        <v>73</v>
      </c>
      <c r="J520" s="2" t="s">
        <v>37</v>
      </c>
      <c r="K520">
        <v>40345</v>
      </c>
      <c r="L520" s="2" t="s">
        <v>29</v>
      </c>
      <c r="M520">
        <v>0.21</v>
      </c>
      <c r="N520">
        <v>0.92</v>
      </c>
      <c r="O520">
        <v>34895.96</v>
      </c>
      <c r="P520">
        <v>0</v>
      </c>
      <c r="Q520">
        <v>37</v>
      </c>
      <c r="R520">
        <v>16864.804999999997</v>
      </c>
      <c r="S520">
        <v>48387.804999999993</v>
      </c>
      <c r="T520">
        <v>3372.9599999999991</v>
      </c>
      <c r="U520">
        <v>0</v>
      </c>
      <c r="V520" s="2" t="s">
        <v>2056</v>
      </c>
      <c r="W520" s="2" t="s">
        <v>2064</v>
      </c>
      <c r="X520">
        <v>28108.008300000001</v>
      </c>
      <c r="Y520">
        <v>0.10699996827713096</v>
      </c>
      <c r="Z520" s="2" t="s">
        <v>2058</v>
      </c>
    </row>
    <row r="521" spans="1:26" x14ac:dyDescent="0.3">
      <c r="A521" s="2" t="s">
        <v>1084</v>
      </c>
      <c r="B521" s="1">
        <v>45121</v>
      </c>
      <c r="C521" s="2" t="s">
        <v>1085</v>
      </c>
      <c r="D521" s="2" t="s">
        <v>50</v>
      </c>
      <c r="E521">
        <v>30052</v>
      </c>
      <c r="F521">
        <v>14.3</v>
      </c>
      <c r="G521">
        <v>36</v>
      </c>
      <c r="H521" s="2" t="s">
        <v>26</v>
      </c>
      <c r="I521" s="2" t="s">
        <v>84</v>
      </c>
      <c r="J521" s="2" t="s">
        <v>28</v>
      </c>
      <c r="K521">
        <v>71185</v>
      </c>
      <c r="L521" s="2" t="s">
        <v>29</v>
      </c>
      <c r="M521">
        <v>0.3</v>
      </c>
      <c r="N521">
        <v>0.85</v>
      </c>
      <c r="O521">
        <v>11094.37</v>
      </c>
      <c r="P521">
        <v>0</v>
      </c>
      <c r="Q521">
        <v>32</v>
      </c>
      <c r="R521">
        <v>12892.308000000003</v>
      </c>
      <c r="S521">
        <v>42944.308000000005</v>
      </c>
      <c r="T521">
        <v>-18957.629999999997</v>
      </c>
      <c r="U521">
        <v>0</v>
      </c>
      <c r="V521" s="2" t="s">
        <v>2059</v>
      </c>
      <c r="W521" s="2" t="s">
        <v>2062</v>
      </c>
      <c r="X521">
        <v>35811.966699999997</v>
      </c>
      <c r="Y521">
        <v>-0.63082756555304131</v>
      </c>
      <c r="Z521" s="2" t="s">
        <v>2058</v>
      </c>
    </row>
    <row r="522" spans="1:26" x14ac:dyDescent="0.3">
      <c r="A522" s="2" t="s">
        <v>1086</v>
      </c>
      <c r="B522" s="1">
        <v>45105</v>
      </c>
      <c r="C522" s="2" t="s">
        <v>1087</v>
      </c>
      <c r="D522" s="2" t="s">
        <v>18</v>
      </c>
      <c r="E522">
        <v>35414</v>
      </c>
      <c r="F522">
        <v>13.8</v>
      </c>
      <c r="G522">
        <v>60</v>
      </c>
      <c r="H522" s="2" t="s">
        <v>19</v>
      </c>
      <c r="I522" s="2" t="s">
        <v>20</v>
      </c>
      <c r="J522" s="2" t="s">
        <v>47</v>
      </c>
      <c r="K522">
        <v>145464</v>
      </c>
      <c r="L522" s="2" t="s">
        <v>33</v>
      </c>
      <c r="M522">
        <v>0.13</v>
      </c>
      <c r="N522">
        <v>0.51</v>
      </c>
      <c r="O522">
        <v>40301.129999999997</v>
      </c>
      <c r="P522">
        <v>0</v>
      </c>
      <c r="Q522">
        <v>32</v>
      </c>
      <c r="R522">
        <v>24435.660000000003</v>
      </c>
      <c r="S522">
        <v>59849.66</v>
      </c>
      <c r="T522">
        <v>4887.1299999999974</v>
      </c>
      <c r="U522">
        <v>0</v>
      </c>
      <c r="V522" s="2" t="s">
        <v>2056</v>
      </c>
      <c r="W522" s="2" t="s">
        <v>2057</v>
      </c>
      <c r="X522">
        <v>40726.1</v>
      </c>
      <c r="Y522">
        <v>0.13799994352515946</v>
      </c>
      <c r="Z522" s="2" t="s">
        <v>2061</v>
      </c>
    </row>
    <row r="523" spans="1:26" x14ac:dyDescent="0.3">
      <c r="A523" s="2" t="s">
        <v>1088</v>
      </c>
      <c r="B523" s="1">
        <v>44586</v>
      </c>
      <c r="C523" s="2" t="s">
        <v>1089</v>
      </c>
      <c r="D523" s="2" t="s">
        <v>25</v>
      </c>
      <c r="E523">
        <v>33781</v>
      </c>
      <c r="F523">
        <v>9.4</v>
      </c>
      <c r="G523">
        <v>60</v>
      </c>
      <c r="H523" s="2" t="s">
        <v>81</v>
      </c>
      <c r="I523" s="2" t="s">
        <v>57</v>
      </c>
      <c r="J523" s="2" t="s">
        <v>37</v>
      </c>
      <c r="K523">
        <v>122949</v>
      </c>
      <c r="L523" s="2" t="s">
        <v>33</v>
      </c>
      <c r="M523">
        <v>0.19</v>
      </c>
      <c r="N523">
        <v>0.74</v>
      </c>
      <c r="O523">
        <v>8770.67</v>
      </c>
      <c r="P523">
        <v>14712.11</v>
      </c>
      <c r="Q523">
        <v>49</v>
      </c>
      <c r="R523">
        <v>15877.070000000002</v>
      </c>
      <c r="S523">
        <v>49658.07</v>
      </c>
      <c r="T523">
        <v>-10298.220000000001</v>
      </c>
      <c r="U523">
        <v>1</v>
      </c>
      <c r="V523" s="2" t="s">
        <v>2063</v>
      </c>
      <c r="W523" s="2" t="s">
        <v>2057</v>
      </c>
      <c r="X523">
        <v>26461.783299999999</v>
      </c>
      <c r="Y523">
        <v>-0.30485243184038369</v>
      </c>
      <c r="Z523" s="2" t="s">
        <v>2061</v>
      </c>
    </row>
    <row r="524" spans="1:26" x14ac:dyDescent="0.3">
      <c r="A524" s="2" t="s">
        <v>1090</v>
      </c>
      <c r="B524" s="1">
        <v>45079</v>
      </c>
      <c r="C524" s="2" t="s">
        <v>1091</v>
      </c>
      <c r="D524" s="2" t="s">
        <v>56</v>
      </c>
      <c r="E524">
        <v>5599</v>
      </c>
      <c r="F524">
        <v>12.9</v>
      </c>
      <c r="G524">
        <v>60</v>
      </c>
      <c r="H524" s="2" t="s">
        <v>19</v>
      </c>
      <c r="I524" s="2" t="s">
        <v>73</v>
      </c>
      <c r="J524" s="2" t="s">
        <v>21</v>
      </c>
      <c r="K524">
        <v>100744</v>
      </c>
      <c r="L524" s="2" t="s">
        <v>29</v>
      </c>
      <c r="M524">
        <v>0.47</v>
      </c>
      <c r="N524">
        <v>0.81</v>
      </c>
      <c r="O524">
        <v>6321.27</v>
      </c>
      <c r="P524">
        <v>0</v>
      </c>
      <c r="Q524">
        <v>33</v>
      </c>
      <c r="R524">
        <v>3611.355</v>
      </c>
      <c r="S524">
        <v>9210.3549999999996</v>
      </c>
      <c r="T524">
        <v>722.27000000000044</v>
      </c>
      <c r="U524">
        <v>0</v>
      </c>
      <c r="V524" s="2" t="s">
        <v>2056</v>
      </c>
      <c r="W524" s="2" t="s">
        <v>2064</v>
      </c>
      <c r="X524">
        <v>6018.9250000000002</v>
      </c>
      <c r="Y524">
        <v>0.12899982139667807</v>
      </c>
      <c r="Z524" s="2" t="s">
        <v>2058</v>
      </c>
    </row>
    <row r="525" spans="1:26" x14ac:dyDescent="0.3">
      <c r="A525" s="2" t="s">
        <v>1092</v>
      </c>
      <c r="B525" s="1">
        <v>44452</v>
      </c>
      <c r="C525" s="2" t="s">
        <v>1093</v>
      </c>
      <c r="D525" s="2" t="s">
        <v>40</v>
      </c>
      <c r="E525">
        <v>36046</v>
      </c>
      <c r="F525">
        <v>5.9</v>
      </c>
      <c r="G525">
        <v>36</v>
      </c>
      <c r="H525" s="2" t="s">
        <v>60</v>
      </c>
      <c r="I525" s="2" t="s">
        <v>27</v>
      </c>
      <c r="J525" s="2" t="s">
        <v>28</v>
      </c>
      <c r="K525">
        <v>63455</v>
      </c>
      <c r="L525" s="2" t="s">
        <v>22</v>
      </c>
      <c r="M525">
        <v>0.28999999999999998</v>
      </c>
      <c r="N525">
        <v>0.84</v>
      </c>
      <c r="O525">
        <v>0</v>
      </c>
      <c r="P525">
        <v>0</v>
      </c>
      <c r="Q525">
        <v>54</v>
      </c>
      <c r="R525">
        <v>6380.1420000000007</v>
      </c>
      <c r="S525">
        <v>42426.142</v>
      </c>
      <c r="T525">
        <v>-36046</v>
      </c>
      <c r="U525">
        <v>0</v>
      </c>
      <c r="V525" s="2" t="s">
        <v>2063</v>
      </c>
      <c r="W525" s="2" t="s">
        <v>2060</v>
      </c>
      <c r="X525">
        <v>17722.6266</v>
      </c>
      <c r="Y525">
        <v>-1</v>
      </c>
      <c r="Z525" s="2" t="s">
        <v>2058</v>
      </c>
    </row>
    <row r="526" spans="1:26" x14ac:dyDescent="0.3">
      <c r="A526" s="2" t="s">
        <v>1094</v>
      </c>
      <c r="B526" s="1">
        <v>44905</v>
      </c>
      <c r="C526" s="2" t="s">
        <v>1095</v>
      </c>
      <c r="D526" s="2" t="s">
        <v>46</v>
      </c>
      <c r="E526">
        <v>36923</v>
      </c>
      <c r="F526">
        <v>10.6</v>
      </c>
      <c r="G526">
        <v>60</v>
      </c>
      <c r="H526" s="2" t="s">
        <v>26</v>
      </c>
      <c r="I526" s="2" t="s">
        <v>57</v>
      </c>
      <c r="J526" s="2" t="s">
        <v>47</v>
      </c>
      <c r="K526">
        <v>145217</v>
      </c>
      <c r="L526" s="2" t="s">
        <v>29</v>
      </c>
      <c r="M526">
        <v>0.28000000000000003</v>
      </c>
      <c r="N526">
        <v>0.6</v>
      </c>
      <c r="O526">
        <v>9786.24</v>
      </c>
      <c r="P526">
        <v>0</v>
      </c>
      <c r="Q526">
        <v>39</v>
      </c>
      <c r="R526">
        <v>19569.189999999999</v>
      </c>
      <c r="S526">
        <v>56492.19</v>
      </c>
      <c r="T526">
        <v>-27136.760000000002</v>
      </c>
      <c r="U526">
        <v>0</v>
      </c>
      <c r="V526" s="2" t="s">
        <v>2059</v>
      </c>
      <c r="W526" s="2" t="s">
        <v>2057</v>
      </c>
      <c r="X526">
        <v>32615.316699999999</v>
      </c>
      <c r="Y526">
        <v>-0.73495544782384969</v>
      </c>
      <c r="Z526" s="2" t="s">
        <v>2061</v>
      </c>
    </row>
    <row r="527" spans="1:26" x14ac:dyDescent="0.3">
      <c r="A527" s="2" t="s">
        <v>1096</v>
      </c>
      <c r="B527" s="1">
        <v>44646</v>
      </c>
      <c r="C527" s="2" t="s">
        <v>1097</v>
      </c>
      <c r="D527" s="2" t="s">
        <v>46</v>
      </c>
      <c r="E527">
        <v>4814</v>
      </c>
      <c r="F527">
        <v>21.3</v>
      </c>
      <c r="G527">
        <v>60</v>
      </c>
      <c r="H527" s="2" t="s">
        <v>26</v>
      </c>
      <c r="I527" s="2" t="s">
        <v>84</v>
      </c>
      <c r="J527" s="2" t="s">
        <v>37</v>
      </c>
      <c r="K527">
        <v>58018</v>
      </c>
      <c r="L527" s="2" t="s">
        <v>22</v>
      </c>
      <c r="M527">
        <v>0.11</v>
      </c>
      <c r="N527">
        <v>0.89</v>
      </c>
      <c r="O527">
        <v>724.86</v>
      </c>
      <c r="P527">
        <v>0</v>
      </c>
      <c r="Q527">
        <v>47</v>
      </c>
      <c r="R527">
        <v>5126.9100000000008</v>
      </c>
      <c r="S527">
        <v>9940.91</v>
      </c>
      <c r="T527">
        <v>-4089.14</v>
      </c>
      <c r="U527">
        <v>0</v>
      </c>
      <c r="V527" s="2" t="s">
        <v>2059</v>
      </c>
      <c r="W527" s="2" t="s">
        <v>2062</v>
      </c>
      <c r="X527">
        <v>8544.85</v>
      </c>
      <c r="Y527">
        <v>-0.8494266722060656</v>
      </c>
      <c r="Z527" s="2" t="s">
        <v>2058</v>
      </c>
    </row>
    <row r="528" spans="1:26" x14ac:dyDescent="0.3">
      <c r="A528" s="2" t="s">
        <v>1098</v>
      </c>
      <c r="B528" s="1">
        <v>44206</v>
      </c>
      <c r="C528" s="2" t="s">
        <v>1099</v>
      </c>
      <c r="D528" s="2" t="s">
        <v>72</v>
      </c>
      <c r="E528">
        <v>36984</v>
      </c>
      <c r="F528">
        <v>10.7</v>
      </c>
      <c r="G528">
        <v>36</v>
      </c>
      <c r="H528" s="2" t="s">
        <v>26</v>
      </c>
      <c r="I528" s="2" t="s">
        <v>57</v>
      </c>
      <c r="J528" s="2" t="s">
        <v>28</v>
      </c>
      <c r="K528">
        <v>84219</v>
      </c>
      <c r="L528" s="2" t="s">
        <v>22</v>
      </c>
      <c r="M528">
        <v>0.2</v>
      </c>
      <c r="N528">
        <v>0.93</v>
      </c>
      <c r="O528">
        <v>13592.29</v>
      </c>
      <c r="P528">
        <v>0</v>
      </c>
      <c r="Q528">
        <v>62</v>
      </c>
      <c r="R528">
        <v>11871.864</v>
      </c>
      <c r="S528">
        <v>48855.864000000001</v>
      </c>
      <c r="T528">
        <v>-23391.71</v>
      </c>
      <c r="U528">
        <v>0</v>
      </c>
      <c r="V528" s="2" t="s">
        <v>2059</v>
      </c>
      <c r="W528" s="2" t="s">
        <v>2057</v>
      </c>
      <c r="X528">
        <v>32977.4</v>
      </c>
      <c r="Y528">
        <v>-0.63248188405797101</v>
      </c>
      <c r="Z528" s="2" t="s">
        <v>2058</v>
      </c>
    </row>
    <row r="529" spans="1:26" x14ac:dyDescent="0.3">
      <c r="A529" s="2" t="s">
        <v>1100</v>
      </c>
      <c r="B529" s="1">
        <v>45020</v>
      </c>
      <c r="C529" s="2" t="s">
        <v>1101</v>
      </c>
      <c r="D529" s="2" t="s">
        <v>40</v>
      </c>
      <c r="E529">
        <v>27616</v>
      </c>
      <c r="F529">
        <v>21.4</v>
      </c>
      <c r="G529">
        <v>36</v>
      </c>
      <c r="H529" s="2" t="s">
        <v>19</v>
      </c>
      <c r="I529" s="2" t="s">
        <v>57</v>
      </c>
      <c r="J529" s="2" t="s">
        <v>28</v>
      </c>
      <c r="K529">
        <v>75991</v>
      </c>
      <c r="L529" s="2" t="s">
        <v>22</v>
      </c>
      <c r="M529">
        <v>0.45</v>
      </c>
      <c r="N529">
        <v>0.61</v>
      </c>
      <c r="O529">
        <v>33525.82</v>
      </c>
      <c r="P529">
        <v>0</v>
      </c>
      <c r="Q529">
        <v>35</v>
      </c>
      <c r="R529">
        <v>17729.471999999998</v>
      </c>
      <c r="S529">
        <v>45345.471999999994</v>
      </c>
      <c r="T529">
        <v>5909.82</v>
      </c>
      <c r="U529">
        <v>0</v>
      </c>
      <c r="V529" s="2" t="s">
        <v>2056</v>
      </c>
      <c r="W529" s="2" t="s">
        <v>2057</v>
      </c>
      <c r="X529">
        <v>49248.533300000003</v>
      </c>
      <c r="Y529">
        <v>0.21399985515643105</v>
      </c>
      <c r="Z529" s="2" t="s">
        <v>2058</v>
      </c>
    </row>
    <row r="530" spans="1:26" x14ac:dyDescent="0.3">
      <c r="A530" s="2" t="s">
        <v>1102</v>
      </c>
      <c r="B530" s="1">
        <v>44994</v>
      </c>
      <c r="C530" s="2" t="s">
        <v>1103</v>
      </c>
      <c r="D530" s="2" t="s">
        <v>53</v>
      </c>
      <c r="E530">
        <v>3113</v>
      </c>
      <c r="F530">
        <v>15.6</v>
      </c>
      <c r="G530">
        <v>60</v>
      </c>
      <c r="H530" s="2" t="s">
        <v>26</v>
      </c>
      <c r="I530" s="2" t="s">
        <v>20</v>
      </c>
      <c r="J530" s="2" t="s">
        <v>21</v>
      </c>
      <c r="K530">
        <v>103616</v>
      </c>
      <c r="L530" s="2" t="s">
        <v>33</v>
      </c>
      <c r="M530">
        <v>0.17</v>
      </c>
      <c r="N530">
        <v>0.9</v>
      </c>
      <c r="O530">
        <v>422.95</v>
      </c>
      <c r="P530">
        <v>0</v>
      </c>
      <c r="Q530">
        <v>36</v>
      </c>
      <c r="R530">
        <v>2428.14</v>
      </c>
      <c r="S530">
        <v>5541.1399999999994</v>
      </c>
      <c r="T530">
        <v>-2690.05</v>
      </c>
      <c r="U530">
        <v>0</v>
      </c>
      <c r="V530" s="2" t="s">
        <v>2059</v>
      </c>
      <c r="W530" s="2" t="s">
        <v>2057</v>
      </c>
      <c r="X530">
        <v>4046.9</v>
      </c>
      <c r="Y530">
        <v>-0.86413427561837464</v>
      </c>
      <c r="Z530" s="2" t="s">
        <v>2058</v>
      </c>
    </row>
    <row r="531" spans="1:26" x14ac:dyDescent="0.3">
      <c r="A531" s="2" t="s">
        <v>1104</v>
      </c>
      <c r="B531" s="1">
        <v>45073</v>
      </c>
      <c r="C531" s="2" t="s">
        <v>1105</v>
      </c>
      <c r="D531" s="2" t="s">
        <v>40</v>
      </c>
      <c r="E531">
        <v>14760</v>
      </c>
      <c r="F531">
        <v>22.6</v>
      </c>
      <c r="G531">
        <v>60</v>
      </c>
      <c r="H531" s="2" t="s">
        <v>19</v>
      </c>
      <c r="I531" s="2" t="s">
        <v>73</v>
      </c>
      <c r="J531" s="2" t="s">
        <v>47</v>
      </c>
      <c r="K531">
        <v>117438</v>
      </c>
      <c r="L531" s="2" t="s">
        <v>22</v>
      </c>
      <c r="M531">
        <v>0.27</v>
      </c>
      <c r="N531">
        <v>0.54</v>
      </c>
      <c r="O531">
        <v>18095.759999999998</v>
      </c>
      <c r="P531">
        <v>0</v>
      </c>
      <c r="Q531">
        <v>33</v>
      </c>
      <c r="R531">
        <v>16678.8</v>
      </c>
      <c r="S531">
        <v>31438.799999999999</v>
      </c>
      <c r="T531">
        <v>3335.7599999999984</v>
      </c>
      <c r="U531">
        <v>0</v>
      </c>
      <c r="V531" s="2" t="s">
        <v>2056</v>
      </c>
      <c r="W531" s="2" t="s">
        <v>2064</v>
      </c>
      <c r="X531">
        <v>27798</v>
      </c>
      <c r="Y531">
        <v>0.2259999999999999</v>
      </c>
      <c r="Z531" s="2" t="s">
        <v>2061</v>
      </c>
    </row>
    <row r="532" spans="1:26" x14ac:dyDescent="0.3">
      <c r="A532" s="2" t="s">
        <v>1106</v>
      </c>
      <c r="B532" s="1">
        <v>45225</v>
      </c>
      <c r="C532" s="2" t="s">
        <v>1107</v>
      </c>
      <c r="D532" s="2" t="s">
        <v>18</v>
      </c>
      <c r="E532">
        <v>22927</v>
      </c>
      <c r="F532">
        <v>16.5</v>
      </c>
      <c r="G532">
        <v>60</v>
      </c>
      <c r="H532" s="2" t="s">
        <v>26</v>
      </c>
      <c r="I532" s="2" t="s">
        <v>27</v>
      </c>
      <c r="J532" s="2" t="s">
        <v>32</v>
      </c>
      <c r="K532">
        <v>146841</v>
      </c>
      <c r="L532" s="2" t="s">
        <v>22</v>
      </c>
      <c r="M532">
        <v>0.11</v>
      </c>
      <c r="N532">
        <v>0.53</v>
      </c>
      <c r="O532">
        <v>6850.1</v>
      </c>
      <c r="P532">
        <v>0</v>
      </c>
      <c r="Q532">
        <v>28</v>
      </c>
      <c r="R532">
        <v>18914.774999999998</v>
      </c>
      <c r="S532">
        <v>41841.774999999994</v>
      </c>
      <c r="T532">
        <v>-16076.9</v>
      </c>
      <c r="U532">
        <v>0</v>
      </c>
      <c r="V532" s="2" t="s">
        <v>2059</v>
      </c>
      <c r="W532" s="2" t="s">
        <v>2060</v>
      </c>
      <c r="X532">
        <v>31524.625</v>
      </c>
      <c r="Y532">
        <v>-0.7012212675011994</v>
      </c>
      <c r="Z532" s="2" t="s">
        <v>2061</v>
      </c>
    </row>
    <row r="533" spans="1:26" x14ac:dyDescent="0.3">
      <c r="A533" s="2" t="s">
        <v>1108</v>
      </c>
      <c r="B533" s="1">
        <v>45212</v>
      </c>
      <c r="C533" s="2" t="s">
        <v>1109</v>
      </c>
      <c r="D533" s="2" t="s">
        <v>18</v>
      </c>
      <c r="E533">
        <v>21939</v>
      </c>
      <c r="F533">
        <v>5.6</v>
      </c>
      <c r="G533">
        <v>36</v>
      </c>
      <c r="H533" s="2" t="s">
        <v>26</v>
      </c>
      <c r="I533" s="2" t="s">
        <v>20</v>
      </c>
      <c r="J533" s="2" t="s">
        <v>28</v>
      </c>
      <c r="K533">
        <v>39486</v>
      </c>
      <c r="L533" s="2" t="s">
        <v>33</v>
      </c>
      <c r="M533">
        <v>0.28999999999999998</v>
      </c>
      <c r="N533">
        <v>0.56000000000000005</v>
      </c>
      <c r="O533">
        <v>3597.13</v>
      </c>
      <c r="P533">
        <v>0</v>
      </c>
      <c r="Q533">
        <v>29</v>
      </c>
      <c r="R533">
        <v>3685.751999999999</v>
      </c>
      <c r="S533">
        <v>25624.752</v>
      </c>
      <c r="T533">
        <v>-18341.87</v>
      </c>
      <c r="U533">
        <v>0</v>
      </c>
      <c r="V533" s="2" t="s">
        <v>2059</v>
      </c>
      <c r="W533" s="2" t="s">
        <v>2057</v>
      </c>
      <c r="X533">
        <v>10238.210499999999</v>
      </c>
      <c r="Y533">
        <v>-0.83603947308446136</v>
      </c>
      <c r="Z533" s="2" t="s">
        <v>2061</v>
      </c>
    </row>
    <row r="534" spans="1:26" x14ac:dyDescent="0.3">
      <c r="A534" s="2" t="s">
        <v>1110</v>
      </c>
      <c r="B534" s="1">
        <v>44570</v>
      </c>
      <c r="C534" s="2" t="s">
        <v>1111</v>
      </c>
      <c r="D534" s="2" t="s">
        <v>18</v>
      </c>
      <c r="E534">
        <v>33419</v>
      </c>
      <c r="F534">
        <v>18.5</v>
      </c>
      <c r="G534">
        <v>36</v>
      </c>
      <c r="H534" s="2" t="s">
        <v>81</v>
      </c>
      <c r="I534" s="2" t="s">
        <v>57</v>
      </c>
      <c r="J534" s="2" t="s">
        <v>37</v>
      </c>
      <c r="K534">
        <v>68862</v>
      </c>
      <c r="L534" s="2" t="s">
        <v>22</v>
      </c>
      <c r="M534">
        <v>0.11</v>
      </c>
      <c r="N534">
        <v>0.53</v>
      </c>
      <c r="O534">
        <v>12922.67</v>
      </c>
      <c r="P534">
        <v>11291.82</v>
      </c>
      <c r="Q534">
        <v>50</v>
      </c>
      <c r="R534">
        <v>18547.545000000002</v>
      </c>
      <c r="S534">
        <v>51966.544999999998</v>
      </c>
      <c r="T534">
        <v>-9204.510000000002</v>
      </c>
      <c r="U534">
        <v>1</v>
      </c>
      <c r="V534" s="2" t="s">
        <v>2063</v>
      </c>
      <c r="W534" s="2" t="s">
        <v>2057</v>
      </c>
      <c r="X534">
        <v>51520.958299999998</v>
      </c>
      <c r="Y534">
        <v>-0.27542745144977415</v>
      </c>
      <c r="Z534" s="2" t="s">
        <v>2061</v>
      </c>
    </row>
    <row r="535" spans="1:26" x14ac:dyDescent="0.3">
      <c r="A535" s="2" t="s">
        <v>1112</v>
      </c>
      <c r="B535" s="1">
        <v>45285</v>
      </c>
      <c r="C535" s="2" t="s">
        <v>1113</v>
      </c>
      <c r="D535" s="2" t="s">
        <v>18</v>
      </c>
      <c r="E535">
        <v>13588</v>
      </c>
      <c r="F535">
        <v>5.9</v>
      </c>
      <c r="G535">
        <v>36</v>
      </c>
      <c r="H535" s="2" t="s">
        <v>19</v>
      </c>
      <c r="I535" s="2" t="s">
        <v>84</v>
      </c>
      <c r="J535" s="2" t="s">
        <v>21</v>
      </c>
      <c r="K535">
        <v>88870</v>
      </c>
      <c r="L535" s="2" t="s">
        <v>22</v>
      </c>
      <c r="M535">
        <v>0.43</v>
      </c>
      <c r="N535">
        <v>0.88</v>
      </c>
      <c r="O535">
        <v>14389.69</v>
      </c>
      <c r="P535">
        <v>0</v>
      </c>
      <c r="Q535">
        <v>26</v>
      </c>
      <c r="R535">
        <v>2405.0760000000005</v>
      </c>
      <c r="S535">
        <v>15993.076000000001</v>
      </c>
      <c r="T535">
        <v>801.69000000000051</v>
      </c>
      <c r="U535">
        <v>0</v>
      </c>
      <c r="V535" s="2" t="s">
        <v>2056</v>
      </c>
      <c r="W535" s="2" t="s">
        <v>2062</v>
      </c>
      <c r="X535">
        <v>6680.7704000000003</v>
      </c>
      <c r="Y535">
        <v>5.8999852811304127E-2</v>
      </c>
      <c r="Z535" s="2" t="s">
        <v>2058</v>
      </c>
    </row>
    <row r="536" spans="1:26" x14ac:dyDescent="0.3">
      <c r="A536" s="2" t="s">
        <v>1114</v>
      </c>
      <c r="B536" s="1">
        <v>44342</v>
      </c>
      <c r="C536" s="2" t="s">
        <v>1115</v>
      </c>
      <c r="D536" s="2" t="s">
        <v>76</v>
      </c>
      <c r="E536">
        <v>37142</v>
      </c>
      <c r="F536">
        <v>14</v>
      </c>
      <c r="G536">
        <v>36</v>
      </c>
      <c r="H536" s="2" t="s">
        <v>19</v>
      </c>
      <c r="I536" s="2" t="s">
        <v>57</v>
      </c>
      <c r="J536" s="2" t="s">
        <v>21</v>
      </c>
      <c r="K536">
        <v>116694</v>
      </c>
      <c r="L536" s="2" t="s">
        <v>29</v>
      </c>
      <c r="M536">
        <v>0.43</v>
      </c>
      <c r="N536">
        <v>0.53</v>
      </c>
      <c r="O536">
        <v>42341.88</v>
      </c>
      <c r="P536">
        <v>0</v>
      </c>
      <c r="Q536">
        <v>57</v>
      </c>
      <c r="R536">
        <v>15599.64</v>
      </c>
      <c r="S536">
        <v>52741.64</v>
      </c>
      <c r="T536">
        <v>5199.8799999999974</v>
      </c>
      <c r="U536">
        <v>0</v>
      </c>
      <c r="V536" s="2" t="s">
        <v>2056</v>
      </c>
      <c r="W536" s="2" t="s">
        <v>2057</v>
      </c>
      <c r="X536">
        <v>43332.333299999998</v>
      </c>
      <c r="Y536">
        <v>0.13999999999999993</v>
      </c>
      <c r="Z536" s="2" t="s">
        <v>2058</v>
      </c>
    </row>
    <row r="537" spans="1:26" x14ac:dyDescent="0.3">
      <c r="A537" s="2" t="s">
        <v>1116</v>
      </c>
      <c r="B537" s="1">
        <v>44420</v>
      </c>
      <c r="C537" s="2" t="s">
        <v>1117</v>
      </c>
      <c r="D537" s="2" t="s">
        <v>46</v>
      </c>
      <c r="E537">
        <v>34397</v>
      </c>
      <c r="F537">
        <v>23.6</v>
      </c>
      <c r="G537">
        <v>60</v>
      </c>
      <c r="H537" s="2" t="s">
        <v>19</v>
      </c>
      <c r="I537" s="2" t="s">
        <v>20</v>
      </c>
      <c r="J537" s="2" t="s">
        <v>28</v>
      </c>
      <c r="K537">
        <v>135996</v>
      </c>
      <c r="L537" s="2" t="s">
        <v>22</v>
      </c>
      <c r="M537">
        <v>0.42</v>
      </c>
      <c r="N537">
        <v>0.62</v>
      </c>
      <c r="O537">
        <v>42514.69</v>
      </c>
      <c r="P537">
        <v>0</v>
      </c>
      <c r="Q537">
        <v>55</v>
      </c>
      <c r="R537">
        <v>40588.460000000006</v>
      </c>
      <c r="S537">
        <v>74985.460000000006</v>
      </c>
      <c r="T537">
        <v>8117.6900000000023</v>
      </c>
      <c r="U537">
        <v>0</v>
      </c>
      <c r="V537" s="2" t="s">
        <v>2056</v>
      </c>
      <c r="W537" s="2" t="s">
        <v>2057</v>
      </c>
      <c r="X537">
        <v>67647.433300000004</v>
      </c>
      <c r="Y537">
        <v>0.23599994185539444</v>
      </c>
      <c r="Z537" s="2" t="s">
        <v>2058</v>
      </c>
    </row>
    <row r="538" spans="1:26" x14ac:dyDescent="0.3">
      <c r="A538" s="2" t="s">
        <v>1118</v>
      </c>
      <c r="B538" s="1">
        <v>44373</v>
      </c>
      <c r="C538" s="2" t="s">
        <v>1119</v>
      </c>
      <c r="D538" s="2" t="s">
        <v>40</v>
      </c>
      <c r="E538">
        <v>17653</v>
      </c>
      <c r="F538">
        <v>8.3000000000000007</v>
      </c>
      <c r="G538">
        <v>36</v>
      </c>
      <c r="H538" s="2" t="s">
        <v>26</v>
      </c>
      <c r="I538" s="2" t="s">
        <v>27</v>
      </c>
      <c r="J538" s="2" t="s">
        <v>28</v>
      </c>
      <c r="K538">
        <v>73856</v>
      </c>
      <c r="L538" s="2" t="s">
        <v>22</v>
      </c>
      <c r="M538">
        <v>0.21</v>
      </c>
      <c r="N538">
        <v>0.55000000000000004</v>
      </c>
      <c r="O538">
        <v>1110.0899999999999</v>
      </c>
      <c r="P538">
        <v>0</v>
      </c>
      <c r="Q538">
        <v>56</v>
      </c>
      <c r="R538">
        <v>4395.5970000000007</v>
      </c>
      <c r="S538">
        <v>22048.597000000002</v>
      </c>
      <c r="T538">
        <v>-16542.91</v>
      </c>
      <c r="U538">
        <v>0</v>
      </c>
      <c r="V538" s="2" t="s">
        <v>2059</v>
      </c>
      <c r="W538" s="2" t="s">
        <v>2060</v>
      </c>
      <c r="X538">
        <v>12209.9917</v>
      </c>
      <c r="Y538">
        <v>-0.93711607092278937</v>
      </c>
      <c r="Z538" s="2" t="s">
        <v>2061</v>
      </c>
    </row>
    <row r="539" spans="1:26" x14ac:dyDescent="0.3">
      <c r="A539" s="2" t="s">
        <v>1120</v>
      </c>
      <c r="B539" s="1">
        <v>45049</v>
      </c>
      <c r="C539" s="2" t="s">
        <v>1121</v>
      </c>
      <c r="D539" s="2" t="s">
        <v>46</v>
      </c>
      <c r="E539">
        <v>11831</v>
      </c>
      <c r="F539">
        <v>12.8</v>
      </c>
      <c r="G539">
        <v>36</v>
      </c>
      <c r="H539" s="2" t="s">
        <v>19</v>
      </c>
      <c r="I539" s="2" t="s">
        <v>20</v>
      </c>
      <c r="J539" s="2" t="s">
        <v>28</v>
      </c>
      <c r="K539">
        <v>131407</v>
      </c>
      <c r="L539" s="2" t="s">
        <v>22</v>
      </c>
      <c r="M539">
        <v>0.43</v>
      </c>
      <c r="N539">
        <v>0.63</v>
      </c>
      <c r="O539">
        <v>13345.37</v>
      </c>
      <c r="P539">
        <v>0</v>
      </c>
      <c r="Q539">
        <v>34</v>
      </c>
      <c r="R539">
        <v>4543.1040000000003</v>
      </c>
      <c r="S539">
        <v>16374.103999999999</v>
      </c>
      <c r="T539">
        <v>1514.3700000000008</v>
      </c>
      <c r="U539">
        <v>0</v>
      </c>
      <c r="V539" s="2" t="s">
        <v>2056</v>
      </c>
      <c r="W539" s="2" t="s">
        <v>2057</v>
      </c>
      <c r="X539">
        <v>12619.7333</v>
      </c>
      <c r="Y539">
        <v>0.12800016904741787</v>
      </c>
      <c r="Z539" s="2" t="s">
        <v>2058</v>
      </c>
    </row>
    <row r="540" spans="1:26" x14ac:dyDescent="0.3">
      <c r="A540" s="2" t="s">
        <v>1122</v>
      </c>
      <c r="B540" s="1">
        <v>44259</v>
      </c>
      <c r="C540" s="2" t="s">
        <v>1123</v>
      </c>
      <c r="D540" s="2" t="s">
        <v>50</v>
      </c>
      <c r="E540">
        <v>6724</v>
      </c>
      <c r="F540">
        <v>19.600000000000001</v>
      </c>
      <c r="G540">
        <v>36</v>
      </c>
      <c r="H540" s="2" t="s">
        <v>19</v>
      </c>
      <c r="I540" s="2" t="s">
        <v>36</v>
      </c>
      <c r="J540" s="2" t="s">
        <v>32</v>
      </c>
      <c r="K540">
        <v>130744</v>
      </c>
      <c r="L540" s="2" t="s">
        <v>22</v>
      </c>
      <c r="M540">
        <v>0.32</v>
      </c>
      <c r="N540">
        <v>0.54</v>
      </c>
      <c r="O540">
        <v>8041.9</v>
      </c>
      <c r="P540">
        <v>0</v>
      </c>
      <c r="Q540">
        <v>60</v>
      </c>
      <c r="R540">
        <v>3953.7120000000009</v>
      </c>
      <c r="S540">
        <v>10677.712000000001</v>
      </c>
      <c r="T540">
        <v>1317.8999999999996</v>
      </c>
      <c r="U540">
        <v>0</v>
      </c>
      <c r="V540" s="2" t="s">
        <v>2056</v>
      </c>
      <c r="W540" s="2" t="s">
        <v>2062</v>
      </c>
      <c r="X540">
        <v>10982.533299999999</v>
      </c>
      <c r="Y540">
        <v>0.19599940511600233</v>
      </c>
      <c r="Z540" s="2" t="s">
        <v>2061</v>
      </c>
    </row>
    <row r="541" spans="1:26" x14ac:dyDescent="0.3">
      <c r="A541" s="2" t="s">
        <v>1124</v>
      </c>
      <c r="B541" s="1">
        <v>45023</v>
      </c>
      <c r="C541" s="2" t="s">
        <v>1125</v>
      </c>
      <c r="D541" s="2" t="s">
        <v>40</v>
      </c>
      <c r="E541">
        <v>12083</v>
      </c>
      <c r="F541">
        <v>22.6</v>
      </c>
      <c r="G541">
        <v>60</v>
      </c>
      <c r="H541" s="2" t="s">
        <v>26</v>
      </c>
      <c r="I541" s="2" t="s">
        <v>20</v>
      </c>
      <c r="J541" s="2" t="s">
        <v>28</v>
      </c>
      <c r="K541">
        <v>116055</v>
      </c>
      <c r="L541" s="2" t="s">
        <v>22</v>
      </c>
      <c r="M541">
        <v>0.25</v>
      </c>
      <c r="N541">
        <v>0.8</v>
      </c>
      <c r="O541">
        <v>1690.14</v>
      </c>
      <c r="P541">
        <v>0</v>
      </c>
      <c r="Q541">
        <v>35</v>
      </c>
      <c r="R541">
        <v>13653.789999999999</v>
      </c>
      <c r="S541">
        <v>25736.79</v>
      </c>
      <c r="T541">
        <v>-10392.86</v>
      </c>
      <c r="U541">
        <v>0</v>
      </c>
      <c r="V541" s="2" t="s">
        <v>2059</v>
      </c>
      <c r="W541" s="2" t="s">
        <v>2057</v>
      </c>
      <c r="X541">
        <v>22756.316699999999</v>
      </c>
      <c r="Y541">
        <v>-0.86012248613754871</v>
      </c>
      <c r="Z541" s="2" t="s">
        <v>2061</v>
      </c>
    </row>
    <row r="542" spans="1:26" x14ac:dyDescent="0.3">
      <c r="A542" s="2" t="s">
        <v>1126</v>
      </c>
      <c r="B542" s="1">
        <v>44991</v>
      </c>
      <c r="C542" s="2" t="s">
        <v>1127</v>
      </c>
      <c r="D542" s="2" t="s">
        <v>76</v>
      </c>
      <c r="E542">
        <v>20816</v>
      </c>
      <c r="F542">
        <v>18.399999999999999</v>
      </c>
      <c r="G542">
        <v>60</v>
      </c>
      <c r="H542" s="2" t="s">
        <v>26</v>
      </c>
      <c r="I542" s="2" t="s">
        <v>27</v>
      </c>
      <c r="J542" s="2" t="s">
        <v>47</v>
      </c>
      <c r="K542">
        <v>61379</v>
      </c>
      <c r="L542" s="2" t="s">
        <v>33</v>
      </c>
      <c r="M542">
        <v>0.35</v>
      </c>
      <c r="N542">
        <v>0.56000000000000005</v>
      </c>
      <c r="O542">
        <v>3310.57</v>
      </c>
      <c r="P542">
        <v>0</v>
      </c>
      <c r="Q542">
        <v>36</v>
      </c>
      <c r="R542">
        <v>19150.719999999998</v>
      </c>
      <c r="S542">
        <v>39966.720000000001</v>
      </c>
      <c r="T542">
        <v>-17505.43</v>
      </c>
      <c r="U542">
        <v>0</v>
      </c>
      <c r="V542" s="2" t="s">
        <v>2059</v>
      </c>
      <c r="W542" s="2" t="s">
        <v>2060</v>
      </c>
      <c r="X542">
        <v>31917.866699999999</v>
      </c>
      <c r="Y542">
        <v>-0.84096031898539592</v>
      </c>
      <c r="Z542" s="2" t="s">
        <v>2061</v>
      </c>
    </row>
    <row r="543" spans="1:26" x14ac:dyDescent="0.3">
      <c r="A543" s="2" t="s">
        <v>1128</v>
      </c>
      <c r="B543" s="1">
        <v>44885</v>
      </c>
      <c r="C543" s="2" t="s">
        <v>1129</v>
      </c>
      <c r="D543" s="2" t="s">
        <v>50</v>
      </c>
      <c r="E543">
        <v>7276</v>
      </c>
      <c r="F543">
        <v>10.199999999999999</v>
      </c>
      <c r="G543">
        <v>36</v>
      </c>
      <c r="H543" s="2" t="s">
        <v>19</v>
      </c>
      <c r="I543" s="2" t="s">
        <v>73</v>
      </c>
      <c r="J543" s="2" t="s">
        <v>37</v>
      </c>
      <c r="K543">
        <v>94729</v>
      </c>
      <c r="L543" s="2" t="s">
        <v>22</v>
      </c>
      <c r="M543">
        <v>0.1</v>
      </c>
      <c r="N543">
        <v>0.88</v>
      </c>
      <c r="O543">
        <v>8018.15</v>
      </c>
      <c r="P543">
        <v>0</v>
      </c>
      <c r="Q543">
        <v>39</v>
      </c>
      <c r="R543">
        <v>2226.4559999999997</v>
      </c>
      <c r="S543">
        <v>9502.4560000000001</v>
      </c>
      <c r="T543">
        <v>742.14999999999964</v>
      </c>
      <c r="U543">
        <v>0</v>
      </c>
      <c r="V543" s="2" t="s">
        <v>2056</v>
      </c>
      <c r="W543" s="2" t="s">
        <v>2064</v>
      </c>
      <c r="X543">
        <v>6184.6</v>
      </c>
      <c r="Y543">
        <v>0.10199972512369429</v>
      </c>
      <c r="Z543" s="2" t="s">
        <v>2058</v>
      </c>
    </row>
    <row r="544" spans="1:26" x14ac:dyDescent="0.3">
      <c r="A544" s="2" t="s">
        <v>1130</v>
      </c>
      <c r="B544" s="1">
        <v>44301</v>
      </c>
      <c r="C544" s="2" t="s">
        <v>1131</v>
      </c>
      <c r="D544" s="2" t="s">
        <v>46</v>
      </c>
      <c r="E544">
        <v>39663</v>
      </c>
      <c r="F544">
        <v>18.5</v>
      </c>
      <c r="G544">
        <v>36</v>
      </c>
      <c r="H544" s="2" t="s">
        <v>19</v>
      </c>
      <c r="I544" s="2" t="s">
        <v>84</v>
      </c>
      <c r="J544" s="2" t="s">
        <v>28</v>
      </c>
      <c r="K544">
        <v>58378</v>
      </c>
      <c r="L544" s="2" t="s">
        <v>22</v>
      </c>
      <c r="M544">
        <v>0.16</v>
      </c>
      <c r="N544">
        <v>0.87</v>
      </c>
      <c r="O544">
        <v>47000.66</v>
      </c>
      <c r="P544">
        <v>0</v>
      </c>
      <c r="Q544">
        <v>59</v>
      </c>
      <c r="R544">
        <v>22012.965</v>
      </c>
      <c r="S544">
        <v>61675.964999999997</v>
      </c>
      <c r="T544">
        <v>7337.6600000000035</v>
      </c>
      <c r="U544">
        <v>0</v>
      </c>
      <c r="V544" s="2" t="s">
        <v>2056</v>
      </c>
      <c r="W544" s="2" t="s">
        <v>2062</v>
      </c>
      <c r="X544">
        <v>61147.125</v>
      </c>
      <c r="Y544">
        <v>0.18500012606207306</v>
      </c>
      <c r="Z544" s="2" t="s">
        <v>2058</v>
      </c>
    </row>
    <row r="545" spans="1:26" x14ac:dyDescent="0.3">
      <c r="A545" s="2" t="s">
        <v>1132</v>
      </c>
      <c r="B545" s="1">
        <v>44707</v>
      </c>
      <c r="C545" s="2" t="s">
        <v>1133</v>
      </c>
      <c r="D545" s="2" t="s">
        <v>50</v>
      </c>
      <c r="E545">
        <v>14994</v>
      </c>
      <c r="F545">
        <v>10.9</v>
      </c>
      <c r="G545">
        <v>60</v>
      </c>
      <c r="H545" s="2" t="s">
        <v>26</v>
      </c>
      <c r="I545" s="2" t="s">
        <v>20</v>
      </c>
      <c r="J545" s="2" t="s">
        <v>32</v>
      </c>
      <c r="K545">
        <v>135428</v>
      </c>
      <c r="L545" s="2" t="s">
        <v>33</v>
      </c>
      <c r="M545">
        <v>0.4</v>
      </c>
      <c r="N545">
        <v>0.51</v>
      </c>
      <c r="O545">
        <v>3543.54</v>
      </c>
      <c r="P545">
        <v>0</v>
      </c>
      <c r="Q545">
        <v>45</v>
      </c>
      <c r="R545">
        <v>8171.73</v>
      </c>
      <c r="S545">
        <v>23165.73</v>
      </c>
      <c r="T545">
        <v>-11450.46</v>
      </c>
      <c r="U545">
        <v>0</v>
      </c>
      <c r="V545" s="2" t="s">
        <v>2059</v>
      </c>
      <c r="W545" s="2" t="s">
        <v>2057</v>
      </c>
      <c r="X545">
        <v>13619.55</v>
      </c>
      <c r="Y545">
        <v>-0.76366946778711475</v>
      </c>
      <c r="Z545" s="2" t="s">
        <v>2061</v>
      </c>
    </row>
    <row r="546" spans="1:26" x14ac:dyDescent="0.3">
      <c r="A546" s="2" t="s">
        <v>1134</v>
      </c>
      <c r="B546" s="1">
        <v>44581</v>
      </c>
      <c r="C546" s="2" t="s">
        <v>1135</v>
      </c>
      <c r="D546" s="2" t="s">
        <v>72</v>
      </c>
      <c r="E546">
        <v>24499</v>
      </c>
      <c r="F546">
        <v>19.399999999999999</v>
      </c>
      <c r="G546">
        <v>60</v>
      </c>
      <c r="H546" s="2" t="s">
        <v>19</v>
      </c>
      <c r="I546" s="2" t="s">
        <v>27</v>
      </c>
      <c r="J546" s="2" t="s">
        <v>37</v>
      </c>
      <c r="K546">
        <v>84353</v>
      </c>
      <c r="L546" s="2" t="s">
        <v>33</v>
      </c>
      <c r="M546">
        <v>0.2</v>
      </c>
      <c r="N546">
        <v>0.9</v>
      </c>
      <c r="O546">
        <v>29251.81</v>
      </c>
      <c r="P546">
        <v>0</v>
      </c>
      <c r="Q546">
        <v>49</v>
      </c>
      <c r="R546">
        <v>23764.03</v>
      </c>
      <c r="S546">
        <v>48263.03</v>
      </c>
      <c r="T546">
        <v>4752.8100000000013</v>
      </c>
      <c r="U546">
        <v>0</v>
      </c>
      <c r="V546" s="2" t="s">
        <v>2056</v>
      </c>
      <c r="W546" s="2" t="s">
        <v>2060</v>
      </c>
      <c r="X546">
        <v>39606.716699999997</v>
      </c>
      <c r="Y546">
        <v>0.19400016327197034</v>
      </c>
      <c r="Z546" s="2" t="s">
        <v>2058</v>
      </c>
    </row>
    <row r="547" spans="1:26" x14ac:dyDescent="0.3">
      <c r="A547" s="2" t="s">
        <v>1136</v>
      </c>
      <c r="B547" s="1">
        <v>44601</v>
      </c>
      <c r="C547" s="2" t="s">
        <v>1137</v>
      </c>
      <c r="D547" s="2" t="s">
        <v>50</v>
      </c>
      <c r="E547">
        <v>24040</v>
      </c>
      <c r="F547">
        <v>24.1</v>
      </c>
      <c r="G547">
        <v>60</v>
      </c>
      <c r="H547" s="2" t="s">
        <v>26</v>
      </c>
      <c r="I547" s="2" t="s">
        <v>73</v>
      </c>
      <c r="J547" s="2" t="s">
        <v>21</v>
      </c>
      <c r="K547">
        <v>79996</v>
      </c>
      <c r="L547" s="2" t="s">
        <v>22</v>
      </c>
      <c r="M547">
        <v>0.34</v>
      </c>
      <c r="N547">
        <v>0.51</v>
      </c>
      <c r="O547">
        <v>3719.68</v>
      </c>
      <c r="P547">
        <v>0</v>
      </c>
      <c r="Q547">
        <v>49</v>
      </c>
      <c r="R547">
        <v>28968.2</v>
      </c>
      <c r="S547">
        <v>53008.2</v>
      </c>
      <c r="T547">
        <v>-20320.32</v>
      </c>
      <c r="U547">
        <v>0</v>
      </c>
      <c r="V547" s="2" t="s">
        <v>2059</v>
      </c>
      <c r="W547" s="2" t="s">
        <v>2064</v>
      </c>
      <c r="X547">
        <v>48280.333299999998</v>
      </c>
      <c r="Y547">
        <v>-0.84527121464226285</v>
      </c>
      <c r="Z547" s="2" t="s">
        <v>2061</v>
      </c>
    </row>
    <row r="548" spans="1:26" x14ac:dyDescent="0.3">
      <c r="A548" s="2" t="s">
        <v>1138</v>
      </c>
      <c r="B548" s="1">
        <v>45019</v>
      </c>
      <c r="C548" s="2" t="s">
        <v>1139</v>
      </c>
      <c r="D548" s="2" t="s">
        <v>40</v>
      </c>
      <c r="E548">
        <v>17959</v>
      </c>
      <c r="F548">
        <v>19.399999999999999</v>
      </c>
      <c r="G548">
        <v>60</v>
      </c>
      <c r="H548" s="2" t="s">
        <v>19</v>
      </c>
      <c r="I548" s="2" t="s">
        <v>73</v>
      </c>
      <c r="J548" s="2" t="s">
        <v>28</v>
      </c>
      <c r="K548">
        <v>44031</v>
      </c>
      <c r="L548" s="2" t="s">
        <v>22</v>
      </c>
      <c r="M548">
        <v>0.25</v>
      </c>
      <c r="N548">
        <v>0.61</v>
      </c>
      <c r="O548">
        <v>21443.05</v>
      </c>
      <c r="P548">
        <v>0</v>
      </c>
      <c r="Q548">
        <v>35</v>
      </c>
      <c r="R548">
        <v>17420.23</v>
      </c>
      <c r="S548">
        <v>35379.229999999996</v>
      </c>
      <c r="T548">
        <v>3484.0499999999993</v>
      </c>
      <c r="U548">
        <v>0</v>
      </c>
      <c r="V548" s="2" t="s">
        <v>2056</v>
      </c>
      <c r="W548" s="2" t="s">
        <v>2064</v>
      </c>
      <c r="X548">
        <v>29033.716700000001</v>
      </c>
      <c r="Y548">
        <v>0.19400022272955061</v>
      </c>
      <c r="Z548" s="2" t="s">
        <v>2061</v>
      </c>
    </row>
    <row r="549" spans="1:26" x14ac:dyDescent="0.3">
      <c r="A549" s="2" t="s">
        <v>1140</v>
      </c>
      <c r="B549" s="1">
        <v>44714</v>
      </c>
      <c r="C549" s="2" t="s">
        <v>1141</v>
      </c>
      <c r="D549" s="2" t="s">
        <v>18</v>
      </c>
      <c r="E549">
        <v>7099</v>
      </c>
      <c r="F549">
        <v>22.3</v>
      </c>
      <c r="G549">
        <v>60</v>
      </c>
      <c r="H549" s="2" t="s">
        <v>81</v>
      </c>
      <c r="I549" s="2" t="s">
        <v>73</v>
      </c>
      <c r="J549" s="2" t="s">
        <v>37</v>
      </c>
      <c r="K549">
        <v>110072</v>
      </c>
      <c r="L549" s="2" t="s">
        <v>22</v>
      </c>
      <c r="M549">
        <v>0.44</v>
      </c>
      <c r="N549">
        <v>0.51</v>
      </c>
      <c r="O549">
        <v>1756.33</v>
      </c>
      <c r="P549">
        <v>874.52</v>
      </c>
      <c r="Q549">
        <v>45</v>
      </c>
      <c r="R549">
        <v>7915.3850000000011</v>
      </c>
      <c r="S549">
        <v>15014.385000000002</v>
      </c>
      <c r="T549">
        <v>-4468.1499999999996</v>
      </c>
      <c r="U549">
        <v>1</v>
      </c>
      <c r="V549" s="2" t="s">
        <v>2063</v>
      </c>
      <c r="W549" s="2" t="s">
        <v>2064</v>
      </c>
      <c r="X549">
        <v>13192.308300000001</v>
      </c>
      <c r="Y549">
        <v>-0.62940555007747567</v>
      </c>
      <c r="Z549" s="2" t="s">
        <v>2058</v>
      </c>
    </row>
    <row r="550" spans="1:26" x14ac:dyDescent="0.3">
      <c r="A550" s="2" t="s">
        <v>1142</v>
      </c>
      <c r="B550" s="1">
        <v>44672</v>
      </c>
      <c r="C550" s="2" t="s">
        <v>1143</v>
      </c>
      <c r="D550" s="2" t="s">
        <v>18</v>
      </c>
      <c r="E550">
        <v>20576</v>
      </c>
      <c r="F550">
        <v>5</v>
      </c>
      <c r="G550">
        <v>60</v>
      </c>
      <c r="H550" s="2" t="s">
        <v>19</v>
      </c>
      <c r="I550" s="2" t="s">
        <v>27</v>
      </c>
      <c r="J550" s="2" t="s">
        <v>21</v>
      </c>
      <c r="K550">
        <v>95982</v>
      </c>
      <c r="L550" s="2" t="s">
        <v>29</v>
      </c>
      <c r="M550">
        <v>0.48</v>
      </c>
      <c r="N550">
        <v>0.65</v>
      </c>
      <c r="O550">
        <v>21604.799999999999</v>
      </c>
      <c r="P550">
        <v>0</v>
      </c>
      <c r="Q550">
        <v>46</v>
      </c>
      <c r="R550">
        <v>5144</v>
      </c>
      <c r="S550">
        <v>25720</v>
      </c>
      <c r="T550">
        <v>1028.7999999999993</v>
      </c>
      <c r="U550">
        <v>0</v>
      </c>
      <c r="V550" s="2" t="s">
        <v>2056</v>
      </c>
      <c r="W550" s="2" t="s">
        <v>2060</v>
      </c>
      <c r="X550">
        <v>8573.3333000000002</v>
      </c>
      <c r="Y550">
        <v>4.9999999999999968E-2</v>
      </c>
      <c r="Z550" s="2" t="s">
        <v>2058</v>
      </c>
    </row>
    <row r="551" spans="1:26" x14ac:dyDescent="0.3">
      <c r="A551" s="2" t="s">
        <v>1144</v>
      </c>
      <c r="B551" s="1">
        <v>44905</v>
      </c>
      <c r="C551" s="2" t="s">
        <v>1145</v>
      </c>
      <c r="D551" s="2" t="s">
        <v>53</v>
      </c>
      <c r="E551">
        <v>36946</v>
      </c>
      <c r="F551">
        <v>19.399999999999999</v>
      </c>
      <c r="G551">
        <v>60</v>
      </c>
      <c r="H551" s="2" t="s">
        <v>19</v>
      </c>
      <c r="I551" s="2" t="s">
        <v>36</v>
      </c>
      <c r="J551" s="2" t="s">
        <v>32</v>
      </c>
      <c r="K551">
        <v>66683</v>
      </c>
      <c r="L551" s="2" t="s">
        <v>29</v>
      </c>
      <c r="M551">
        <v>0.45</v>
      </c>
      <c r="N551">
        <v>0.73</v>
      </c>
      <c r="O551">
        <v>44113.52</v>
      </c>
      <c r="P551">
        <v>0</v>
      </c>
      <c r="Q551">
        <v>39</v>
      </c>
      <c r="R551">
        <v>35837.619999999995</v>
      </c>
      <c r="S551">
        <v>72783.62</v>
      </c>
      <c r="T551">
        <v>7167.5199999999968</v>
      </c>
      <c r="U551">
        <v>0</v>
      </c>
      <c r="V551" s="2" t="s">
        <v>2056</v>
      </c>
      <c r="W551" s="2" t="s">
        <v>2062</v>
      </c>
      <c r="X551">
        <v>59729.366699999999</v>
      </c>
      <c r="Y551">
        <v>0.1939998917338818</v>
      </c>
      <c r="Z551" s="2" t="s">
        <v>2058</v>
      </c>
    </row>
    <row r="552" spans="1:26" x14ac:dyDescent="0.3">
      <c r="A552" s="2" t="s">
        <v>1146</v>
      </c>
      <c r="B552" s="1">
        <v>44967</v>
      </c>
      <c r="C552" s="2" t="s">
        <v>1147</v>
      </c>
      <c r="D552" s="2" t="s">
        <v>46</v>
      </c>
      <c r="E552">
        <v>7116</v>
      </c>
      <c r="F552">
        <v>21.6</v>
      </c>
      <c r="G552">
        <v>60</v>
      </c>
      <c r="H552" s="2" t="s">
        <v>26</v>
      </c>
      <c r="I552" s="2" t="s">
        <v>20</v>
      </c>
      <c r="J552" s="2" t="s">
        <v>47</v>
      </c>
      <c r="K552">
        <v>144091</v>
      </c>
      <c r="L552" s="2" t="s">
        <v>22</v>
      </c>
      <c r="M552">
        <v>0.21</v>
      </c>
      <c r="N552">
        <v>0.86</v>
      </c>
      <c r="O552">
        <v>3149.61</v>
      </c>
      <c r="P552">
        <v>0</v>
      </c>
      <c r="Q552">
        <v>37</v>
      </c>
      <c r="R552">
        <v>7685.28</v>
      </c>
      <c r="S552">
        <v>14801.279999999999</v>
      </c>
      <c r="T552">
        <v>-3966.39</v>
      </c>
      <c r="U552">
        <v>0</v>
      </c>
      <c r="V552" s="2" t="s">
        <v>2059</v>
      </c>
      <c r="W552" s="2" t="s">
        <v>2057</v>
      </c>
      <c r="X552">
        <v>12808.8</v>
      </c>
      <c r="Y552">
        <v>-0.55739038785834738</v>
      </c>
      <c r="Z552" s="2" t="s">
        <v>2058</v>
      </c>
    </row>
    <row r="553" spans="1:26" x14ac:dyDescent="0.3">
      <c r="A553" s="2" t="s">
        <v>1148</v>
      </c>
      <c r="B553" s="1">
        <v>45243</v>
      </c>
      <c r="C553" s="2" t="s">
        <v>1149</v>
      </c>
      <c r="D553" s="2" t="s">
        <v>72</v>
      </c>
      <c r="E553">
        <v>16563</v>
      </c>
      <c r="F553">
        <v>5.8</v>
      </c>
      <c r="G553">
        <v>36</v>
      </c>
      <c r="H553" s="2" t="s">
        <v>26</v>
      </c>
      <c r="I553" s="2" t="s">
        <v>20</v>
      </c>
      <c r="J553" s="2" t="s">
        <v>28</v>
      </c>
      <c r="K553">
        <v>147797</v>
      </c>
      <c r="L553" s="2" t="s">
        <v>33</v>
      </c>
      <c r="M553">
        <v>0.18</v>
      </c>
      <c r="N553">
        <v>0.65</v>
      </c>
      <c r="O553">
        <v>6135.41</v>
      </c>
      <c r="P553">
        <v>0</v>
      </c>
      <c r="Q553">
        <v>28</v>
      </c>
      <c r="R553">
        <v>2881.962</v>
      </c>
      <c r="S553">
        <v>19444.962</v>
      </c>
      <c r="T553">
        <v>-10427.59</v>
      </c>
      <c r="U553">
        <v>0</v>
      </c>
      <c r="V553" s="2" t="s">
        <v>2059</v>
      </c>
      <c r="W553" s="2" t="s">
        <v>2057</v>
      </c>
      <c r="X553">
        <v>8005.4555</v>
      </c>
      <c r="Y553">
        <v>-0.6295713336955866</v>
      </c>
      <c r="Z553" s="2" t="s">
        <v>2061</v>
      </c>
    </row>
    <row r="554" spans="1:26" x14ac:dyDescent="0.3">
      <c r="A554" s="2" t="s">
        <v>1150</v>
      </c>
      <c r="B554" s="1">
        <v>45193</v>
      </c>
      <c r="C554" s="2" t="s">
        <v>1151</v>
      </c>
      <c r="D554" s="2" t="s">
        <v>40</v>
      </c>
      <c r="E554">
        <v>27788</v>
      </c>
      <c r="F554">
        <v>22.4</v>
      </c>
      <c r="G554">
        <v>36</v>
      </c>
      <c r="H554" s="2" t="s">
        <v>19</v>
      </c>
      <c r="I554" s="2" t="s">
        <v>84</v>
      </c>
      <c r="J554" s="2" t="s">
        <v>47</v>
      </c>
      <c r="K554">
        <v>47618</v>
      </c>
      <c r="L554" s="2" t="s">
        <v>22</v>
      </c>
      <c r="M554">
        <v>0.28999999999999998</v>
      </c>
      <c r="N554">
        <v>0.82</v>
      </c>
      <c r="O554">
        <v>34012.51</v>
      </c>
      <c r="P554">
        <v>0</v>
      </c>
      <c r="Q554">
        <v>29</v>
      </c>
      <c r="R554">
        <v>18673.536</v>
      </c>
      <c r="S554">
        <v>46461.536</v>
      </c>
      <c r="T554">
        <v>6224.510000000002</v>
      </c>
      <c r="U554">
        <v>0</v>
      </c>
      <c r="V554" s="2" t="s">
        <v>2056</v>
      </c>
      <c r="W554" s="2" t="s">
        <v>2062</v>
      </c>
      <c r="X554">
        <v>51870.933299999997</v>
      </c>
      <c r="Y554">
        <v>0.22399992802648633</v>
      </c>
      <c r="Z554" s="2" t="s">
        <v>2058</v>
      </c>
    </row>
    <row r="555" spans="1:26" x14ac:dyDescent="0.3">
      <c r="A555" s="2" t="s">
        <v>1152</v>
      </c>
      <c r="B555" s="1">
        <v>44873</v>
      </c>
      <c r="C555" s="2" t="s">
        <v>1153</v>
      </c>
      <c r="D555" s="2" t="s">
        <v>40</v>
      </c>
      <c r="E555">
        <v>27928</v>
      </c>
      <c r="F555">
        <v>10.1</v>
      </c>
      <c r="G555">
        <v>36</v>
      </c>
      <c r="H555" s="2" t="s">
        <v>26</v>
      </c>
      <c r="I555" s="2" t="s">
        <v>20</v>
      </c>
      <c r="J555" s="2" t="s">
        <v>32</v>
      </c>
      <c r="K555">
        <v>36587</v>
      </c>
      <c r="L555" s="2" t="s">
        <v>33</v>
      </c>
      <c r="M555">
        <v>0.1</v>
      </c>
      <c r="N555">
        <v>0.57999999999999996</v>
      </c>
      <c r="O555">
        <v>8685.1299999999992</v>
      </c>
      <c r="P555">
        <v>0</v>
      </c>
      <c r="Q555">
        <v>40</v>
      </c>
      <c r="R555">
        <v>8462.1839999999993</v>
      </c>
      <c r="S555">
        <v>36390.184000000001</v>
      </c>
      <c r="T555">
        <v>-19242.870000000003</v>
      </c>
      <c r="U555">
        <v>0</v>
      </c>
      <c r="V555" s="2" t="s">
        <v>2059</v>
      </c>
      <c r="W555" s="2" t="s">
        <v>2057</v>
      </c>
      <c r="X555">
        <v>23506.066699999999</v>
      </c>
      <c r="Y555">
        <v>-0.68901711543970223</v>
      </c>
      <c r="Z555" s="2" t="s">
        <v>2061</v>
      </c>
    </row>
    <row r="556" spans="1:26" x14ac:dyDescent="0.3">
      <c r="A556" s="2" t="s">
        <v>1154</v>
      </c>
      <c r="B556" s="1">
        <v>44910</v>
      </c>
      <c r="C556" s="2" t="s">
        <v>1155</v>
      </c>
      <c r="D556" s="2" t="s">
        <v>56</v>
      </c>
      <c r="E556">
        <v>37336</v>
      </c>
      <c r="F556">
        <v>18.3</v>
      </c>
      <c r="G556">
        <v>36</v>
      </c>
      <c r="H556" s="2" t="s">
        <v>19</v>
      </c>
      <c r="I556" s="2" t="s">
        <v>41</v>
      </c>
      <c r="J556" s="2" t="s">
        <v>37</v>
      </c>
      <c r="K556">
        <v>92790</v>
      </c>
      <c r="L556" s="2" t="s">
        <v>33</v>
      </c>
      <c r="M556">
        <v>0.11</v>
      </c>
      <c r="N556">
        <v>0.84</v>
      </c>
      <c r="O556">
        <v>44168.49</v>
      </c>
      <c r="P556">
        <v>0</v>
      </c>
      <c r="Q556">
        <v>39</v>
      </c>
      <c r="R556">
        <v>20497.464</v>
      </c>
      <c r="S556">
        <v>57833.464</v>
      </c>
      <c r="T556">
        <v>6832.489999999998</v>
      </c>
      <c r="U556">
        <v>0</v>
      </c>
      <c r="V556" s="2" t="s">
        <v>2056</v>
      </c>
      <c r="W556" s="2" t="s">
        <v>2062</v>
      </c>
      <c r="X556">
        <v>56937.4</v>
      </c>
      <c r="Y556">
        <v>0.18300005356760227</v>
      </c>
      <c r="Z556" s="2" t="s">
        <v>2058</v>
      </c>
    </row>
    <row r="557" spans="1:26" x14ac:dyDescent="0.3">
      <c r="A557" s="2" t="s">
        <v>1156</v>
      </c>
      <c r="B557" s="1">
        <v>44279</v>
      </c>
      <c r="C557" s="2" t="s">
        <v>1157</v>
      </c>
      <c r="D557" s="2" t="s">
        <v>65</v>
      </c>
      <c r="E557">
        <v>10847</v>
      </c>
      <c r="F557">
        <v>21</v>
      </c>
      <c r="G557">
        <v>36</v>
      </c>
      <c r="H557" s="2" t="s">
        <v>81</v>
      </c>
      <c r="I557" s="2" t="s">
        <v>73</v>
      </c>
      <c r="J557" s="2" t="s">
        <v>37</v>
      </c>
      <c r="K557">
        <v>61480</v>
      </c>
      <c r="L557" s="2" t="s">
        <v>33</v>
      </c>
      <c r="M557">
        <v>0.32</v>
      </c>
      <c r="N557">
        <v>0.61</v>
      </c>
      <c r="O557">
        <v>1374.33</v>
      </c>
      <c r="P557">
        <v>4848.7</v>
      </c>
      <c r="Q557">
        <v>59</v>
      </c>
      <c r="R557">
        <v>6833.61</v>
      </c>
      <c r="S557">
        <v>17680.61</v>
      </c>
      <c r="T557">
        <v>-4623.97</v>
      </c>
      <c r="U557">
        <v>1</v>
      </c>
      <c r="V557" s="2" t="s">
        <v>2063</v>
      </c>
      <c r="W557" s="2" t="s">
        <v>2064</v>
      </c>
      <c r="X557">
        <v>18982.25</v>
      </c>
      <c r="Y557">
        <v>-0.42629021849359272</v>
      </c>
      <c r="Z557" s="2" t="s">
        <v>2061</v>
      </c>
    </row>
    <row r="558" spans="1:26" x14ac:dyDescent="0.3">
      <c r="A558" s="2" t="s">
        <v>1158</v>
      </c>
      <c r="B558" s="1">
        <v>44653</v>
      </c>
      <c r="C558" s="2" t="s">
        <v>1159</v>
      </c>
      <c r="D558" s="2" t="s">
        <v>46</v>
      </c>
      <c r="E558">
        <v>27155</v>
      </c>
      <c r="F558">
        <v>18.3</v>
      </c>
      <c r="G558">
        <v>36</v>
      </c>
      <c r="H558" s="2" t="s">
        <v>26</v>
      </c>
      <c r="I558" s="2" t="s">
        <v>27</v>
      </c>
      <c r="J558" s="2" t="s">
        <v>32</v>
      </c>
      <c r="K558">
        <v>128530</v>
      </c>
      <c r="L558" s="2" t="s">
        <v>22</v>
      </c>
      <c r="M558">
        <v>0.31</v>
      </c>
      <c r="N558">
        <v>0.56000000000000005</v>
      </c>
      <c r="O558">
        <v>9838.16</v>
      </c>
      <c r="P558">
        <v>0</v>
      </c>
      <c r="Q558">
        <v>47</v>
      </c>
      <c r="R558">
        <v>14908.094999999999</v>
      </c>
      <c r="S558">
        <v>42063.095000000001</v>
      </c>
      <c r="T558">
        <v>-17316.84</v>
      </c>
      <c r="U558">
        <v>0</v>
      </c>
      <c r="V558" s="2" t="s">
        <v>2059</v>
      </c>
      <c r="W558" s="2" t="s">
        <v>2060</v>
      </c>
      <c r="X558">
        <v>41411.375</v>
      </c>
      <c r="Y558">
        <v>-0.63770355367335663</v>
      </c>
      <c r="Z558" s="2" t="s">
        <v>2061</v>
      </c>
    </row>
    <row r="559" spans="1:26" x14ac:dyDescent="0.3">
      <c r="A559" s="2" t="s">
        <v>1160</v>
      </c>
      <c r="B559" s="1">
        <v>44197</v>
      </c>
      <c r="C559" s="2" t="s">
        <v>1161</v>
      </c>
      <c r="D559" s="2" t="s">
        <v>40</v>
      </c>
      <c r="E559">
        <v>15135</v>
      </c>
      <c r="F559">
        <v>6.8</v>
      </c>
      <c r="G559">
        <v>60</v>
      </c>
      <c r="H559" s="2" t="s">
        <v>19</v>
      </c>
      <c r="I559" s="2" t="s">
        <v>20</v>
      </c>
      <c r="J559" s="2" t="s">
        <v>32</v>
      </c>
      <c r="K559">
        <v>50527</v>
      </c>
      <c r="L559" s="2" t="s">
        <v>22</v>
      </c>
      <c r="M559">
        <v>0.5</v>
      </c>
      <c r="N559">
        <v>0.57999999999999996</v>
      </c>
      <c r="O559">
        <v>16164.18</v>
      </c>
      <c r="P559">
        <v>0</v>
      </c>
      <c r="Q559">
        <v>62</v>
      </c>
      <c r="R559">
        <v>5145.9000000000005</v>
      </c>
      <c r="S559">
        <v>20280.900000000001</v>
      </c>
      <c r="T559">
        <v>1029.1800000000003</v>
      </c>
      <c r="U559">
        <v>0</v>
      </c>
      <c r="V559" s="2" t="s">
        <v>2056</v>
      </c>
      <c r="W559" s="2" t="s">
        <v>2057</v>
      </c>
      <c r="X559">
        <v>8576.5</v>
      </c>
      <c r="Y559">
        <v>6.8000000000000019E-2</v>
      </c>
      <c r="Z559" s="2" t="s">
        <v>2058</v>
      </c>
    </row>
    <row r="560" spans="1:26" x14ac:dyDescent="0.3">
      <c r="A560" s="2" t="s">
        <v>1162</v>
      </c>
      <c r="B560" s="1">
        <v>44247</v>
      </c>
      <c r="C560" s="2" t="s">
        <v>1163</v>
      </c>
      <c r="D560" s="2" t="s">
        <v>25</v>
      </c>
      <c r="E560">
        <v>18774</v>
      </c>
      <c r="F560">
        <v>16.899999999999999</v>
      </c>
      <c r="G560">
        <v>60</v>
      </c>
      <c r="H560" s="2" t="s">
        <v>26</v>
      </c>
      <c r="I560" s="2" t="s">
        <v>20</v>
      </c>
      <c r="J560" s="2" t="s">
        <v>28</v>
      </c>
      <c r="K560">
        <v>53569</v>
      </c>
      <c r="L560" s="2" t="s">
        <v>33</v>
      </c>
      <c r="M560">
        <v>0.18</v>
      </c>
      <c r="N560">
        <v>0.57999999999999996</v>
      </c>
      <c r="O560">
        <v>2344.62</v>
      </c>
      <c r="P560">
        <v>0</v>
      </c>
      <c r="Q560">
        <v>60</v>
      </c>
      <c r="R560">
        <v>15864.029999999999</v>
      </c>
      <c r="S560">
        <v>34638.03</v>
      </c>
      <c r="T560">
        <v>-16429.38</v>
      </c>
      <c r="U560">
        <v>0</v>
      </c>
      <c r="V560" s="2" t="s">
        <v>2059</v>
      </c>
      <c r="W560" s="2" t="s">
        <v>2057</v>
      </c>
      <c r="X560">
        <v>26440.05</v>
      </c>
      <c r="Y560">
        <v>-0.87511345477788438</v>
      </c>
      <c r="Z560" s="2" t="s">
        <v>2061</v>
      </c>
    </row>
    <row r="561" spans="1:26" x14ac:dyDescent="0.3">
      <c r="A561" s="2" t="s">
        <v>1164</v>
      </c>
      <c r="B561" s="1">
        <v>44881</v>
      </c>
      <c r="C561" s="2" t="s">
        <v>1165</v>
      </c>
      <c r="D561" s="2" t="s">
        <v>40</v>
      </c>
      <c r="E561">
        <v>2742</v>
      </c>
      <c r="F561">
        <v>16</v>
      </c>
      <c r="G561">
        <v>36</v>
      </c>
      <c r="H561" s="2" t="s">
        <v>19</v>
      </c>
      <c r="I561" s="2" t="s">
        <v>27</v>
      </c>
      <c r="J561" s="2" t="s">
        <v>21</v>
      </c>
      <c r="K561">
        <v>41151</v>
      </c>
      <c r="L561" s="2" t="s">
        <v>29</v>
      </c>
      <c r="M561">
        <v>0.2</v>
      </c>
      <c r="N561">
        <v>0.73</v>
      </c>
      <c r="O561">
        <v>3180.72</v>
      </c>
      <c r="P561">
        <v>0</v>
      </c>
      <c r="Q561">
        <v>40</v>
      </c>
      <c r="R561">
        <v>1316.16</v>
      </c>
      <c r="S561">
        <v>4058.16</v>
      </c>
      <c r="T561">
        <v>438.7199999999998</v>
      </c>
      <c r="U561">
        <v>0</v>
      </c>
      <c r="V561" s="2" t="s">
        <v>2056</v>
      </c>
      <c r="W561" s="2" t="s">
        <v>2060</v>
      </c>
      <c r="X561">
        <v>3656</v>
      </c>
      <c r="Y561">
        <v>0.15999999999999992</v>
      </c>
      <c r="Z561" s="2" t="s">
        <v>2061</v>
      </c>
    </row>
    <row r="562" spans="1:26" x14ac:dyDescent="0.3">
      <c r="A562" s="2" t="s">
        <v>1166</v>
      </c>
      <c r="B562" s="1">
        <v>44913</v>
      </c>
      <c r="C562" s="2" t="s">
        <v>1167</v>
      </c>
      <c r="D562" s="2" t="s">
        <v>56</v>
      </c>
      <c r="E562">
        <v>19309</v>
      </c>
      <c r="F562">
        <v>23</v>
      </c>
      <c r="G562">
        <v>36</v>
      </c>
      <c r="H562" s="2" t="s">
        <v>19</v>
      </c>
      <c r="I562" s="2" t="s">
        <v>36</v>
      </c>
      <c r="J562" s="2" t="s">
        <v>47</v>
      </c>
      <c r="K562">
        <v>101094</v>
      </c>
      <c r="L562" s="2" t="s">
        <v>29</v>
      </c>
      <c r="M562">
        <v>0.15</v>
      </c>
      <c r="N562">
        <v>0.88</v>
      </c>
      <c r="O562">
        <v>23750.07</v>
      </c>
      <c r="P562">
        <v>0</v>
      </c>
      <c r="Q562">
        <v>39</v>
      </c>
      <c r="R562">
        <v>13323.21</v>
      </c>
      <c r="S562">
        <v>32632.21</v>
      </c>
      <c r="T562">
        <v>4441.07</v>
      </c>
      <c r="U562">
        <v>0</v>
      </c>
      <c r="V562" s="2" t="s">
        <v>2056</v>
      </c>
      <c r="W562" s="2" t="s">
        <v>2062</v>
      </c>
      <c r="X562">
        <v>37008.916700000002</v>
      </c>
      <c r="Y562">
        <v>0.22999999999999998</v>
      </c>
      <c r="Z562" s="2" t="s">
        <v>2058</v>
      </c>
    </row>
    <row r="563" spans="1:26" x14ac:dyDescent="0.3">
      <c r="A563" s="2" t="s">
        <v>1168</v>
      </c>
      <c r="B563" s="1">
        <v>44645</v>
      </c>
      <c r="C563" s="2" t="s">
        <v>1169</v>
      </c>
      <c r="D563" s="2" t="s">
        <v>50</v>
      </c>
      <c r="E563">
        <v>1619</v>
      </c>
      <c r="F563">
        <v>13.1</v>
      </c>
      <c r="G563">
        <v>60</v>
      </c>
      <c r="H563" s="2" t="s">
        <v>60</v>
      </c>
      <c r="I563" s="2" t="s">
        <v>41</v>
      </c>
      <c r="J563" s="2" t="s">
        <v>47</v>
      </c>
      <c r="K563">
        <v>89174</v>
      </c>
      <c r="L563" s="2" t="s">
        <v>29</v>
      </c>
      <c r="M563">
        <v>0.47</v>
      </c>
      <c r="N563">
        <v>0.54</v>
      </c>
      <c r="O563">
        <v>0</v>
      </c>
      <c r="P563">
        <v>0</v>
      </c>
      <c r="Q563">
        <v>47</v>
      </c>
      <c r="R563">
        <v>1060.4449999999999</v>
      </c>
      <c r="S563">
        <v>2679.4449999999997</v>
      </c>
      <c r="T563">
        <v>-1619</v>
      </c>
      <c r="U563">
        <v>0</v>
      </c>
      <c r="V563" s="2" t="s">
        <v>2063</v>
      </c>
      <c r="W563" s="2" t="s">
        <v>2062</v>
      </c>
      <c r="X563">
        <v>1767.4083000000001</v>
      </c>
      <c r="Y563">
        <v>-1</v>
      </c>
      <c r="Z563" s="2" t="s">
        <v>2058</v>
      </c>
    </row>
    <row r="564" spans="1:26" x14ac:dyDescent="0.3">
      <c r="A564" s="2" t="s">
        <v>1170</v>
      </c>
      <c r="B564" s="1">
        <v>45077</v>
      </c>
      <c r="C564" s="2" t="s">
        <v>1171</v>
      </c>
      <c r="D564" s="2" t="s">
        <v>76</v>
      </c>
      <c r="E564">
        <v>18658</v>
      </c>
      <c r="F564">
        <v>11.4</v>
      </c>
      <c r="G564">
        <v>60</v>
      </c>
      <c r="H564" s="2" t="s">
        <v>26</v>
      </c>
      <c r="I564" s="2" t="s">
        <v>20</v>
      </c>
      <c r="J564" s="2" t="s">
        <v>37</v>
      </c>
      <c r="K564">
        <v>74739</v>
      </c>
      <c r="L564" s="2" t="s">
        <v>33</v>
      </c>
      <c r="M564">
        <v>0.41</v>
      </c>
      <c r="N564">
        <v>0.82</v>
      </c>
      <c r="O564">
        <v>7535.32</v>
      </c>
      <c r="P564">
        <v>0</v>
      </c>
      <c r="Q564">
        <v>33</v>
      </c>
      <c r="R564">
        <v>10635.060000000001</v>
      </c>
      <c r="S564">
        <v>29293.06</v>
      </c>
      <c r="T564">
        <v>-11122.68</v>
      </c>
      <c r="U564">
        <v>0</v>
      </c>
      <c r="V564" s="2" t="s">
        <v>2059</v>
      </c>
      <c r="W564" s="2" t="s">
        <v>2057</v>
      </c>
      <c r="X564">
        <v>17725.099999999999</v>
      </c>
      <c r="Y564">
        <v>-0.59613463393718513</v>
      </c>
      <c r="Z564" s="2" t="s">
        <v>2058</v>
      </c>
    </row>
    <row r="565" spans="1:26" x14ac:dyDescent="0.3">
      <c r="A565" s="2" t="s">
        <v>1172</v>
      </c>
      <c r="B565" s="1">
        <v>44684</v>
      </c>
      <c r="C565" s="2" t="s">
        <v>1173</v>
      </c>
      <c r="D565" s="2" t="s">
        <v>76</v>
      </c>
      <c r="E565">
        <v>35707</v>
      </c>
      <c r="F565">
        <v>20</v>
      </c>
      <c r="G565">
        <v>60</v>
      </c>
      <c r="H565" s="2" t="s">
        <v>19</v>
      </c>
      <c r="I565" s="2" t="s">
        <v>20</v>
      </c>
      <c r="J565" s="2" t="s">
        <v>37</v>
      </c>
      <c r="K565">
        <v>62954</v>
      </c>
      <c r="L565" s="2" t="s">
        <v>22</v>
      </c>
      <c r="M565">
        <v>0.43</v>
      </c>
      <c r="N565">
        <v>0.79</v>
      </c>
      <c r="O565">
        <v>42848.4</v>
      </c>
      <c r="P565">
        <v>0</v>
      </c>
      <c r="Q565">
        <v>46</v>
      </c>
      <c r="R565">
        <v>35707</v>
      </c>
      <c r="S565">
        <v>71414</v>
      </c>
      <c r="T565">
        <v>7141.4000000000015</v>
      </c>
      <c r="U565">
        <v>0</v>
      </c>
      <c r="V565" s="2" t="s">
        <v>2056</v>
      </c>
      <c r="W565" s="2" t="s">
        <v>2057</v>
      </c>
      <c r="X565">
        <v>59511.666700000002</v>
      </c>
      <c r="Y565">
        <v>0.20000000000000004</v>
      </c>
      <c r="Z565" s="2" t="s">
        <v>2058</v>
      </c>
    </row>
    <row r="566" spans="1:26" x14ac:dyDescent="0.3">
      <c r="A566" s="2" t="s">
        <v>1174</v>
      </c>
      <c r="B566" s="1">
        <v>44230</v>
      </c>
      <c r="C566" s="2" t="s">
        <v>1175</v>
      </c>
      <c r="D566" s="2" t="s">
        <v>25</v>
      </c>
      <c r="E566">
        <v>21337</v>
      </c>
      <c r="F566">
        <v>13.3</v>
      </c>
      <c r="G566">
        <v>36</v>
      </c>
      <c r="H566" s="2" t="s">
        <v>19</v>
      </c>
      <c r="I566" s="2" t="s">
        <v>20</v>
      </c>
      <c r="J566" s="2" t="s">
        <v>28</v>
      </c>
      <c r="K566">
        <v>142984</v>
      </c>
      <c r="L566" s="2" t="s">
        <v>33</v>
      </c>
      <c r="M566">
        <v>0.46</v>
      </c>
      <c r="N566">
        <v>0.89</v>
      </c>
      <c r="O566">
        <v>24174.82</v>
      </c>
      <c r="P566">
        <v>0</v>
      </c>
      <c r="Q566">
        <v>61</v>
      </c>
      <c r="R566">
        <v>8513.4630000000016</v>
      </c>
      <c r="S566">
        <v>29850.463000000003</v>
      </c>
      <c r="T566">
        <v>2837.8199999999997</v>
      </c>
      <c r="U566">
        <v>0</v>
      </c>
      <c r="V566" s="2" t="s">
        <v>2056</v>
      </c>
      <c r="W566" s="2" t="s">
        <v>2057</v>
      </c>
      <c r="X566">
        <v>23648.508300000001</v>
      </c>
      <c r="Y566">
        <v>0.13299995313305524</v>
      </c>
      <c r="Z566" s="2" t="s">
        <v>2058</v>
      </c>
    </row>
    <row r="567" spans="1:26" x14ac:dyDescent="0.3">
      <c r="A567" s="2" t="s">
        <v>1176</v>
      </c>
      <c r="B567" s="1">
        <v>44291</v>
      </c>
      <c r="C567" s="2" t="s">
        <v>1177</v>
      </c>
      <c r="D567" s="2" t="s">
        <v>25</v>
      </c>
      <c r="E567">
        <v>17001</v>
      </c>
      <c r="F567">
        <v>17.899999999999999</v>
      </c>
      <c r="G567">
        <v>60</v>
      </c>
      <c r="H567" s="2" t="s">
        <v>19</v>
      </c>
      <c r="I567" s="2" t="s">
        <v>84</v>
      </c>
      <c r="J567" s="2" t="s">
        <v>32</v>
      </c>
      <c r="K567">
        <v>142863</v>
      </c>
      <c r="L567" s="2" t="s">
        <v>29</v>
      </c>
      <c r="M567">
        <v>0.31</v>
      </c>
      <c r="N567">
        <v>0.61</v>
      </c>
      <c r="O567">
        <v>20044.18</v>
      </c>
      <c r="P567">
        <v>0</v>
      </c>
      <c r="Q567">
        <v>59</v>
      </c>
      <c r="R567">
        <v>15215.894999999999</v>
      </c>
      <c r="S567">
        <v>32216.894999999997</v>
      </c>
      <c r="T567">
        <v>3043.1800000000003</v>
      </c>
      <c r="U567">
        <v>0</v>
      </c>
      <c r="V567" s="2" t="s">
        <v>2056</v>
      </c>
      <c r="W567" s="2" t="s">
        <v>2062</v>
      </c>
      <c r="X567">
        <v>25359.825000000001</v>
      </c>
      <c r="Y567">
        <v>0.17900005882006942</v>
      </c>
      <c r="Z567" s="2" t="s">
        <v>2061</v>
      </c>
    </row>
    <row r="568" spans="1:26" x14ac:dyDescent="0.3">
      <c r="A568" s="2" t="s">
        <v>1178</v>
      </c>
      <c r="B568" s="1">
        <v>44350</v>
      </c>
      <c r="C568" s="2" t="s">
        <v>1179</v>
      </c>
      <c r="D568" s="2" t="s">
        <v>53</v>
      </c>
      <c r="E568">
        <v>1968</v>
      </c>
      <c r="F568">
        <v>17.899999999999999</v>
      </c>
      <c r="G568">
        <v>36</v>
      </c>
      <c r="H568" s="2" t="s">
        <v>60</v>
      </c>
      <c r="I568" s="2" t="s">
        <v>57</v>
      </c>
      <c r="J568" s="2" t="s">
        <v>47</v>
      </c>
      <c r="K568">
        <v>139373</v>
      </c>
      <c r="L568" s="2" t="s">
        <v>22</v>
      </c>
      <c r="M568">
        <v>0.28000000000000003</v>
      </c>
      <c r="N568">
        <v>0.7</v>
      </c>
      <c r="O568">
        <v>0</v>
      </c>
      <c r="P568">
        <v>0</v>
      </c>
      <c r="Q568">
        <v>57</v>
      </c>
      <c r="R568">
        <v>1056.816</v>
      </c>
      <c r="S568">
        <v>3024.8159999999998</v>
      </c>
      <c r="T568">
        <v>-1968</v>
      </c>
      <c r="U568">
        <v>0</v>
      </c>
      <c r="V568" s="2" t="s">
        <v>2063</v>
      </c>
      <c r="W568" s="2" t="s">
        <v>2057</v>
      </c>
      <c r="X568">
        <v>2935.6</v>
      </c>
      <c r="Y568">
        <v>-1</v>
      </c>
      <c r="Z568" s="2" t="s">
        <v>2061</v>
      </c>
    </row>
    <row r="569" spans="1:26" x14ac:dyDescent="0.3">
      <c r="A569" s="2" t="s">
        <v>1180</v>
      </c>
      <c r="B569" s="1">
        <v>44446</v>
      </c>
      <c r="C569" s="2" t="s">
        <v>1181</v>
      </c>
      <c r="D569" s="2" t="s">
        <v>76</v>
      </c>
      <c r="E569">
        <v>26892</v>
      </c>
      <c r="F569">
        <v>22.8</v>
      </c>
      <c r="G569">
        <v>36</v>
      </c>
      <c r="H569" s="2" t="s">
        <v>19</v>
      </c>
      <c r="I569" s="2" t="s">
        <v>20</v>
      </c>
      <c r="J569" s="2" t="s">
        <v>28</v>
      </c>
      <c r="K569">
        <v>65303</v>
      </c>
      <c r="L569" s="2" t="s">
        <v>33</v>
      </c>
      <c r="M569">
        <v>0.23</v>
      </c>
      <c r="N569">
        <v>0.92</v>
      </c>
      <c r="O569">
        <v>33023.379999999997</v>
      </c>
      <c r="P569">
        <v>0</v>
      </c>
      <c r="Q569">
        <v>54</v>
      </c>
      <c r="R569">
        <v>18394.128000000001</v>
      </c>
      <c r="S569">
        <v>45286.127999999997</v>
      </c>
      <c r="T569">
        <v>6131.3799999999974</v>
      </c>
      <c r="U569">
        <v>0</v>
      </c>
      <c r="V569" s="2" t="s">
        <v>2056</v>
      </c>
      <c r="W569" s="2" t="s">
        <v>2057</v>
      </c>
      <c r="X569">
        <v>51094.8</v>
      </c>
      <c r="Y569">
        <v>0.22800014874312052</v>
      </c>
      <c r="Z569" s="2" t="s">
        <v>2058</v>
      </c>
    </row>
    <row r="570" spans="1:26" x14ac:dyDescent="0.3">
      <c r="A570" s="2" t="s">
        <v>1182</v>
      </c>
      <c r="B570" s="1">
        <v>44870</v>
      </c>
      <c r="C570" s="2" t="s">
        <v>1183</v>
      </c>
      <c r="D570" s="2" t="s">
        <v>50</v>
      </c>
      <c r="E570">
        <v>26619</v>
      </c>
      <c r="F570">
        <v>17</v>
      </c>
      <c r="G570">
        <v>60</v>
      </c>
      <c r="H570" s="2" t="s">
        <v>19</v>
      </c>
      <c r="I570" s="2" t="s">
        <v>20</v>
      </c>
      <c r="J570" s="2" t="s">
        <v>37</v>
      </c>
      <c r="K570">
        <v>64700</v>
      </c>
      <c r="L570" s="2" t="s">
        <v>33</v>
      </c>
      <c r="M570">
        <v>0.34</v>
      </c>
      <c r="N570">
        <v>0.8</v>
      </c>
      <c r="O570">
        <v>31144.23</v>
      </c>
      <c r="P570">
        <v>0</v>
      </c>
      <c r="Q570">
        <v>40</v>
      </c>
      <c r="R570">
        <v>22626.149999999998</v>
      </c>
      <c r="S570">
        <v>49245.149999999994</v>
      </c>
      <c r="T570">
        <v>4525.2299999999996</v>
      </c>
      <c r="U570">
        <v>0</v>
      </c>
      <c r="V570" s="2" t="s">
        <v>2056</v>
      </c>
      <c r="W570" s="2" t="s">
        <v>2057</v>
      </c>
      <c r="X570">
        <v>37710.25</v>
      </c>
      <c r="Y570">
        <v>0.16999999999999998</v>
      </c>
      <c r="Z570" s="2" t="s">
        <v>2061</v>
      </c>
    </row>
    <row r="571" spans="1:26" x14ac:dyDescent="0.3">
      <c r="A571" s="2" t="s">
        <v>1184</v>
      </c>
      <c r="B571" s="1">
        <v>44634</v>
      </c>
      <c r="C571" s="2" t="s">
        <v>1185</v>
      </c>
      <c r="D571" s="2" t="s">
        <v>76</v>
      </c>
      <c r="E571">
        <v>1281</v>
      </c>
      <c r="F571">
        <v>15</v>
      </c>
      <c r="G571">
        <v>60</v>
      </c>
      <c r="H571" s="2" t="s">
        <v>19</v>
      </c>
      <c r="I571" s="2" t="s">
        <v>57</v>
      </c>
      <c r="J571" s="2" t="s">
        <v>37</v>
      </c>
      <c r="K571">
        <v>123036</v>
      </c>
      <c r="L571" s="2" t="s">
        <v>29</v>
      </c>
      <c r="M571">
        <v>0.28000000000000003</v>
      </c>
      <c r="N571">
        <v>0.67</v>
      </c>
      <c r="O571">
        <v>1473.15</v>
      </c>
      <c r="P571">
        <v>0</v>
      </c>
      <c r="Q571">
        <v>48</v>
      </c>
      <c r="R571">
        <v>960.75</v>
      </c>
      <c r="S571">
        <v>2241.75</v>
      </c>
      <c r="T571">
        <v>192.15000000000009</v>
      </c>
      <c r="U571">
        <v>0</v>
      </c>
      <c r="V571" s="2" t="s">
        <v>2056</v>
      </c>
      <c r="W571" s="2" t="s">
        <v>2057</v>
      </c>
      <c r="X571">
        <v>1601.25</v>
      </c>
      <c r="Y571">
        <v>0.15000000000000008</v>
      </c>
      <c r="Z571" s="2" t="s">
        <v>2061</v>
      </c>
    </row>
    <row r="572" spans="1:26" x14ac:dyDescent="0.3">
      <c r="A572" s="2" t="s">
        <v>1186</v>
      </c>
      <c r="B572" s="1">
        <v>44314</v>
      </c>
      <c r="C572" s="2" t="s">
        <v>1187</v>
      </c>
      <c r="D572" s="2" t="s">
        <v>65</v>
      </c>
      <c r="E572">
        <v>28420</v>
      </c>
      <c r="F572">
        <v>7.8</v>
      </c>
      <c r="G572">
        <v>36</v>
      </c>
      <c r="H572" s="2" t="s">
        <v>19</v>
      </c>
      <c r="I572" s="2" t="s">
        <v>41</v>
      </c>
      <c r="J572" s="2" t="s">
        <v>47</v>
      </c>
      <c r="K572">
        <v>97568</v>
      </c>
      <c r="L572" s="2" t="s">
        <v>33</v>
      </c>
      <c r="M572">
        <v>0.28000000000000003</v>
      </c>
      <c r="N572">
        <v>0.56000000000000005</v>
      </c>
      <c r="O572">
        <v>30636.76</v>
      </c>
      <c r="P572">
        <v>0</v>
      </c>
      <c r="Q572">
        <v>58</v>
      </c>
      <c r="R572">
        <v>6650.2800000000016</v>
      </c>
      <c r="S572">
        <v>35070.28</v>
      </c>
      <c r="T572">
        <v>2216.7599999999984</v>
      </c>
      <c r="U572">
        <v>0</v>
      </c>
      <c r="V572" s="2" t="s">
        <v>2056</v>
      </c>
      <c r="W572" s="2" t="s">
        <v>2062</v>
      </c>
      <c r="X572">
        <v>18473.0003</v>
      </c>
      <c r="Y572">
        <v>7.7999999999999944E-2</v>
      </c>
      <c r="Z572" s="2" t="s">
        <v>2061</v>
      </c>
    </row>
    <row r="573" spans="1:26" x14ac:dyDescent="0.3">
      <c r="A573" s="2" t="s">
        <v>1188</v>
      </c>
      <c r="B573" s="1">
        <v>44967</v>
      </c>
      <c r="C573" s="2" t="s">
        <v>1189</v>
      </c>
      <c r="D573" s="2" t="s">
        <v>46</v>
      </c>
      <c r="E573">
        <v>16360</v>
      </c>
      <c r="F573">
        <v>7.3</v>
      </c>
      <c r="G573">
        <v>60</v>
      </c>
      <c r="H573" s="2" t="s">
        <v>19</v>
      </c>
      <c r="I573" s="2" t="s">
        <v>73</v>
      </c>
      <c r="J573" s="2" t="s">
        <v>37</v>
      </c>
      <c r="K573">
        <v>96788</v>
      </c>
      <c r="L573" s="2" t="s">
        <v>22</v>
      </c>
      <c r="M573">
        <v>0.47</v>
      </c>
      <c r="N573">
        <v>0.62</v>
      </c>
      <c r="O573">
        <v>17554.28</v>
      </c>
      <c r="P573">
        <v>0</v>
      </c>
      <c r="Q573">
        <v>37</v>
      </c>
      <c r="R573">
        <v>5971.4000000000005</v>
      </c>
      <c r="S573">
        <v>22331.4</v>
      </c>
      <c r="T573">
        <v>1194.2799999999988</v>
      </c>
      <c r="U573">
        <v>0</v>
      </c>
      <c r="V573" s="2" t="s">
        <v>2056</v>
      </c>
      <c r="W573" s="2" t="s">
        <v>2064</v>
      </c>
      <c r="X573">
        <v>9952.3333000000002</v>
      </c>
      <c r="Y573">
        <v>7.2999999999999926E-2</v>
      </c>
      <c r="Z573" s="2" t="s">
        <v>2058</v>
      </c>
    </row>
    <row r="574" spans="1:26" x14ac:dyDescent="0.3">
      <c r="A574" s="2" t="s">
        <v>1190</v>
      </c>
      <c r="B574" s="1">
        <v>44464</v>
      </c>
      <c r="C574" s="2" t="s">
        <v>1191</v>
      </c>
      <c r="D574" s="2" t="s">
        <v>76</v>
      </c>
      <c r="E574">
        <v>2058</v>
      </c>
      <c r="F574">
        <v>8.1</v>
      </c>
      <c r="G574">
        <v>60</v>
      </c>
      <c r="H574" s="2" t="s">
        <v>19</v>
      </c>
      <c r="I574" s="2" t="s">
        <v>20</v>
      </c>
      <c r="J574" s="2" t="s">
        <v>37</v>
      </c>
      <c r="K574">
        <v>101045</v>
      </c>
      <c r="L574" s="2" t="s">
        <v>29</v>
      </c>
      <c r="M574">
        <v>0.49</v>
      </c>
      <c r="N574">
        <v>0.76</v>
      </c>
      <c r="O574">
        <v>2224.6999999999998</v>
      </c>
      <c r="P574">
        <v>0</v>
      </c>
      <c r="Q574">
        <v>53</v>
      </c>
      <c r="R574">
        <v>833.4899999999999</v>
      </c>
      <c r="S574">
        <v>2891.49</v>
      </c>
      <c r="T574">
        <v>166.69999999999982</v>
      </c>
      <c r="U574">
        <v>0</v>
      </c>
      <c r="V574" s="2" t="s">
        <v>2056</v>
      </c>
      <c r="W574" s="2" t="s">
        <v>2057</v>
      </c>
      <c r="X574">
        <v>1389.15</v>
      </c>
      <c r="Y574">
        <v>8.1000971817298262E-2</v>
      </c>
      <c r="Z574" s="2" t="s">
        <v>2058</v>
      </c>
    </row>
    <row r="575" spans="1:26" x14ac:dyDescent="0.3">
      <c r="A575" s="2" t="s">
        <v>1192</v>
      </c>
      <c r="B575" s="1">
        <v>45274</v>
      </c>
      <c r="C575" s="2" t="s">
        <v>1193</v>
      </c>
      <c r="D575" s="2" t="s">
        <v>18</v>
      </c>
      <c r="E575">
        <v>21677</v>
      </c>
      <c r="F575">
        <v>8.4</v>
      </c>
      <c r="G575">
        <v>36</v>
      </c>
      <c r="H575" s="2" t="s">
        <v>19</v>
      </c>
      <c r="I575" s="2" t="s">
        <v>57</v>
      </c>
      <c r="J575" s="2" t="s">
        <v>21</v>
      </c>
      <c r="K575">
        <v>67842</v>
      </c>
      <c r="L575" s="2" t="s">
        <v>29</v>
      </c>
      <c r="M575">
        <v>0.42</v>
      </c>
      <c r="N575">
        <v>0.82</v>
      </c>
      <c r="O575">
        <v>23497.87</v>
      </c>
      <c r="P575">
        <v>0</v>
      </c>
      <c r="Q575">
        <v>27</v>
      </c>
      <c r="R575">
        <v>5462.6040000000003</v>
      </c>
      <c r="S575">
        <v>27139.603999999999</v>
      </c>
      <c r="T575">
        <v>1820.869999999999</v>
      </c>
      <c r="U575">
        <v>0</v>
      </c>
      <c r="V575" s="2" t="s">
        <v>2056</v>
      </c>
      <c r="W575" s="2" t="s">
        <v>2057</v>
      </c>
      <c r="X575">
        <v>15173.900100000001</v>
      </c>
      <c r="Y575">
        <v>8.4000092263689582E-2</v>
      </c>
      <c r="Z575" s="2" t="s">
        <v>2058</v>
      </c>
    </row>
    <row r="576" spans="1:26" x14ac:dyDescent="0.3">
      <c r="A576" s="2" t="s">
        <v>1194</v>
      </c>
      <c r="B576" s="1">
        <v>44432</v>
      </c>
      <c r="C576" s="2" t="s">
        <v>1195</v>
      </c>
      <c r="D576" s="2" t="s">
        <v>53</v>
      </c>
      <c r="E576">
        <v>11724</v>
      </c>
      <c r="F576">
        <v>17.8</v>
      </c>
      <c r="G576">
        <v>60</v>
      </c>
      <c r="H576" s="2" t="s">
        <v>19</v>
      </c>
      <c r="I576" s="2" t="s">
        <v>57</v>
      </c>
      <c r="J576" s="2" t="s">
        <v>32</v>
      </c>
      <c r="K576">
        <v>43900</v>
      </c>
      <c r="L576" s="2" t="s">
        <v>22</v>
      </c>
      <c r="M576">
        <v>0.4</v>
      </c>
      <c r="N576">
        <v>0.56000000000000005</v>
      </c>
      <c r="O576">
        <v>13810.87</v>
      </c>
      <c r="P576">
        <v>0</v>
      </c>
      <c r="Q576">
        <v>54</v>
      </c>
      <c r="R576">
        <v>10434.360000000002</v>
      </c>
      <c r="S576">
        <v>22158.36</v>
      </c>
      <c r="T576">
        <v>2086.8700000000008</v>
      </c>
      <c r="U576">
        <v>0</v>
      </c>
      <c r="V576" s="2" t="s">
        <v>2056</v>
      </c>
      <c r="W576" s="2" t="s">
        <v>2057</v>
      </c>
      <c r="X576">
        <v>17390.599999999999</v>
      </c>
      <c r="Y576">
        <v>0.17799982940975784</v>
      </c>
      <c r="Z576" s="2" t="s">
        <v>2061</v>
      </c>
    </row>
    <row r="577" spans="1:26" x14ac:dyDescent="0.3">
      <c r="A577" s="2" t="s">
        <v>1196</v>
      </c>
      <c r="B577" s="1">
        <v>44585</v>
      </c>
      <c r="C577" s="2" t="s">
        <v>1197</v>
      </c>
      <c r="D577" s="2" t="s">
        <v>56</v>
      </c>
      <c r="E577">
        <v>29404</v>
      </c>
      <c r="F577">
        <v>19.8</v>
      </c>
      <c r="G577">
        <v>36</v>
      </c>
      <c r="H577" s="2" t="s">
        <v>81</v>
      </c>
      <c r="I577" s="2" t="s">
        <v>20</v>
      </c>
      <c r="J577" s="2" t="s">
        <v>37</v>
      </c>
      <c r="K577">
        <v>110059</v>
      </c>
      <c r="L577" s="2" t="s">
        <v>29</v>
      </c>
      <c r="M577">
        <v>0.37</v>
      </c>
      <c r="N577">
        <v>0.77</v>
      </c>
      <c r="O577">
        <v>5146.2</v>
      </c>
      <c r="P577">
        <v>7396.67</v>
      </c>
      <c r="Q577">
        <v>49</v>
      </c>
      <c r="R577">
        <v>17465.976000000002</v>
      </c>
      <c r="S577">
        <v>46869.976000000002</v>
      </c>
      <c r="T577">
        <v>-16861.13</v>
      </c>
      <c r="U577">
        <v>1</v>
      </c>
      <c r="V577" s="2" t="s">
        <v>2063</v>
      </c>
      <c r="W577" s="2" t="s">
        <v>2057</v>
      </c>
      <c r="X577">
        <v>48516.6</v>
      </c>
      <c r="Y577">
        <v>-0.57342980546864375</v>
      </c>
      <c r="Z577" s="2" t="s">
        <v>2061</v>
      </c>
    </row>
    <row r="578" spans="1:26" x14ac:dyDescent="0.3">
      <c r="A578" s="2" t="s">
        <v>1198</v>
      </c>
      <c r="B578" s="1">
        <v>45186</v>
      </c>
      <c r="C578" s="2" t="s">
        <v>1199</v>
      </c>
      <c r="D578" s="2" t="s">
        <v>25</v>
      </c>
      <c r="E578">
        <v>38946</v>
      </c>
      <c r="F578">
        <v>15.6</v>
      </c>
      <c r="G578">
        <v>36</v>
      </c>
      <c r="H578" s="2" t="s">
        <v>19</v>
      </c>
      <c r="I578" s="2" t="s">
        <v>20</v>
      </c>
      <c r="J578" s="2" t="s">
        <v>21</v>
      </c>
      <c r="K578">
        <v>31881</v>
      </c>
      <c r="L578" s="2" t="s">
        <v>33</v>
      </c>
      <c r="M578">
        <v>0.17</v>
      </c>
      <c r="N578">
        <v>0.75</v>
      </c>
      <c r="O578">
        <v>45021.58</v>
      </c>
      <c r="P578">
        <v>0</v>
      </c>
      <c r="Q578">
        <v>30</v>
      </c>
      <c r="R578">
        <v>18226.727999999999</v>
      </c>
      <c r="S578">
        <v>57172.728000000003</v>
      </c>
      <c r="T578">
        <v>6075.5800000000017</v>
      </c>
      <c r="U578">
        <v>0</v>
      </c>
      <c r="V578" s="2" t="s">
        <v>2056</v>
      </c>
      <c r="W578" s="2" t="s">
        <v>2057</v>
      </c>
      <c r="X578">
        <v>50629.8</v>
      </c>
      <c r="Y578">
        <v>0.15600010270631134</v>
      </c>
      <c r="Z578" s="2" t="s">
        <v>2061</v>
      </c>
    </row>
    <row r="579" spans="1:26" x14ac:dyDescent="0.3">
      <c r="A579" s="2" t="s">
        <v>1200</v>
      </c>
      <c r="B579" s="1">
        <v>44959</v>
      </c>
      <c r="C579" s="2" t="s">
        <v>1201</v>
      </c>
      <c r="D579" s="2" t="s">
        <v>65</v>
      </c>
      <c r="E579">
        <v>30856</v>
      </c>
      <c r="F579">
        <v>21.6</v>
      </c>
      <c r="G579">
        <v>60</v>
      </c>
      <c r="H579" s="2" t="s">
        <v>26</v>
      </c>
      <c r="I579" s="2" t="s">
        <v>27</v>
      </c>
      <c r="J579" s="2" t="s">
        <v>28</v>
      </c>
      <c r="K579">
        <v>63037</v>
      </c>
      <c r="L579" s="2" t="s">
        <v>33</v>
      </c>
      <c r="M579">
        <v>0.12</v>
      </c>
      <c r="N579">
        <v>0.73</v>
      </c>
      <c r="O579">
        <v>7333.61</v>
      </c>
      <c r="P579">
        <v>0</v>
      </c>
      <c r="Q579">
        <v>37</v>
      </c>
      <c r="R579">
        <v>33324.480000000003</v>
      </c>
      <c r="S579">
        <v>64180.480000000003</v>
      </c>
      <c r="T579">
        <v>-23522.39</v>
      </c>
      <c r="U579">
        <v>0</v>
      </c>
      <c r="V579" s="2" t="s">
        <v>2059</v>
      </c>
      <c r="W579" s="2" t="s">
        <v>2060</v>
      </c>
      <c r="X579">
        <v>55540.800000000003</v>
      </c>
      <c r="Y579">
        <v>-0.76232791029297375</v>
      </c>
      <c r="Z579" s="2" t="s">
        <v>2061</v>
      </c>
    </row>
    <row r="580" spans="1:26" x14ac:dyDescent="0.3">
      <c r="A580" s="2" t="s">
        <v>1202</v>
      </c>
      <c r="B580" s="1">
        <v>44597</v>
      </c>
      <c r="C580" s="2" t="s">
        <v>1203</v>
      </c>
      <c r="D580" s="2" t="s">
        <v>25</v>
      </c>
      <c r="E580">
        <v>10200</v>
      </c>
      <c r="F580">
        <v>24.8</v>
      </c>
      <c r="G580">
        <v>36</v>
      </c>
      <c r="H580" s="2" t="s">
        <v>26</v>
      </c>
      <c r="I580" s="2" t="s">
        <v>20</v>
      </c>
      <c r="J580" s="2" t="s">
        <v>37</v>
      </c>
      <c r="K580">
        <v>31630</v>
      </c>
      <c r="L580" s="2" t="s">
        <v>29</v>
      </c>
      <c r="M580">
        <v>0.38</v>
      </c>
      <c r="N580">
        <v>0.81</v>
      </c>
      <c r="O580">
        <v>2118.66</v>
      </c>
      <c r="P580">
        <v>0</v>
      </c>
      <c r="Q580">
        <v>49</v>
      </c>
      <c r="R580">
        <v>7588.7999999999993</v>
      </c>
      <c r="S580">
        <v>17788.8</v>
      </c>
      <c r="T580">
        <v>-8081.34</v>
      </c>
      <c r="U580">
        <v>0</v>
      </c>
      <c r="V580" s="2" t="s">
        <v>2059</v>
      </c>
      <c r="W580" s="2" t="s">
        <v>2057</v>
      </c>
      <c r="X580">
        <v>21080</v>
      </c>
      <c r="Y580">
        <v>-0.79228823529411763</v>
      </c>
      <c r="Z580" s="2" t="s">
        <v>2058</v>
      </c>
    </row>
    <row r="581" spans="1:26" x14ac:dyDescent="0.3">
      <c r="A581" s="2" t="s">
        <v>1204</v>
      </c>
      <c r="B581" s="1">
        <v>44820</v>
      </c>
      <c r="C581" s="2" t="s">
        <v>1205</v>
      </c>
      <c r="D581" s="2" t="s">
        <v>53</v>
      </c>
      <c r="E581">
        <v>34997</v>
      </c>
      <c r="F581">
        <v>21.4</v>
      </c>
      <c r="G581">
        <v>36</v>
      </c>
      <c r="H581" s="2" t="s">
        <v>26</v>
      </c>
      <c r="I581" s="2" t="s">
        <v>20</v>
      </c>
      <c r="J581" s="2" t="s">
        <v>28</v>
      </c>
      <c r="K581">
        <v>50789</v>
      </c>
      <c r="L581" s="2" t="s">
        <v>22</v>
      </c>
      <c r="M581">
        <v>0.39</v>
      </c>
      <c r="N581">
        <v>0.88</v>
      </c>
      <c r="O581">
        <v>15275.01</v>
      </c>
      <c r="P581">
        <v>0</v>
      </c>
      <c r="Q581">
        <v>42</v>
      </c>
      <c r="R581">
        <v>22468.073999999997</v>
      </c>
      <c r="S581">
        <v>57465.073999999993</v>
      </c>
      <c r="T581">
        <v>-19721.989999999998</v>
      </c>
      <c r="U581">
        <v>0</v>
      </c>
      <c r="V581" s="2" t="s">
        <v>2059</v>
      </c>
      <c r="W581" s="2" t="s">
        <v>2057</v>
      </c>
      <c r="X581">
        <v>62411.316700000003</v>
      </c>
      <c r="Y581">
        <v>-0.5635337314626967</v>
      </c>
      <c r="Z581" s="2" t="s">
        <v>2058</v>
      </c>
    </row>
    <row r="582" spans="1:26" x14ac:dyDescent="0.3">
      <c r="A582" s="2" t="s">
        <v>1206</v>
      </c>
      <c r="B582" s="1">
        <v>44963</v>
      </c>
      <c r="C582" s="2" t="s">
        <v>1207</v>
      </c>
      <c r="D582" s="2" t="s">
        <v>40</v>
      </c>
      <c r="E582">
        <v>26611</v>
      </c>
      <c r="F582">
        <v>18.899999999999999</v>
      </c>
      <c r="G582">
        <v>60</v>
      </c>
      <c r="H582" s="2" t="s">
        <v>81</v>
      </c>
      <c r="I582" s="2" t="s">
        <v>57</v>
      </c>
      <c r="J582" s="2" t="s">
        <v>37</v>
      </c>
      <c r="K582">
        <v>118059</v>
      </c>
      <c r="L582" s="2" t="s">
        <v>33</v>
      </c>
      <c r="M582">
        <v>0.12</v>
      </c>
      <c r="N582">
        <v>0.65</v>
      </c>
      <c r="O582">
        <v>3671.34</v>
      </c>
      <c r="P582">
        <v>13658.29</v>
      </c>
      <c r="Q582">
        <v>37</v>
      </c>
      <c r="R582">
        <v>25147.395</v>
      </c>
      <c r="S582">
        <v>51758.395000000004</v>
      </c>
      <c r="T582">
        <v>-9281.369999999999</v>
      </c>
      <c r="U582">
        <v>1</v>
      </c>
      <c r="V582" s="2" t="s">
        <v>2063</v>
      </c>
      <c r="W582" s="2" t="s">
        <v>2057</v>
      </c>
      <c r="X582">
        <v>41912.324999999997</v>
      </c>
      <c r="Y582">
        <v>-0.34877945210627181</v>
      </c>
      <c r="Z582" s="2" t="s">
        <v>2061</v>
      </c>
    </row>
    <row r="583" spans="1:26" x14ac:dyDescent="0.3">
      <c r="A583" s="2" t="s">
        <v>1208</v>
      </c>
      <c r="B583" s="1">
        <v>45115</v>
      </c>
      <c r="C583" s="2" t="s">
        <v>1209</v>
      </c>
      <c r="D583" s="2" t="s">
        <v>65</v>
      </c>
      <c r="E583">
        <v>36057</v>
      </c>
      <c r="F583">
        <v>15.6</v>
      </c>
      <c r="G583">
        <v>60</v>
      </c>
      <c r="H583" s="2" t="s">
        <v>19</v>
      </c>
      <c r="I583" s="2" t="s">
        <v>27</v>
      </c>
      <c r="J583" s="2" t="s">
        <v>47</v>
      </c>
      <c r="K583">
        <v>113494</v>
      </c>
      <c r="L583" s="2" t="s">
        <v>22</v>
      </c>
      <c r="M583">
        <v>0.47</v>
      </c>
      <c r="N583">
        <v>0.9</v>
      </c>
      <c r="O583">
        <v>41681.89</v>
      </c>
      <c r="P583">
        <v>0</v>
      </c>
      <c r="Q583">
        <v>32</v>
      </c>
      <c r="R583">
        <v>28124.460000000003</v>
      </c>
      <c r="S583">
        <v>64181.460000000006</v>
      </c>
      <c r="T583">
        <v>5624.8899999999994</v>
      </c>
      <c r="U583">
        <v>0</v>
      </c>
      <c r="V583" s="2" t="s">
        <v>2056</v>
      </c>
      <c r="W583" s="2" t="s">
        <v>2060</v>
      </c>
      <c r="X583">
        <v>46874.1</v>
      </c>
      <c r="Y583">
        <v>0.15599994453226834</v>
      </c>
      <c r="Z583" s="2" t="s">
        <v>2058</v>
      </c>
    </row>
    <row r="584" spans="1:26" x14ac:dyDescent="0.3">
      <c r="A584" s="2" t="s">
        <v>1210</v>
      </c>
      <c r="B584" s="1">
        <v>45049</v>
      </c>
      <c r="C584" s="2" t="s">
        <v>1211</v>
      </c>
      <c r="D584" s="2" t="s">
        <v>72</v>
      </c>
      <c r="E584">
        <v>2239</v>
      </c>
      <c r="F584">
        <v>14</v>
      </c>
      <c r="G584">
        <v>60</v>
      </c>
      <c r="H584" s="2" t="s">
        <v>19</v>
      </c>
      <c r="I584" s="2" t="s">
        <v>73</v>
      </c>
      <c r="J584" s="2" t="s">
        <v>21</v>
      </c>
      <c r="K584">
        <v>76151</v>
      </c>
      <c r="L584" s="2" t="s">
        <v>33</v>
      </c>
      <c r="M584">
        <v>0.14000000000000001</v>
      </c>
      <c r="N584">
        <v>0.56999999999999995</v>
      </c>
      <c r="O584">
        <v>2552.46</v>
      </c>
      <c r="P584">
        <v>0</v>
      </c>
      <c r="Q584">
        <v>34</v>
      </c>
      <c r="R584">
        <v>1567.3</v>
      </c>
      <c r="S584">
        <v>3806.3</v>
      </c>
      <c r="T584">
        <v>313.46000000000004</v>
      </c>
      <c r="U584">
        <v>0</v>
      </c>
      <c r="V584" s="2" t="s">
        <v>2056</v>
      </c>
      <c r="W584" s="2" t="s">
        <v>2064</v>
      </c>
      <c r="X584">
        <v>2612.1667000000002</v>
      </c>
      <c r="Y584">
        <v>0.14000000000000001</v>
      </c>
      <c r="Z584" s="2" t="s">
        <v>2061</v>
      </c>
    </row>
    <row r="585" spans="1:26" x14ac:dyDescent="0.3">
      <c r="A585" s="2" t="s">
        <v>1212</v>
      </c>
      <c r="B585" s="1">
        <v>44774</v>
      </c>
      <c r="C585" s="2" t="s">
        <v>1213</v>
      </c>
      <c r="D585" s="2" t="s">
        <v>65</v>
      </c>
      <c r="E585">
        <v>39138</v>
      </c>
      <c r="F585">
        <v>6.7</v>
      </c>
      <c r="G585">
        <v>36</v>
      </c>
      <c r="H585" s="2" t="s">
        <v>19</v>
      </c>
      <c r="I585" s="2" t="s">
        <v>27</v>
      </c>
      <c r="J585" s="2" t="s">
        <v>21</v>
      </c>
      <c r="K585">
        <v>78920</v>
      </c>
      <c r="L585" s="2" t="s">
        <v>33</v>
      </c>
      <c r="M585">
        <v>0.21</v>
      </c>
      <c r="N585">
        <v>0.57999999999999996</v>
      </c>
      <c r="O585">
        <v>41760.25</v>
      </c>
      <c r="P585">
        <v>0</v>
      </c>
      <c r="Q585">
        <v>43</v>
      </c>
      <c r="R585">
        <v>7866.7380000000012</v>
      </c>
      <c r="S585">
        <v>47004.737999999998</v>
      </c>
      <c r="T585">
        <v>2622.25</v>
      </c>
      <c r="U585">
        <v>0</v>
      </c>
      <c r="V585" s="2" t="s">
        <v>2056</v>
      </c>
      <c r="W585" s="2" t="s">
        <v>2060</v>
      </c>
      <c r="X585">
        <v>21852.052500000002</v>
      </c>
      <c r="Y585">
        <v>6.700010220246308E-2</v>
      </c>
      <c r="Z585" s="2" t="s">
        <v>2061</v>
      </c>
    </row>
    <row r="586" spans="1:26" x14ac:dyDescent="0.3">
      <c r="A586" s="2" t="s">
        <v>1214</v>
      </c>
      <c r="B586" s="1">
        <v>44271</v>
      </c>
      <c r="C586" s="2" t="s">
        <v>1215</v>
      </c>
      <c r="D586" s="2" t="s">
        <v>53</v>
      </c>
      <c r="E586">
        <v>1125</v>
      </c>
      <c r="F586">
        <v>13</v>
      </c>
      <c r="G586">
        <v>36</v>
      </c>
      <c r="H586" s="2" t="s">
        <v>19</v>
      </c>
      <c r="I586" s="2" t="s">
        <v>73</v>
      </c>
      <c r="J586" s="2" t="s">
        <v>47</v>
      </c>
      <c r="K586">
        <v>139388</v>
      </c>
      <c r="L586" s="2" t="s">
        <v>29</v>
      </c>
      <c r="M586">
        <v>0.37</v>
      </c>
      <c r="N586">
        <v>0.62</v>
      </c>
      <c r="O586">
        <v>1271.25</v>
      </c>
      <c r="P586">
        <v>0</v>
      </c>
      <c r="Q586">
        <v>60</v>
      </c>
      <c r="R586">
        <v>438.75</v>
      </c>
      <c r="S586">
        <v>1563.75</v>
      </c>
      <c r="T586">
        <v>146.25</v>
      </c>
      <c r="U586">
        <v>0</v>
      </c>
      <c r="V586" s="2" t="s">
        <v>2056</v>
      </c>
      <c r="W586" s="2" t="s">
        <v>2064</v>
      </c>
      <c r="X586">
        <v>1218.75</v>
      </c>
      <c r="Y586">
        <v>0.13</v>
      </c>
      <c r="Z586" s="2" t="s">
        <v>2061</v>
      </c>
    </row>
    <row r="587" spans="1:26" x14ac:dyDescent="0.3">
      <c r="A587" s="2" t="s">
        <v>1216</v>
      </c>
      <c r="B587" s="1">
        <v>44631</v>
      </c>
      <c r="C587" s="2" t="s">
        <v>1217</v>
      </c>
      <c r="D587" s="2" t="s">
        <v>56</v>
      </c>
      <c r="E587">
        <v>24857</v>
      </c>
      <c r="F587">
        <v>23.2</v>
      </c>
      <c r="G587">
        <v>60</v>
      </c>
      <c r="H587" s="2" t="s">
        <v>26</v>
      </c>
      <c r="I587" s="2" t="s">
        <v>27</v>
      </c>
      <c r="J587" s="2" t="s">
        <v>32</v>
      </c>
      <c r="K587">
        <v>97231</v>
      </c>
      <c r="L587" s="2" t="s">
        <v>29</v>
      </c>
      <c r="M587">
        <v>0.17</v>
      </c>
      <c r="N587">
        <v>0.55000000000000004</v>
      </c>
      <c r="O587">
        <v>7569.96</v>
      </c>
      <c r="P587">
        <v>0</v>
      </c>
      <c r="Q587">
        <v>48</v>
      </c>
      <c r="R587">
        <v>28834.120000000006</v>
      </c>
      <c r="S587">
        <v>53691.12000000001</v>
      </c>
      <c r="T587">
        <v>-17287.04</v>
      </c>
      <c r="U587">
        <v>0</v>
      </c>
      <c r="V587" s="2" t="s">
        <v>2059</v>
      </c>
      <c r="W587" s="2" t="s">
        <v>2060</v>
      </c>
      <c r="X587">
        <v>48056.866699999999</v>
      </c>
      <c r="Y587">
        <v>-0.69545962907832803</v>
      </c>
      <c r="Z587" s="2" t="s">
        <v>2061</v>
      </c>
    </row>
    <row r="588" spans="1:26" x14ac:dyDescent="0.3">
      <c r="A588" s="2" t="s">
        <v>1218</v>
      </c>
      <c r="B588" s="1">
        <v>44299</v>
      </c>
      <c r="C588" s="2" t="s">
        <v>1219</v>
      </c>
      <c r="D588" s="2" t="s">
        <v>65</v>
      </c>
      <c r="E588">
        <v>16398</v>
      </c>
      <c r="F588">
        <v>21.2</v>
      </c>
      <c r="G588">
        <v>36</v>
      </c>
      <c r="H588" s="2" t="s">
        <v>26</v>
      </c>
      <c r="I588" s="2" t="s">
        <v>20</v>
      </c>
      <c r="J588" s="2" t="s">
        <v>21</v>
      </c>
      <c r="K588">
        <v>147946</v>
      </c>
      <c r="L588" s="2" t="s">
        <v>22</v>
      </c>
      <c r="M588">
        <v>0.12</v>
      </c>
      <c r="N588">
        <v>0.6</v>
      </c>
      <c r="O588">
        <v>1868.19</v>
      </c>
      <c r="P588">
        <v>0</v>
      </c>
      <c r="Q588">
        <v>59</v>
      </c>
      <c r="R588">
        <v>10429.127999999999</v>
      </c>
      <c r="S588">
        <v>26827.127999999997</v>
      </c>
      <c r="T588">
        <v>-14529.81</v>
      </c>
      <c r="U588">
        <v>0</v>
      </c>
      <c r="V588" s="2" t="s">
        <v>2059</v>
      </c>
      <c r="W588" s="2" t="s">
        <v>2057</v>
      </c>
      <c r="X588">
        <v>28969.8</v>
      </c>
      <c r="Y588">
        <v>-0.88607208196121479</v>
      </c>
      <c r="Z588" s="2" t="s">
        <v>2061</v>
      </c>
    </row>
    <row r="589" spans="1:26" x14ac:dyDescent="0.3">
      <c r="A589" s="2" t="s">
        <v>1220</v>
      </c>
      <c r="B589" s="1">
        <v>44960</v>
      </c>
      <c r="C589" s="2" t="s">
        <v>1221</v>
      </c>
      <c r="D589" s="2" t="s">
        <v>53</v>
      </c>
      <c r="E589">
        <v>7638</v>
      </c>
      <c r="F589">
        <v>9.3000000000000007</v>
      </c>
      <c r="G589">
        <v>60</v>
      </c>
      <c r="H589" s="2" t="s">
        <v>81</v>
      </c>
      <c r="I589" s="2" t="s">
        <v>36</v>
      </c>
      <c r="J589" s="2" t="s">
        <v>28</v>
      </c>
      <c r="K589">
        <v>110357</v>
      </c>
      <c r="L589" s="2" t="s">
        <v>29</v>
      </c>
      <c r="M589">
        <v>0.23</v>
      </c>
      <c r="N589">
        <v>0.55000000000000004</v>
      </c>
      <c r="O589">
        <v>2378.77</v>
      </c>
      <c r="P589">
        <v>1767.84</v>
      </c>
      <c r="Q589">
        <v>37</v>
      </c>
      <c r="R589">
        <v>3551.67</v>
      </c>
      <c r="S589">
        <v>11189.67</v>
      </c>
      <c r="T589">
        <v>-3491.3900000000003</v>
      </c>
      <c r="U589">
        <v>1</v>
      </c>
      <c r="V589" s="2" t="s">
        <v>2063</v>
      </c>
      <c r="W589" s="2" t="s">
        <v>2062</v>
      </c>
      <c r="X589">
        <v>5919.45</v>
      </c>
      <c r="Y589">
        <v>-0.45710788164440957</v>
      </c>
      <c r="Z589" s="2" t="s">
        <v>2061</v>
      </c>
    </row>
    <row r="590" spans="1:26" x14ac:dyDescent="0.3">
      <c r="A590" s="2" t="s">
        <v>1222</v>
      </c>
      <c r="B590" s="1">
        <v>44934</v>
      </c>
      <c r="C590" s="2" t="s">
        <v>1223</v>
      </c>
      <c r="D590" s="2" t="s">
        <v>50</v>
      </c>
      <c r="E590">
        <v>7570</v>
      </c>
      <c r="F590">
        <v>14.3</v>
      </c>
      <c r="G590">
        <v>60</v>
      </c>
      <c r="H590" s="2" t="s">
        <v>19</v>
      </c>
      <c r="I590" s="2" t="s">
        <v>20</v>
      </c>
      <c r="J590" s="2" t="s">
        <v>21</v>
      </c>
      <c r="K590">
        <v>33262</v>
      </c>
      <c r="L590" s="2" t="s">
        <v>33</v>
      </c>
      <c r="M590">
        <v>0.41</v>
      </c>
      <c r="N590">
        <v>0.87</v>
      </c>
      <c r="O590">
        <v>8652.51</v>
      </c>
      <c r="P590">
        <v>0</v>
      </c>
      <c r="Q590">
        <v>38</v>
      </c>
      <c r="R590">
        <v>5412.55</v>
      </c>
      <c r="S590">
        <v>12982.55</v>
      </c>
      <c r="T590">
        <v>1082.5100000000002</v>
      </c>
      <c r="U590">
        <v>0</v>
      </c>
      <c r="V590" s="2" t="s">
        <v>2056</v>
      </c>
      <c r="W590" s="2" t="s">
        <v>2057</v>
      </c>
      <c r="X590">
        <v>9020.9166999999998</v>
      </c>
      <c r="Y590">
        <v>0.14300000000000002</v>
      </c>
      <c r="Z590" s="2" t="s">
        <v>2058</v>
      </c>
    </row>
    <row r="591" spans="1:26" x14ac:dyDescent="0.3">
      <c r="A591" s="2" t="s">
        <v>1224</v>
      </c>
      <c r="B591" s="1">
        <v>45002</v>
      </c>
      <c r="C591" s="2" t="s">
        <v>1225</v>
      </c>
      <c r="D591" s="2" t="s">
        <v>46</v>
      </c>
      <c r="E591">
        <v>4249</v>
      </c>
      <c r="F591">
        <v>21.3</v>
      </c>
      <c r="G591">
        <v>36</v>
      </c>
      <c r="H591" s="2" t="s">
        <v>81</v>
      </c>
      <c r="I591" s="2" t="s">
        <v>57</v>
      </c>
      <c r="J591" s="2" t="s">
        <v>32</v>
      </c>
      <c r="K591">
        <v>96981</v>
      </c>
      <c r="L591" s="2" t="s">
        <v>33</v>
      </c>
      <c r="M591">
        <v>0.27</v>
      </c>
      <c r="N591">
        <v>0.56000000000000005</v>
      </c>
      <c r="O591">
        <v>1578.6</v>
      </c>
      <c r="P591">
        <v>1006.52</v>
      </c>
      <c r="Q591">
        <v>36</v>
      </c>
      <c r="R591">
        <v>2715.1109999999999</v>
      </c>
      <c r="S591">
        <v>6964.1109999999999</v>
      </c>
      <c r="T591">
        <v>-1663.88</v>
      </c>
      <c r="U591">
        <v>1</v>
      </c>
      <c r="V591" s="2" t="s">
        <v>2063</v>
      </c>
      <c r="W591" s="2" t="s">
        <v>2057</v>
      </c>
      <c r="X591">
        <v>7541.9750000000004</v>
      </c>
      <c r="Y591">
        <v>-0.39159331607437048</v>
      </c>
      <c r="Z591" s="2" t="s">
        <v>2061</v>
      </c>
    </row>
    <row r="592" spans="1:26" x14ac:dyDescent="0.3">
      <c r="A592" s="2" t="s">
        <v>1226</v>
      </c>
      <c r="B592" s="1">
        <v>44294</v>
      </c>
      <c r="C592" s="2" t="s">
        <v>1227</v>
      </c>
      <c r="D592" s="2" t="s">
        <v>76</v>
      </c>
      <c r="E592">
        <v>10110</v>
      </c>
      <c r="F592">
        <v>6.3</v>
      </c>
      <c r="G592">
        <v>60</v>
      </c>
      <c r="H592" s="2" t="s">
        <v>19</v>
      </c>
      <c r="I592" s="2" t="s">
        <v>27</v>
      </c>
      <c r="J592" s="2" t="s">
        <v>28</v>
      </c>
      <c r="K592">
        <v>111972</v>
      </c>
      <c r="L592" s="2" t="s">
        <v>22</v>
      </c>
      <c r="M592">
        <v>0.36</v>
      </c>
      <c r="N592">
        <v>0.84</v>
      </c>
      <c r="O592">
        <v>10746.93</v>
      </c>
      <c r="P592">
        <v>0</v>
      </c>
      <c r="Q592">
        <v>59</v>
      </c>
      <c r="R592">
        <v>3184.6499999999996</v>
      </c>
      <c r="S592">
        <v>13294.65</v>
      </c>
      <c r="T592">
        <v>636.93000000000029</v>
      </c>
      <c r="U592">
        <v>0</v>
      </c>
      <c r="V592" s="2" t="s">
        <v>2056</v>
      </c>
      <c r="W592" s="2" t="s">
        <v>2060</v>
      </c>
      <c r="X592">
        <v>5307.75</v>
      </c>
      <c r="Y592">
        <v>6.3000000000000028E-2</v>
      </c>
      <c r="Z592" s="2" t="s">
        <v>2058</v>
      </c>
    </row>
    <row r="593" spans="1:26" x14ac:dyDescent="0.3">
      <c r="A593" s="2" t="s">
        <v>1228</v>
      </c>
      <c r="B593" s="1">
        <v>44994</v>
      </c>
      <c r="C593" s="2" t="s">
        <v>1229</v>
      </c>
      <c r="D593" s="2" t="s">
        <v>50</v>
      </c>
      <c r="E593">
        <v>14605</v>
      </c>
      <c r="F593">
        <v>12.7</v>
      </c>
      <c r="G593">
        <v>36</v>
      </c>
      <c r="H593" s="2" t="s">
        <v>19</v>
      </c>
      <c r="I593" s="2" t="s">
        <v>57</v>
      </c>
      <c r="J593" s="2" t="s">
        <v>28</v>
      </c>
      <c r="K593">
        <v>105485</v>
      </c>
      <c r="L593" s="2" t="s">
        <v>22</v>
      </c>
      <c r="M593">
        <v>0.33</v>
      </c>
      <c r="N593">
        <v>0.52</v>
      </c>
      <c r="O593">
        <v>16459.84</v>
      </c>
      <c r="P593">
        <v>0</v>
      </c>
      <c r="Q593">
        <v>36</v>
      </c>
      <c r="R593">
        <v>5564.5050000000001</v>
      </c>
      <c r="S593">
        <v>20169.505000000001</v>
      </c>
      <c r="T593">
        <v>1854.8400000000001</v>
      </c>
      <c r="U593">
        <v>0</v>
      </c>
      <c r="V593" s="2" t="s">
        <v>2056</v>
      </c>
      <c r="W593" s="2" t="s">
        <v>2057</v>
      </c>
      <c r="X593">
        <v>15456.9583</v>
      </c>
      <c r="Y593">
        <v>0.12700034234851079</v>
      </c>
      <c r="Z593" s="2" t="s">
        <v>2061</v>
      </c>
    </row>
    <row r="594" spans="1:26" x14ac:dyDescent="0.3">
      <c r="A594" s="2" t="s">
        <v>1230</v>
      </c>
      <c r="B594" s="1">
        <v>45055</v>
      </c>
      <c r="C594" s="2" t="s">
        <v>1231</v>
      </c>
      <c r="D594" s="2" t="s">
        <v>53</v>
      </c>
      <c r="E594">
        <v>13115</v>
      </c>
      <c r="F594">
        <v>22</v>
      </c>
      <c r="G594">
        <v>36</v>
      </c>
      <c r="H594" s="2" t="s">
        <v>19</v>
      </c>
      <c r="I594" s="2" t="s">
        <v>36</v>
      </c>
      <c r="J594" s="2" t="s">
        <v>47</v>
      </c>
      <c r="K594">
        <v>84722</v>
      </c>
      <c r="L594" s="2" t="s">
        <v>33</v>
      </c>
      <c r="M594">
        <v>0.11</v>
      </c>
      <c r="N594">
        <v>0.93</v>
      </c>
      <c r="O594">
        <v>16000.3</v>
      </c>
      <c r="P594">
        <v>0</v>
      </c>
      <c r="Q594">
        <v>34</v>
      </c>
      <c r="R594">
        <v>8655.9</v>
      </c>
      <c r="S594">
        <v>21770.9</v>
      </c>
      <c r="T594">
        <v>2885.2999999999993</v>
      </c>
      <c r="U594">
        <v>0</v>
      </c>
      <c r="V594" s="2" t="s">
        <v>2056</v>
      </c>
      <c r="W594" s="2" t="s">
        <v>2062</v>
      </c>
      <c r="X594">
        <v>24044.166700000002</v>
      </c>
      <c r="Y594">
        <v>0.21999999999999995</v>
      </c>
      <c r="Z594" s="2" t="s">
        <v>2058</v>
      </c>
    </row>
    <row r="595" spans="1:26" x14ac:dyDescent="0.3">
      <c r="A595" s="2" t="s">
        <v>1232</v>
      </c>
      <c r="B595" s="1">
        <v>44631</v>
      </c>
      <c r="C595" s="2" t="s">
        <v>1233</v>
      </c>
      <c r="D595" s="2" t="s">
        <v>18</v>
      </c>
      <c r="E595">
        <v>23911</v>
      </c>
      <c r="F595">
        <v>13.1</v>
      </c>
      <c r="G595">
        <v>60</v>
      </c>
      <c r="H595" s="2" t="s">
        <v>26</v>
      </c>
      <c r="I595" s="2" t="s">
        <v>73</v>
      </c>
      <c r="J595" s="2" t="s">
        <v>37</v>
      </c>
      <c r="K595">
        <v>119499</v>
      </c>
      <c r="L595" s="2" t="s">
        <v>29</v>
      </c>
      <c r="M595">
        <v>0.5</v>
      </c>
      <c r="N595">
        <v>0.82</v>
      </c>
      <c r="O595">
        <v>5871.91</v>
      </c>
      <c r="P595">
        <v>0</v>
      </c>
      <c r="Q595">
        <v>48</v>
      </c>
      <c r="R595">
        <v>15661.705</v>
      </c>
      <c r="S595">
        <v>39572.705000000002</v>
      </c>
      <c r="T595">
        <v>-18039.09</v>
      </c>
      <c r="U595">
        <v>0</v>
      </c>
      <c r="V595" s="2" t="s">
        <v>2059</v>
      </c>
      <c r="W595" s="2" t="s">
        <v>2064</v>
      </c>
      <c r="X595">
        <v>26102.841700000001</v>
      </c>
      <c r="Y595">
        <v>-0.75442641462088578</v>
      </c>
      <c r="Z595" s="2" t="s">
        <v>2058</v>
      </c>
    </row>
    <row r="596" spans="1:26" x14ac:dyDescent="0.3">
      <c r="A596" s="2" t="s">
        <v>1234</v>
      </c>
      <c r="B596" s="1">
        <v>44643</v>
      </c>
      <c r="C596" s="2" t="s">
        <v>1235</v>
      </c>
      <c r="D596" s="2" t="s">
        <v>40</v>
      </c>
      <c r="E596">
        <v>39525</v>
      </c>
      <c r="F596">
        <v>6.6</v>
      </c>
      <c r="G596">
        <v>36</v>
      </c>
      <c r="H596" s="2" t="s">
        <v>19</v>
      </c>
      <c r="I596" s="2" t="s">
        <v>84</v>
      </c>
      <c r="J596" s="2" t="s">
        <v>47</v>
      </c>
      <c r="K596">
        <v>80818</v>
      </c>
      <c r="L596" s="2" t="s">
        <v>29</v>
      </c>
      <c r="M596">
        <v>0.12</v>
      </c>
      <c r="N596">
        <v>0.5</v>
      </c>
      <c r="O596">
        <v>42133.65</v>
      </c>
      <c r="P596">
        <v>0</v>
      </c>
      <c r="Q596">
        <v>47</v>
      </c>
      <c r="R596">
        <v>7825.9500000000007</v>
      </c>
      <c r="S596">
        <v>47350.95</v>
      </c>
      <c r="T596">
        <v>2608.6500000000015</v>
      </c>
      <c r="U596">
        <v>0</v>
      </c>
      <c r="V596" s="2" t="s">
        <v>2056</v>
      </c>
      <c r="W596" s="2" t="s">
        <v>2062</v>
      </c>
      <c r="X596">
        <v>21738.753100000002</v>
      </c>
      <c r="Y596">
        <v>6.6000000000000031E-2</v>
      </c>
      <c r="Z596" s="2" t="s">
        <v>2061</v>
      </c>
    </row>
    <row r="597" spans="1:26" x14ac:dyDescent="0.3">
      <c r="A597" s="2" t="s">
        <v>1236</v>
      </c>
      <c r="B597" s="1">
        <v>44445</v>
      </c>
      <c r="C597" s="2" t="s">
        <v>1237</v>
      </c>
      <c r="D597" s="2" t="s">
        <v>76</v>
      </c>
      <c r="E597">
        <v>33556</v>
      </c>
      <c r="F597">
        <v>15.9</v>
      </c>
      <c r="G597">
        <v>60</v>
      </c>
      <c r="H597" s="2" t="s">
        <v>81</v>
      </c>
      <c r="I597" s="2" t="s">
        <v>84</v>
      </c>
      <c r="J597" s="2" t="s">
        <v>37</v>
      </c>
      <c r="K597">
        <v>59932</v>
      </c>
      <c r="L597" s="2" t="s">
        <v>22</v>
      </c>
      <c r="M597">
        <v>0.49</v>
      </c>
      <c r="N597">
        <v>0.84</v>
      </c>
      <c r="O597">
        <v>8269.1299999999992</v>
      </c>
      <c r="P597">
        <v>9226.86</v>
      </c>
      <c r="Q597">
        <v>54</v>
      </c>
      <c r="R597">
        <v>26677.020000000004</v>
      </c>
      <c r="S597">
        <v>60233.020000000004</v>
      </c>
      <c r="T597">
        <v>-16060.010000000002</v>
      </c>
      <c r="U597">
        <v>1</v>
      </c>
      <c r="V597" s="2" t="s">
        <v>2063</v>
      </c>
      <c r="W597" s="2" t="s">
        <v>2062</v>
      </c>
      <c r="X597">
        <v>44461.7</v>
      </c>
      <c r="Y597">
        <v>-0.47860323042078917</v>
      </c>
      <c r="Z597" s="2" t="s">
        <v>2058</v>
      </c>
    </row>
    <row r="598" spans="1:26" x14ac:dyDescent="0.3">
      <c r="A598" s="2" t="s">
        <v>1238</v>
      </c>
      <c r="B598" s="1">
        <v>44362</v>
      </c>
      <c r="C598" s="2" t="s">
        <v>1239</v>
      </c>
      <c r="D598" s="2" t="s">
        <v>18</v>
      </c>
      <c r="E598">
        <v>13595</v>
      </c>
      <c r="F598">
        <v>22.2</v>
      </c>
      <c r="G598">
        <v>36</v>
      </c>
      <c r="H598" s="2" t="s">
        <v>81</v>
      </c>
      <c r="I598" s="2" t="s">
        <v>41</v>
      </c>
      <c r="J598" s="2" t="s">
        <v>47</v>
      </c>
      <c r="K598">
        <v>36901</v>
      </c>
      <c r="L598" s="2" t="s">
        <v>22</v>
      </c>
      <c r="M598">
        <v>0.32</v>
      </c>
      <c r="N598">
        <v>0.73</v>
      </c>
      <c r="O598">
        <v>5141.99</v>
      </c>
      <c r="P598">
        <v>2205.12</v>
      </c>
      <c r="Q598">
        <v>57</v>
      </c>
      <c r="R598">
        <v>9054.27</v>
      </c>
      <c r="S598">
        <v>22649.27</v>
      </c>
      <c r="T598">
        <v>-6247.89</v>
      </c>
      <c r="U598">
        <v>1</v>
      </c>
      <c r="V598" s="2" t="s">
        <v>2063</v>
      </c>
      <c r="W598" s="2" t="s">
        <v>2062</v>
      </c>
      <c r="X598">
        <v>25150.75</v>
      </c>
      <c r="Y598">
        <v>-0.45957263699889667</v>
      </c>
      <c r="Z598" s="2" t="s">
        <v>2061</v>
      </c>
    </row>
    <row r="599" spans="1:26" x14ac:dyDescent="0.3">
      <c r="A599" s="2" t="s">
        <v>1240</v>
      </c>
      <c r="B599" s="1">
        <v>45180</v>
      </c>
      <c r="C599" s="2" t="s">
        <v>1241</v>
      </c>
      <c r="D599" s="2" t="s">
        <v>56</v>
      </c>
      <c r="E599">
        <v>2969</v>
      </c>
      <c r="F599">
        <v>16.8</v>
      </c>
      <c r="G599">
        <v>36</v>
      </c>
      <c r="H599" s="2" t="s">
        <v>81</v>
      </c>
      <c r="I599" s="2" t="s">
        <v>36</v>
      </c>
      <c r="J599" s="2" t="s">
        <v>37</v>
      </c>
      <c r="K599">
        <v>147473</v>
      </c>
      <c r="L599" s="2" t="s">
        <v>33</v>
      </c>
      <c r="M599">
        <v>0.49</v>
      </c>
      <c r="N599">
        <v>0.85</v>
      </c>
      <c r="O599">
        <v>760.95</v>
      </c>
      <c r="P599">
        <v>303.63</v>
      </c>
      <c r="Q599">
        <v>30</v>
      </c>
      <c r="R599">
        <v>1496.3760000000002</v>
      </c>
      <c r="S599">
        <v>4465.3760000000002</v>
      </c>
      <c r="T599">
        <v>-1904.42</v>
      </c>
      <c r="U599">
        <v>1</v>
      </c>
      <c r="V599" s="2" t="s">
        <v>2063</v>
      </c>
      <c r="W599" s="2" t="s">
        <v>2062</v>
      </c>
      <c r="X599">
        <v>4156.6000000000004</v>
      </c>
      <c r="Y599">
        <v>-0.64143482654092288</v>
      </c>
      <c r="Z599" s="2" t="s">
        <v>2058</v>
      </c>
    </row>
    <row r="600" spans="1:26" x14ac:dyDescent="0.3">
      <c r="A600" s="2" t="s">
        <v>1242</v>
      </c>
      <c r="B600" s="1">
        <v>45216</v>
      </c>
      <c r="C600" s="2" t="s">
        <v>1243</v>
      </c>
      <c r="D600" s="2" t="s">
        <v>25</v>
      </c>
      <c r="E600">
        <v>18275</v>
      </c>
      <c r="F600">
        <v>9.5</v>
      </c>
      <c r="G600">
        <v>36</v>
      </c>
      <c r="H600" s="2" t="s">
        <v>19</v>
      </c>
      <c r="I600" s="2" t="s">
        <v>36</v>
      </c>
      <c r="J600" s="2" t="s">
        <v>21</v>
      </c>
      <c r="K600">
        <v>129023</v>
      </c>
      <c r="L600" s="2" t="s">
        <v>33</v>
      </c>
      <c r="M600">
        <v>0.15</v>
      </c>
      <c r="N600">
        <v>0.74</v>
      </c>
      <c r="O600">
        <v>20011.12</v>
      </c>
      <c r="P600">
        <v>0</v>
      </c>
      <c r="Q600">
        <v>29</v>
      </c>
      <c r="R600">
        <v>5208.375</v>
      </c>
      <c r="S600">
        <v>23483.375</v>
      </c>
      <c r="T600">
        <v>1736.119999999999</v>
      </c>
      <c r="U600">
        <v>0</v>
      </c>
      <c r="V600" s="2" t="s">
        <v>2056</v>
      </c>
      <c r="W600" s="2" t="s">
        <v>2062</v>
      </c>
      <c r="X600">
        <v>14467.7083</v>
      </c>
      <c r="Y600">
        <v>9.4999726402188733E-2</v>
      </c>
      <c r="Z600" s="2" t="s">
        <v>2061</v>
      </c>
    </row>
    <row r="601" spans="1:26" x14ac:dyDescent="0.3">
      <c r="A601" s="2" t="s">
        <v>1244</v>
      </c>
      <c r="B601" s="1">
        <v>44738</v>
      </c>
      <c r="C601" s="2" t="s">
        <v>1245</v>
      </c>
      <c r="D601" s="2" t="s">
        <v>72</v>
      </c>
      <c r="E601">
        <v>5470</v>
      </c>
      <c r="F601">
        <v>12.7</v>
      </c>
      <c r="G601">
        <v>60</v>
      </c>
      <c r="H601" s="2" t="s">
        <v>81</v>
      </c>
      <c r="I601" s="2" t="s">
        <v>27</v>
      </c>
      <c r="J601" s="2" t="s">
        <v>28</v>
      </c>
      <c r="K601">
        <v>38597</v>
      </c>
      <c r="L601" s="2" t="s">
        <v>22</v>
      </c>
      <c r="M601">
        <v>0.3</v>
      </c>
      <c r="N601">
        <v>0.79</v>
      </c>
      <c r="O601">
        <v>1347.15</v>
      </c>
      <c r="P601">
        <v>2258.6</v>
      </c>
      <c r="Q601">
        <v>44</v>
      </c>
      <c r="R601">
        <v>3473.4500000000003</v>
      </c>
      <c r="S601">
        <v>8943.4500000000007</v>
      </c>
      <c r="T601">
        <v>-1864.25</v>
      </c>
      <c r="U601">
        <v>1</v>
      </c>
      <c r="V601" s="2" t="s">
        <v>2063</v>
      </c>
      <c r="W601" s="2" t="s">
        <v>2060</v>
      </c>
      <c r="X601">
        <v>5789.0833000000002</v>
      </c>
      <c r="Y601">
        <v>-0.34081352833638023</v>
      </c>
      <c r="Z601" s="2" t="s">
        <v>2061</v>
      </c>
    </row>
    <row r="602" spans="1:26" x14ac:dyDescent="0.3">
      <c r="A602" s="2" t="s">
        <v>1246</v>
      </c>
      <c r="B602" s="1">
        <v>44955</v>
      </c>
      <c r="C602" s="2" t="s">
        <v>1247</v>
      </c>
      <c r="D602" s="2" t="s">
        <v>76</v>
      </c>
      <c r="E602">
        <v>11225</v>
      </c>
      <c r="F602">
        <v>14</v>
      </c>
      <c r="G602">
        <v>36</v>
      </c>
      <c r="H602" s="2" t="s">
        <v>26</v>
      </c>
      <c r="I602" s="2" t="s">
        <v>57</v>
      </c>
      <c r="J602" s="2" t="s">
        <v>37</v>
      </c>
      <c r="K602">
        <v>93909</v>
      </c>
      <c r="L602" s="2" t="s">
        <v>33</v>
      </c>
      <c r="M602">
        <v>0.17</v>
      </c>
      <c r="N602">
        <v>0.85</v>
      </c>
      <c r="O602">
        <v>3482.53</v>
      </c>
      <c r="P602">
        <v>0</v>
      </c>
      <c r="Q602">
        <v>37</v>
      </c>
      <c r="R602">
        <v>4714.5</v>
      </c>
      <c r="S602">
        <v>15939.5</v>
      </c>
      <c r="T602">
        <v>-7742.4699999999993</v>
      </c>
      <c r="U602">
        <v>0</v>
      </c>
      <c r="V602" s="2" t="s">
        <v>2059</v>
      </c>
      <c r="W602" s="2" t="s">
        <v>2057</v>
      </c>
      <c r="X602">
        <v>13095.8333</v>
      </c>
      <c r="Y602">
        <v>-0.68975233853006679</v>
      </c>
      <c r="Z602" s="2" t="s">
        <v>2058</v>
      </c>
    </row>
    <row r="603" spans="1:26" x14ac:dyDescent="0.3">
      <c r="A603" s="2" t="s">
        <v>1248</v>
      </c>
      <c r="B603" s="1">
        <v>44277</v>
      </c>
      <c r="C603" s="2" t="s">
        <v>1249</v>
      </c>
      <c r="D603" s="2" t="s">
        <v>50</v>
      </c>
      <c r="E603">
        <v>24196</v>
      </c>
      <c r="F603">
        <v>16.600000000000001</v>
      </c>
      <c r="G603">
        <v>60</v>
      </c>
      <c r="H603" s="2" t="s">
        <v>19</v>
      </c>
      <c r="I603" s="2" t="s">
        <v>20</v>
      </c>
      <c r="J603" s="2" t="s">
        <v>21</v>
      </c>
      <c r="K603">
        <v>102391</v>
      </c>
      <c r="L603" s="2" t="s">
        <v>22</v>
      </c>
      <c r="M603">
        <v>0.12</v>
      </c>
      <c r="N603">
        <v>0.68</v>
      </c>
      <c r="O603">
        <v>28212.54</v>
      </c>
      <c r="P603">
        <v>0</v>
      </c>
      <c r="Q603">
        <v>59</v>
      </c>
      <c r="R603">
        <v>20082.680000000004</v>
      </c>
      <c r="S603">
        <v>44278.680000000008</v>
      </c>
      <c r="T603">
        <v>4016.5400000000009</v>
      </c>
      <c r="U603">
        <v>0</v>
      </c>
      <c r="V603" s="2" t="s">
        <v>2056</v>
      </c>
      <c r="W603" s="2" t="s">
        <v>2057</v>
      </c>
      <c r="X603">
        <v>33471.133300000001</v>
      </c>
      <c r="Y603">
        <v>0.16600016531658129</v>
      </c>
      <c r="Z603" s="2" t="s">
        <v>2061</v>
      </c>
    </row>
    <row r="604" spans="1:26" x14ac:dyDescent="0.3">
      <c r="A604" s="2" t="s">
        <v>1250</v>
      </c>
      <c r="B604" s="1">
        <v>44329</v>
      </c>
      <c r="C604" s="2" t="s">
        <v>1251</v>
      </c>
      <c r="D604" s="2" t="s">
        <v>40</v>
      </c>
      <c r="E604">
        <v>14669</v>
      </c>
      <c r="F604">
        <v>20.2</v>
      </c>
      <c r="G604">
        <v>36</v>
      </c>
      <c r="H604" s="2" t="s">
        <v>19</v>
      </c>
      <c r="I604" s="2" t="s">
        <v>27</v>
      </c>
      <c r="J604" s="2" t="s">
        <v>32</v>
      </c>
      <c r="K604">
        <v>114214</v>
      </c>
      <c r="L604" s="2" t="s">
        <v>22</v>
      </c>
      <c r="M604">
        <v>0.35</v>
      </c>
      <c r="N604">
        <v>0.5</v>
      </c>
      <c r="O604">
        <v>17632.14</v>
      </c>
      <c r="P604">
        <v>0</v>
      </c>
      <c r="Q604">
        <v>58</v>
      </c>
      <c r="R604">
        <v>8889.4139999999989</v>
      </c>
      <c r="S604">
        <v>23558.413999999997</v>
      </c>
      <c r="T604">
        <v>2963.1399999999994</v>
      </c>
      <c r="U604">
        <v>0</v>
      </c>
      <c r="V604" s="2" t="s">
        <v>2056</v>
      </c>
      <c r="W604" s="2" t="s">
        <v>2060</v>
      </c>
      <c r="X604">
        <v>24692.816699999999</v>
      </c>
      <c r="Y604">
        <v>0.20200013634194555</v>
      </c>
      <c r="Z604" s="2" t="s">
        <v>2061</v>
      </c>
    </row>
    <row r="605" spans="1:26" x14ac:dyDescent="0.3">
      <c r="A605" s="2" t="s">
        <v>1252</v>
      </c>
      <c r="B605" s="1">
        <v>44993</v>
      </c>
      <c r="C605" s="2" t="s">
        <v>1253</v>
      </c>
      <c r="D605" s="2" t="s">
        <v>18</v>
      </c>
      <c r="E605">
        <v>38380</v>
      </c>
      <c r="F605">
        <v>7</v>
      </c>
      <c r="G605">
        <v>36</v>
      </c>
      <c r="H605" s="2" t="s">
        <v>19</v>
      </c>
      <c r="I605" s="2" t="s">
        <v>41</v>
      </c>
      <c r="J605" s="2" t="s">
        <v>47</v>
      </c>
      <c r="K605">
        <v>38263</v>
      </c>
      <c r="L605" s="2" t="s">
        <v>29</v>
      </c>
      <c r="M605">
        <v>0.18</v>
      </c>
      <c r="N605">
        <v>0.88</v>
      </c>
      <c r="O605">
        <v>41066.6</v>
      </c>
      <c r="P605">
        <v>0</v>
      </c>
      <c r="Q605">
        <v>36</v>
      </c>
      <c r="R605">
        <v>8059.7999999999993</v>
      </c>
      <c r="S605">
        <v>46439.8</v>
      </c>
      <c r="T605">
        <v>2686.5999999999985</v>
      </c>
      <c r="U605">
        <v>0</v>
      </c>
      <c r="V605" s="2" t="s">
        <v>2056</v>
      </c>
      <c r="W605" s="2" t="s">
        <v>2062</v>
      </c>
      <c r="X605">
        <v>22388.334800000001</v>
      </c>
      <c r="Y605">
        <v>6.9999999999999965E-2</v>
      </c>
      <c r="Z605" s="2" t="s">
        <v>2058</v>
      </c>
    </row>
    <row r="606" spans="1:26" x14ac:dyDescent="0.3">
      <c r="A606" s="2" t="s">
        <v>1254</v>
      </c>
      <c r="B606" s="1">
        <v>45096</v>
      </c>
      <c r="C606" s="2" t="s">
        <v>1255</v>
      </c>
      <c r="D606" s="2" t="s">
        <v>53</v>
      </c>
      <c r="E606">
        <v>39006</v>
      </c>
      <c r="F606">
        <v>22.8</v>
      </c>
      <c r="G606">
        <v>60</v>
      </c>
      <c r="H606" s="2" t="s">
        <v>19</v>
      </c>
      <c r="I606" s="2" t="s">
        <v>27</v>
      </c>
      <c r="J606" s="2" t="s">
        <v>32</v>
      </c>
      <c r="K606">
        <v>93293</v>
      </c>
      <c r="L606" s="2" t="s">
        <v>22</v>
      </c>
      <c r="M606">
        <v>0.34</v>
      </c>
      <c r="N606">
        <v>0.67</v>
      </c>
      <c r="O606">
        <v>47899.37</v>
      </c>
      <c r="P606">
        <v>0</v>
      </c>
      <c r="Q606">
        <v>33</v>
      </c>
      <c r="R606">
        <v>44466.840000000004</v>
      </c>
      <c r="S606">
        <v>83472.84</v>
      </c>
      <c r="T606">
        <v>8893.3700000000026</v>
      </c>
      <c r="U606">
        <v>0</v>
      </c>
      <c r="V606" s="2" t="s">
        <v>2056</v>
      </c>
      <c r="W606" s="2" t="s">
        <v>2060</v>
      </c>
      <c r="X606">
        <v>74111.399999999994</v>
      </c>
      <c r="Y606">
        <v>0.22800005127416301</v>
      </c>
      <c r="Z606" s="2" t="s">
        <v>2061</v>
      </c>
    </row>
    <row r="607" spans="1:26" x14ac:dyDescent="0.3">
      <c r="A607" s="2" t="s">
        <v>1256</v>
      </c>
      <c r="B607" s="1">
        <v>44334</v>
      </c>
      <c r="C607" s="2" t="s">
        <v>1257</v>
      </c>
      <c r="D607" s="2" t="s">
        <v>76</v>
      </c>
      <c r="E607">
        <v>16577</v>
      </c>
      <c r="F607">
        <v>5.2</v>
      </c>
      <c r="G607">
        <v>60</v>
      </c>
      <c r="H607" s="2" t="s">
        <v>19</v>
      </c>
      <c r="I607" s="2" t="s">
        <v>36</v>
      </c>
      <c r="J607" s="2" t="s">
        <v>21</v>
      </c>
      <c r="K607">
        <v>142824</v>
      </c>
      <c r="L607" s="2" t="s">
        <v>33</v>
      </c>
      <c r="M607">
        <v>0.14000000000000001</v>
      </c>
      <c r="N607">
        <v>0.72</v>
      </c>
      <c r="O607">
        <v>17439</v>
      </c>
      <c r="P607">
        <v>0</v>
      </c>
      <c r="Q607">
        <v>58</v>
      </c>
      <c r="R607">
        <v>4310.0200000000004</v>
      </c>
      <c r="S607">
        <v>20887.02</v>
      </c>
      <c r="T607">
        <v>862</v>
      </c>
      <c r="U607">
        <v>0</v>
      </c>
      <c r="V607" s="2" t="s">
        <v>2056</v>
      </c>
      <c r="W607" s="2" t="s">
        <v>2062</v>
      </c>
      <c r="X607">
        <v>7183.3666999999996</v>
      </c>
      <c r="Y607">
        <v>5.1999758701815772E-2</v>
      </c>
      <c r="Z607" s="2" t="s">
        <v>2061</v>
      </c>
    </row>
    <row r="608" spans="1:26" x14ac:dyDescent="0.3">
      <c r="A608" s="2" t="s">
        <v>1258</v>
      </c>
      <c r="B608" s="1">
        <v>44380</v>
      </c>
      <c r="C608" s="2" t="s">
        <v>1259</v>
      </c>
      <c r="D608" s="2" t="s">
        <v>25</v>
      </c>
      <c r="E608">
        <v>23473</v>
      </c>
      <c r="F608">
        <v>12.4</v>
      </c>
      <c r="G608">
        <v>60</v>
      </c>
      <c r="H608" s="2" t="s">
        <v>60</v>
      </c>
      <c r="I608" s="2" t="s">
        <v>84</v>
      </c>
      <c r="J608" s="2" t="s">
        <v>32</v>
      </c>
      <c r="K608">
        <v>55805</v>
      </c>
      <c r="L608" s="2" t="s">
        <v>29</v>
      </c>
      <c r="M608">
        <v>0.23</v>
      </c>
      <c r="N608">
        <v>0.5</v>
      </c>
      <c r="O608">
        <v>0</v>
      </c>
      <c r="P608">
        <v>0</v>
      </c>
      <c r="Q608">
        <v>56</v>
      </c>
      <c r="R608">
        <v>14553.26</v>
      </c>
      <c r="S608">
        <v>38026.26</v>
      </c>
      <c r="T608">
        <v>-23473</v>
      </c>
      <c r="U608">
        <v>0</v>
      </c>
      <c r="V608" s="2" t="s">
        <v>2063</v>
      </c>
      <c r="W608" s="2" t="s">
        <v>2062</v>
      </c>
      <c r="X608">
        <v>24255.433300000001</v>
      </c>
      <c r="Y608">
        <v>-1</v>
      </c>
      <c r="Z608" s="2" t="s">
        <v>2061</v>
      </c>
    </row>
    <row r="609" spans="1:26" x14ac:dyDescent="0.3">
      <c r="A609" s="2" t="s">
        <v>1260</v>
      </c>
      <c r="B609" s="1">
        <v>44981</v>
      </c>
      <c r="C609" s="2" t="s">
        <v>1261</v>
      </c>
      <c r="D609" s="2" t="s">
        <v>53</v>
      </c>
      <c r="E609">
        <v>29625</v>
      </c>
      <c r="F609">
        <v>5.5</v>
      </c>
      <c r="G609">
        <v>60</v>
      </c>
      <c r="H609" s="2" t="s">
        <v>19</v>
      </c>
      <c r="I609" s="2" t="s">
        <v>20</v>
      </c>
      <c r="J609" s="2" t="s">
        <v>32</v>
      </c>
      <c r="K609">
        <v>121679</v>
      </c>
      <c r="L609" s="2" t="s">
        <v>29</v>
      </c>
      <c r="M609">
        <v>0.41</v>
      </c>
      <c r="N609">
        <v>0.72</v>
      </c>
      <c r="O609">
        <v>31254.37</v>
      </c>
      <c r="P609">
        <v>0</v>
      </c>
      <c r="Q609">
        <v>36</v>
      </c>
      <c r="R609">
        <v>8146.875</v>
      </c>
      <c r="S609">
        <v>37771.875</v>
      </c>
      <c r="T609">
        <v>1629.369999999999</v>
      </c>
      <c r="U609">
        <v>0</v>
      </c>
      <c r="V609" s="2" t="s">
        <v>2056</v>
      </c>
      <c r="W609" s="2" t="s">
        <v>2057</v>
      </c>
      <c r="X609">
        <v>13578.125</v>
      </c>
      <c r="Y609">
        <v>5.4999831223628656E-2</v>
      </c>
      <c r="Z609" s="2" t="s">
        <v>2058</v>
      </c>
    </row>
    <row r="610" spans="1:26" x14ac:dyDescent="0.3">
      <c r="A610" s="2" t="s">
        <v>1262</v>
      </c>
      <c r="B610" s="1">
        <v>45180</v>
      </c>
      <c r="C610" s="2" t="s">
        <v>1263</v>
      </c>
      <c r="D610" s="2" t="s">
        <v>18</v>
      </c>
      <c r="E610">
        <v>16504</v>
      </c>
      <c r="F610">
        <v>12.9</v>
      </c>
      <c r="G610">
        <v>60</v>
      </c>
      <c r="H610" s="2" t="s">
        <v>19</v>
      </c>
      <c r="I610" s="2" t="s">
        <v>20</v>
      </c>
      <c r="J610" s="2" t="s">
        <v>21</v>
      </c>
      <c r="K610">
        <v>41874</v>
      </c>
      <c r="L610" s="2" t="s">
        <v>33</v>
      </c>
      <c r="M610">
        <v>0.27</v>
      </c>
      <c r="N610">
        <v>0.94</v>
      </c>
      <c r="O610">
        <v>18633.02</v>
      </c>
      <c r="P610">
        <v>0</v>
      </c>
      <c r="Q610">
        <v>30</v>
      </c>
      <c r="R610">
        <v>10645.08</v>
      </c>
      <c r="S610">
        <v>27149.08</v>
      </c>
      <c r="T610">
        <v>2129.0200000000004</v>
      </c>
      <c r="U610">
        <v>0</v>
      </c>
      <c r="V610" s="2" t="s">
        <v>2056</v>
      </c>
      <c r="W610" s="2" t="s">
        <v>2057</v>
      </c>
      <c r="X610">
        <v>17741.8</v>
      </c>
      <c r="Y610">
        <v>0.12900024236548718</v>
      </c>
      <c r="Z610" s="2" t="s">
        <v>2058</v>
      </c>
    </row>
    <row r="611" spans="1:26" x14ac:dyDescent="0.3">
      <c r="A611" s="2" t="s">
        <v>1264</v>
      </c>
      <c r="B611" s="1">
        <v>44265</v>
      </c>
      <c r="C611" s="2" t="s">
        <v>1265</v>
      </c>
      <c r="D611" s="2" t="s">
        <v>40</v>
      </c>
      <c r="E611">
        <v>25089</v>
      </c>
      <c r="F611">
        <v>15.5</v>
      </c>
      <c r="G611">
        <v>36</v>
      </c>
      <c r="H611" s="2" t="s">
        <v>60</v>
      </c>
      <c r="I611" s="2" t="s">
        <v>57</v>
      </c>
      <c r="J611" s="2" t="s">
        <v>28</v>
      </c>
      <c r="K611">
        <v>123065</v>
      </c>
      <c r="L611" s="2" t="s">
        <v>33</v>
      </c>
      <c r="M611">
        <v>0.35</v>
      </c>
      <c r="N611">
        <v>0.63</v>
      </c>
      <c r="O611">
        <v>0</v>
      </c>
      <c r="P611">
        <v>0</v>
      </c>
      <c r="Q611">
        <v>60</v>
      </c>
      <c r="R611">
        <v>11666.385</v>
      </c>
      <c r="S611">
        <v>36755.385000000002</v>
      </c>
      <c r="T611">
        <v>-25089</v>
      </c>
      <c r="U611">
        <v>0</v>
      </c>
      <c r="V611" s="2" t="s">
        <v>2063</v>
      </c>
      <c r="W611" s="2" t="s">
        <v>2057</v>
      </c>
      <c r="X611">
        <v>32406.625</v>
      </c>
      <c r="Y611">
        <v>-1</v>
      </c>
      <c r="Z611" s="2" t="s">
        <v>2061</v>
      </c>
    </row>
    <row r="612" spans="1:26" x14ac:dyDescent="0.3">
      <c r="A612" s="2" t="s">
        <v>1266</v>
      </c>
      <c r="B612" s="1">
        <v>44742</v>
      </c>
      <c r="C612" s="2" t="s">
        <v>1267</v>
      </c>
      <c r="D612" s="2" t="s">
        <v>65</v>
      </c>
      <c r="E612">
        <v>37487</v>
      </c>
      <c r="F612">
        <v>15.2</v>
      </c>
      <c r="G612">
        <v>36</v>
      </c>
      <c r="H612" s="2" t="s">
        <v>19</v>
      </c>
      <c r="I612" s="2" t="s">
        <v>20</v>
      </c>
      <c r="J612" s="2" t="s">
        <v>37</v>
      </c>
      <c r="K612">
        <v>116402</v>
      </c>
      <c r="L612" s="2" t="s">
        <v>33</v>
      </c>
      <c r="M612">
        <v>0.36</v>
      </c>
      <c r="N612">
        <v>0.68</v>
      </c>
      <c r="O612">
        <v>43185.02</v>
      </c>
      <c r="P612">
        <v>0</v>
      </c>
      <c r="Q612">
        <v>44</v>
      </c>
      <c r="R612">
        <v>17094.072</v>
      </c>
      <c r="S612">
        <v>54581.072</v>
      </c>
      <c r="T612">
        <v>5698.0199999999968</v>
      </c>
      <c r="U612">
        <v>0</v>
      </c>
      <c r="V612" s="2" t="s">
        <v>2056</v>
      </c>
      <c r="W612" s="2" t="s">
        <v>2057</v>
      </c>
      <c r="X612">
        <v>47483.533300000003</v>
      </c>
      <c r="Y612">
        <v>0.15199989329634264</v>
      </c>
      <c r="Z612" s="2" t="s">
        <v>2061</v>
      </c>
    </row>
    <row r="613" spans="1:26" x14ac:dyDescent="0.3">
      <c r="A613" s="2" t="s">
        <v>1268</v>
      </c>
      <c r="B613" s="1">
        <v>44249</v>
      </c>
      <c r="C613" s="2" t="s">
        <v>1269</v>
      </c>
      <c r="D613" s="2" t="s">
        <v>25</v>
      </c>
      <c r="E613">
        <v>1302</v>
      </c>
      <c r="F613">
        <v>8.3000000000000007</v>
      </c>
      <c r="G613">
        <v>60</v>
      </c>
      <c r="H613" s="2" t="s">
        <v>81</v>
      </c>
      <c r="I613" s="2" t="s">
        <v>73</v>
      </c>
      <c r="J613" s="2" t="s">
        <v>47</v>
      </c>
      <c r="K613">
        <v>44079</v>
      </c>
      <c r="L613" s="2" t="s">
        <v>22</v>
      </c>
      <c r="M613">
        <v>0.44</v>
      </c>
      <c r="N613">
        <v>0.81</v>
      </c>
      <c r="O613">
        <v>399.41</v>
      </c>
      <c r="P613">
        <v>452.5</v>
      </c>
      <c r="Q613">
        <v>60</v>
      </c>
      <c r="R613">
        <v>540.33000000000004</v>
      </c>
      <c r="S613">
        <v>1842.33</v>
      </c>
      <c r="T613">
        <v>-450.08999999999992</v>
      </c>
      <c r="U613">
        <v>1</v>
      </c>
      <c r="V613" s="2" t="s">
        <v>2063</v>
      </c>
      <c r="W613" s="2" t="s">
        <v>2064</v>
      </c>
      <c r="X613">
        <v>900.55</v>
      </c>
      <c r="Y613">
        <v>-0.34569124423963127</v>
      </c>
      <c r="Z613" s="2" t="s">
        <v>2058</v>
      </c>
    </row>
    <row r="614" spans="1:26" x14ac:dyDescent="0.3">
      <c r="A614" s="2" t="s">
        <v>1270</v>
      </c>
      <c r="B614" s="1">
        <v>44401</v>
      </c>
      <c r="C614" s="2" t="s">
        <v>1271</v>
      </c>
      <c r="D614" s="2" t="s">
        <v>53</v>
      </c>
      <c r="E614">
        <v>32463</v>
      </c>
      <c r="F614">
        <v>17.899999999999999</v>
      </c>
      <c r="G614">
        <v>36</v>
      </c>
      <c r="H614" s="2" t="s">
        <v>19</v>
      </c>
      <c r="I614" s="2" t="s">
        <v>41</v>
      </c>
      <c r="J614" s="2" t="s">
        <v>37</v>
      </c>
      <c r="K614">
        <v>79850</v>
      </c>
      <c r="L614" s="2" t="s">
        <v>29</v>
      </c>
      <c r="M614">
        <v>0.23</v>
      </c>
      <c r="N614">
        <v>0.87</v>
      </c>
      <c r="O614">
        <v>38273.879999999997</v>
      </c>
      <c r="P614">
        <v>0</v>
      </c>
      <c r="Q614">
        <v>55</v>
      </c>
      <c r="R614">
        <v>17432.630999999998</v>
      </c>
      <c r="S614">
        <v>49895.630999999994</v>
      </c>
      <c r="T614">
        <v>5810.8799999999974</v>
      </c>
      <c r="U614">
        <v>0</v>
      </c>
      <c r="V614" s="2" t="s">
        <v>2056</v>
      </c>
      <c r="W614" s="2" t="s">
        <v>2062</v>
      </c>
      <c r="X614">
        <v>48423.974999999999</v>
      </c>
      <c r="Y614">
        <v>0.17900009241290077</v>
      </c>
      <c r="Z614" s="2" t="s">
        <v>2058</v>
      </c>
    </row>
    <row r="615" spans="1:26" x14ac:dyDescent="0.3">
      <c r="A615" s="2" t="s">
        <v>1272</v>
      </c>
      <c r="B615" s="1">
        <v>44322</v>
      </c>
      <c r="C615" s="2" t="s">
        <v>1273</v>
      </c>
      <c r="D615" s="2" t="s">
        <v>25</v>
      </c>
      <c r="E615">
        <v>30259</v>
      </c>
      <c r="F615">
        <v>5.9</v>
      </c>
      <c r="G615">
        <v>36</v>
      </c>
      <c r="H615" s="2" t="s">
        <v>26</v>
      </c>
      <c r="I615" s="2" t="s">
        <v>27</v>
      </c>
      <c r="J615" s="2" t="s">
        <v>47</v>
      </c>
      <c r="K615">
        <v>102779</v>
      </c>
      <c r="L615" s="2" t="s">
        <v>22</v>
      </c>
      <c r="M615">
        <v>0.37</v>
      </c>
      <c r="N615">
        <v>0.69</v>
      </c>
      <c r="O615">
        <v>2968.33</v>
      </c>
      <c r="P615">
        <v>0</v>
      </c>
      <c r="Q615">
        <v>58</v>
      </c>
      <c r="R615">
        <v>5355.8429999999998</v>
      </c>
      <c r="S615">
        <v>35614.843000000001</v>
      </c>
      <c r="T615">
        <v>-27290.67</v>
      </c>
      <c r="U615">
        <v>0</v>
      </c>
      <c r="V615" s="2" t="s">
        <v>2059</v>
      </c>
      <c r="W615" s="2" t="s">
        <v>2060</v>
      </c>
      <c r="X615">
        <v>14877.35</v>
      </c>
      <c r="Y615">
        <v>-0.90190257444066224</v>
      </c>
      <c r="Z615" s="2" t="s">
        <v>2061</v>
      </c>
    </row>
    <row r="616" spans="1:26" x14ac:dyDescent="0.3">
      <c r="A616" s="2" t="s">
        <v>1274</v>
      </c>
      <c r="B616" s="1">
        <v>44239</v>
      </c>
      <c r="C616" s="2" t="s">
        <v>1275</v>
      </c>
      <c r="D616" s="2" t="s">
        <v>56</v>
      </c>
      <c r="E616">
        <v>38208</v>
      </c>
      <c r="F616">
        <v>20.2</v>
      </c>
      <c r="G616">
        <v>36</v>
      </c>
      <c r="H616" s="2" t="s">
        <v>19</v>
      </c>
      <c r="I616" s="2" t="s">
        <v>57</v>
      </c>
      <c r="J616" s="2" t="s">
        <v>37</v>
      </c>
      <c r="K616">
        <v>125408</v>
      </c>
      <c r="L616" s="2" t="s">
        <v>22</v>
      </c>
      <c r="M616">
        <v>0.48</v>
      </c>
      <c r="N616">
        <v>0.64</v>
      </c>
      <c r="O616">
        <v>45926.02</v>
      </c>
      <c r="P616">
        <v>0</v>
      </c>
      <c r="Q616">
        <v>61</v>
      </c>
      <c r="R616">
        <v>23154.047999999999</v>
      </c>
      <c r="S616">
        <v>61362.047999999995</v>
      </c>
      <c r="T616">
        <v>7718.0199999999968</v>
      </c>
      <c r="U616">
        <v>0</v>
      </c>
      <c r="V616" s="2" t="s">
        <v>2056</v>
      </c>
      <c r="W616" s="2" t="s">
        <v>2057</v>
      </c>
      <c r="X616">
        <v>64316.800000000003</v>
      </c>
      <c r="Y616">
        <v>0.20200010469011717</v>
      </c>
      <c r="Z616" s="2" t="s">
        <v>2058</v>
      </c>
    </row>
    <row r="617" spans="1:26" x14ac:dyDescent="0.3">
      <c r="A617" s="2" t="s">
        <v>1276</v>
      </c>
      <c r="B617" s="1">
        <v>44307</v>
      </c>
      <c r="C617" s="2" t="s">
        <v>1277</v>
      </c>
      <c r="D617" s="2" t="s">
        <v>53</v>
      </c>
      <c r="E617">
        <v>31659</v>
      </c>
      <c r="F617">
        <v>23.9</v>
      </c>
      <c r="G617">
        <v>60</v>
      </c>
      <c r="H617" s="2" t="s">
        <v>26</v>
      </c>
      <c r="I617" s="2" t="s">
        <v>20</v>
      </c>
      <c r="J617" s="2" t="s">
        <v>32</v>
      </c>
      <c r="K617">
        <v>39018</v>
      </c>
      <c r="L617" s="2" t="s">
        <v>22</v>
      </c>
      <c r="M617">
        <v>0.39</v>
      </c>
      <c r="N617">
        <v>0.92</v>
      </c>
      <c r="O617">
        <v>13280.94</v>
      </c>
      <c r="P617">
        <v>0</v>
      </c>
      <c r="Q617">
        <v>58</v>
      </c>
      <c r="R617">
        <v>37832.504999999997</v>
      </c>
      <c r="S617">
        <v>69491.505000000005</v>
      </c>
      <c r="T617">
        <v>-18378.059999999998</v>
      </c>
      <c r="U617">
        <v>0</v>
      </c>
      <c r="V617" s="2" t="s">
        <v>2059</v>
      </c>
      <c r="W617" s="2" t="s">
        <v>2057</v>
      </c>
      <c r="X617">
        <v>63054.175000000003</v>
      </c>
      <c r="Y617">
        <v>-0.58050033165924375</v>
      </c>
      <c r="Z617" s="2" t="s">
        <v>2058</v>
      </c>
    </row>
    <row r="618" spans="1:26" x14ac:dyDescent="0.3">
      <c r="A618" s="2" t="s">
        <v>1278</v>
      </c>
      <c r="B618" s="1">
        <v>44957</v>
      </c>
      <c r="C618" s="2" t="s">
        <v>1279</v>
      </c>
      <c r="D618" s="2" t="s">
        <v>76</v>
      </c>
      <c r="E618">
        <v>36840</v>
      </c>
      <c r="F618">
        <v>11.8</v>
      </c>
      <c r="G618">
        <v>36</v>
      </c>
      <c r="H618" s="2" t="s">
        <v>19</v>
      </c>
      <c r="I618" s="2" t="s">
        <v>57</v>
      </c>
      <c r="J618" s="2" t="s">
        <v>28</v>
      </c>
      <c r="K618">
        <v>79500</v>
      </c>
      <c r="L618" s="2" t="s">
        <v>22</v>
      </c>
      <c r="M618">
        <v>0.3</v>
      </c>
      <c r="N618">
        <v>0.8</v>
      </c>
      <c r="O618">
        <v>41187.120000000003</v>
      </c>
      <c r="P618">
        <v>0</v>
      </c>
      <c r="Q618">
        <v>37</v>
      </c>
      <c r="R618">
        <v>13041.36</v>
      </c>
      <c r="S618">
        <v>49881.36</v>
      </c>
      <c r="T618">
        <v>4347.1200000000026</v>
      </c>
      <c r="U618">
        <v>0</v>
      </c>
      <c r="V618" s="2" t="s">
        <v>2056</v>
      </c>
      <c r="W618" s="2" t="s">
        <v>2057</v>
      </c>
      <c r="X618">
        <v>36226</v>
      </c>
      <c r="Y618">
        <v>0.11800000000000008</v>
      </c>
      <c r="Z618" s="2" t="s">
        <v>2061</v>
      </c>
    </row>
    <row r="619" spans="1:26" x14ac:dyDescent="0.3">
      <c r="A619" s="2" t="s">
        <v>1280</v>
      </c>
      <c r="B619" s="1">
        <v>45044</v>
      </c>
      <c r="C619" s="2" t="s">
        <v>1281</v>
      </c>
      <c r="D619" s="2" t="s">
        <v>65</v>
      </c>
      <c r="E619">
        <v>32890</v>
      </c>
      <c r="F619">
        <v>15.3</v>
      </c>
      <c r="G619">
        <v>36</v>
      </c>
      <c r="H619" s="2" t="s">
        <v>26</v>
      </c>
      <c r="I619" s="2" t="s">
        <v>73</v>
      </c>
      <c r="J619" s="2" t="s">
        <v>32</v>
      </c>
      <c r="K619">
        <v>42100</v>
      </c>
      <c r="L619" s="2" t="s">
        <v>29</v>
      </c>
      <c r="M619">
        <v>0.35</v>
      </c>
      <c r="N619">
        <v>0.55000000000000004</v>
      </c>
      <c r="O619">
        <v>8090.19</v>
      </c>
      <c r="P619">
        <v>0</v>
      </c>
      <c r="Q619">
        <v>34</v>
      </c>
      <c r="R619">
        <v>15096.51</v>
      </c>
      <c r="S619">
        <v>47986.51</v>
      </c>
      <c r="T619">
        <v>-24799.81</v>
      </c>
      <c r="U619">
        <v>0</v>
      </c>
      <c r="V619" s="2" t="s">
        <v>2059</v>
      </c>
      <c r="W619" s="2" t="s">
        <v>2064</v>
      </c>
      <c r="X619">
        <v>41934.75</v>
      </c>
      <c r="Y619">
        <v>-0.75402280328367288</v>
      </c>
      <c r="Z619" s="2" t="s">
        <v>2061</v>
      </c>
    </row>
    <row r="620" spans="1:26" x14ac:dyDescent="0.3">
      <c r="A620" s="2" t="s">
        <v>1282</v>
      </c>
      <c r="B620" s="1">
        <v>44291</v>
      </c>
      <c r="C620" s="2" t="s">
        <v>1283</v>
      </c>
      <c r="D620" s="2" t="s">
        <v>65</v>
      </c>
      <c r="E620">
        <v>14598</v>
      </c>
      <c r="F620">
        <v>12.6</v>
      </c>
      <c r="G620">
        <v>36</v>
      </c>
      <c r="H620" s="2" t="s">
        <v>19</v>
      </c>
      <c r="I620" s="2" t="s">
        <v>57</v>
      </c>
      <c r="J620" s="2" t="s">
        <v>28</v>
      </c>
      <c r="K620">
        <v>87021</v>
      </c>
      <c r="L620" s="2" t="s">
        <v>29</v>
      </c>
      <c r="M620">
        <v>0.4</v>
      </c>
      <c r="N620">
        <v>0.53</v>
      </c>
      <c r="O620">
        <v>16437.349999999999</v>
      </c>
      <c r="P620">
        <v>0</v>
      </c>
      <c r="Q620">
        <v>59</v>
      </c>
      <c r="R620">
        <v>5518.043999999999</v>
      </c>
      <c r="S620">
        <v>20116.043999999998</v>
      </c>
      <c r="T620">
        <v>1839.3499999999985</v>
      </c>
      <c r="U620">
        <v>0</v>
      </c>
      <c r="V620" s="2" t="s">
        <v>2056</v>
      </c>
      <c r="W620" s="2" t="s">
        <v>2057</v>
      </c>
      <c r="X620">
        <v>15327.9</v>
      </c>
      <c r="Y620">
        <v>0.1260001370050691</v>
      </c>
      <c r="Z620" s="2" t="s">
        <v>2061</v>
      </c>
    </row>
    <row r="621" spans="1:26" x14ac:dyDescent="0.3">
      <c r="A621" s="2" t="s">
        <v>1284</v>
      </c>
      <c r="B621" s="1">
        <v>45096</v>
      </c>
      <c r="C621" s="2" t="s">
        <v>1285</v>
      </c>
      <c r="D621" s="2" t="s">
        <v>72</v>
      </c>
      <c r="E621">
        <v>20508</v>
      </c>
      <c r="F621">
        <v>5.0999999999999996</v>
      </c>
      <c r="G621">
        <v>60</v>
      </c>
      <c r="H621" s="2" t="s">
        <v>81</v>
      </c>
      <c r="I621" s="2" t="s">
        <v>20</v>
      </c>
      <c r="J621" s="2" t="s">
        <v>21</v>
      </c>
      <c r="K621">
        <v>144995</v>
      </c>
      <c r="L621" s="2" t="s">
        <v>22</v>
      </c>
      <c r="M621">
        <v>0.34</v>
      </c>
      <c r="N621">
        <v>0.72</v>
      </c>
      <c r="O621">
        <v>2495.92</v>
      </c>
      <c r="P621">
        <v>3057.79</v>
      </c>
      <c r="Q621">
        <v>33</v>
      </c>
      <c r="R621">
        <v>5229.54</v>
      </c>
      <c r="S621">
        <v>25737.54</v>
      </c>
      <c r="T621">
        <v>-14954.29</v>
      </c>
      <c r="U621">
        <v>1</v>
      </c>
      <c r="V621" s="2" t="s">
        <v>2063</v>
      </c>
      <c r="W621" s="2" t="s">
        <v>2057</v>
      </c>
      <c r="X621">
        <v>8715.9</v>
      </c>
      <c r="Y621">
        <v>-0.72919299785449587</v>
      </c>
      <c r="Z621" s="2" t="s">
        <v>2061</v>
      </c>
    </row>
    <row r="622" spans="1:26" x14ac:dyDescent="0.3">
      <c r="A622" s="2" t="s">
        <v>1286</v>
      </c>
      <c r="B622" s="1">
        <v>44556</v>
      </c>
      <c r="C622" s="2" t="s">
        <v>1287</v>
      </c>
      <c r="D622" s="2" t="s">
        <v>25</v>
      </c>
      <c r="E622">
        <v>14380</v>
      </c>
      <c r="F622">
        <v>12.7</v>
      </c>
      <c r="G622">
        <v>36</v>
      </c>
      <c r="H622" s="2" t="s">
        <v>19</v>
      </c>
      <c r="I622" s="2" t="s">
        <v>57</v>
      </c>
      <c r="J622" s="2" t="s">
        <v>47</v>
      </c>
      <c r="K622">
        <v>49800</v>
      </c>
      <c r="L622" s="2" t="s">
        <v>33</v>
      </c>
      <c r="M622">
        <v>0.11</v>
      </c>
      <c r="N622">
        <v>0.6</v>
      </c>
      <c r="O622">
        <v>16206.26</v>
      </c>
      <c r="P622">
        <v>0</v>
      </c>
      <c r="Q622">
        <v>50</v>
      </c>
      <c r="R622">
        <v>5478.78</v>
      </c>
      <c r="S622">
        <v>19858.78</v>
      </c>
      <c r="T622">
        <v>1826.2600000000002</v>
      </c>
      <c r="U622">
        <v>0</v>
      </c>
      <c r="V622" s="2" t="s">
        <v>2056</v>
      </c>
      <c r="W622" s="2" t="s">
        <v>2057</v>
      </c>
      <c r="X622">
        <v>15218.8333</v>
      </c>
      <c r="Y622">
        <v>0.127</v>
      </c>
      <c r="Z622" s="2" t="s">
        <v>2061</v>
      </c>
    </row>
    <row r="623" spans="1:26" x14ac:dyDescent="0.3">
      <c r="A623" s="2" t="s">
        <v>1288</v>
      </c>
      <c r="B623" s="1">
        <v>45096</v>
      </c>
      <c r="C623" s="2" t="s">
        <v>1289</v>
      </c>
      <c r="D623" s="2" t="s">
        <v>50</v>
      </c>
      <c r="E623">
        <v>27984</v>
      </c>
      <c r="F623">
        <v>20.8</v>
      </c>
      <c r="G623">
        <v>36</v>
      </c>
      <c r="H623" s="2" t="s">
        <v>19</v>
      </c>
      <c r="I623" s="2" t="s">
        <v>57</v>
      </c>
      <c r="J623" s="2" t="s">
        <v>47</v>
      </c>
      <c r="K623">
        <v>93400</v>
      </c>
      <c r="L623" s="2" t="s">
        <v>29</v>
      </c>
      <c r="M623">
        <v>0.18</v>
      </c>
      <c r="N623">
        <v>0.61</v>
      </c>
      <c r="O623">
        <v>33804.67</v>
      </c>
      <c r="P623">
        <v>0</v>
      </c>
      <c r="Q623">
        <v>33</v>
      </c>
      <c r="R623">
        <v>17462.016</v>
      </c>
      <c r="S623">
        <v>45446.016000000003</v>
      </c>
      <c r="T623">
        <v>5820.6699999999983</v>
      </c>
      <c r="U623">
        <v>0</v>
      </c>
      <c r="V623" s="2" t="s">
        <v>2056</v>
      </c>
      <c r="W623" s="2" t="s">
        <v>2057</v>
      </c>
      <c r="X623">
        <v>48505.599999999999</v>
      </c>
      <c r="Y623">
        <v>0.20799992853058885</v>
      </c>
      <c r="Z623" s="2" t="s">
        <v>2061</v>
      </c>
    </row>
    <row r="624" spans="1:26" x14ac:dyDescent="0.3">
      <c r="A624" s="2" t="s">
        <v>1290</v>
      </c>
      <c r="B624" s="1">
        <v>44477</v>
      </c>
      <c r="C624" s="2" t="s">
        <v>1291</v>
      </c>
      <c r="D624" s="2" t="s">
        <v>65</v>
      </c>
      <c r="E624">
        <v>9125</v>
      </c>
      <c r="F624">
        <v>16.899999999999999</v>
      </c>
      <c r="G624">
        <v>60</v>
      </c>
      <c r="H624" s="2" t="s">
        <v>26</v>
      </c>
      <c r="I624" s="2" t="s">
        <v>36</v>
      </c>
      <c r="J624" s="2" t="s">
        <v>21</v>
      </c>
      <c r="K624">
        <v>122446</v>
      </c>
      <c r="L624" s="2" t="s">
        <v>22</v>
      </c>
      <c r="M624">
        <v>0.42</v>
      </c>
      <c r="N624">
        <v>0.89</v>
      </c>
      <c r="O624">
        <v>3684.51</v>
      </c>
      <c r="P624">
        <v>0</v>
      </c>
      <c r="Q624">
        <v>53</v>
      </c>
      <c r="R624">
        <v>7710.625</v>
      </c>
      <c r="S624">
        <v>16835.625</v>
      </c>
      <c r="T624">
        <v>-5440.49</v>
      </c>
      <c r="U624">
        <v>0</v>
      </c>
      <c r="V624" s="2" t="s">
        <v>2059</v>
      </c>
      <c r="W624" s="2" t="s">
        <v>2062</v>
      </c>
      <c r="X624">
        <v>12851.0417</v>
      </c>
      <c r="Y624">
        <v>-0.59621808219178085</v>
      </c>
      <c r="Z624" s="2" t="s">
        <v>2058</v>
      </c>
    </row>
    <row r="625" spans="1:26" x14ac:dyDescent="0.3">
      <c r="A625" s="2" t="s">
        <v>1292</v>
      </c>
      <c r="B625" s="1">
        <v>44863</v>
      </c>
      <c r="C625" s="2" t="s">
        <v>1293</v>
      </c>
      <c r="D625" s="2" t="s">
        <v>65</v>
      </c>
      <c r="E625">
        <v>37059</v>
      </c>
      <c r="F625">
        <v>7</v>
      </c>
      <c r="G625">
        <v>60</v>
      </c>
      <c r="H625" s="2" t="s">
        <v>19</v>
      </c>
      <c r="I625" s="2" t="s">
        <v>20</v>
      </c>
      <c r="J625" s="2" t="s">
        <v>37</v>
      </c>
      <c r="K625">
        <v>59437</v>
      </c>
      <c r="L625" s="2" t="s">
        <v>33</v>
      </c>
      <c r="M625">
        <v>0.21</v>
      </c>
      <c r="N625">
        <v>0.54</v>
      </c>
      <c r="O625">
        <v>39653.129999999997</v>
      </c>
      <c r="P625">
        <v>0</v>
      </c>
      <c r="Q625">
        <v>40</v>
      </c>
      <c r="R625">
        <v>12970.650000000001</v>
      </c>
      <c r="S625">
        <v>50029.65</v>
      </c>
      <c r="T625">
        <v>2594.1299999999974</v>
      </c>
      <c r="U625">
        <v>0</v>
      </c>
      <c r="V625" s="2" t="s">
        <v>2056</v>
      </c>
      <c r="W625" s="2" t="s">
        <v>2057</v>
      </c>
      <c r="X625">
        <v>21617.75</v>
      </c>
      <c r="Y625">
        <v>6.9999999999999923E-2</v>
      </c>
      <c r="Z625" s="2" t="s">
        <v>2061</v>
      </c>
    </row>
    <row r="626" spans="1:26" x14ac:dyDescent="0.3">
      <c r="A626" s="2" t="s">
        <v>1294</v>
      </c>
      <c r="B626" s="1">
        <v>44289</v>
      </c>
      <c r="C626" s="2" t="s">
        <v>1295</v>
      </c>
      <c r="D626" s="2" t="s">
        <v>56</v>
      </c>
      <c r="E626">
        <v>5033</v>
      </c>
      <c r="F626">
        <v>21.9</v>
      </c>
      <c r="G626">
        <v>36</v>
      </c>
      <c r="H626" s="2" t="s">
        <v>26</v>
      </c>
      <c r="I626" s="2" t="s">
        <v>20</v>
      </c>
      <c r="J626" s="2" t="s">
        <v>21</v>
      </c>
      <c r="K626">
        <v>133124</v>
      </c>
      <c r="L626" s="2" t="s">
        <v>33</v>
      </c>
      <c r="M626">
        <v>0.39</v>
      </c>
      <c r="N626">
        <v>0.82</v>
      </c>
      <c r="O626">
        <v>1105.3900000000001</v>
      </c>
      <c r="P626">
        <v>0</v>
      </c>
      <c r="Q626">
        <v>59</v>
      </c>
      <c r="R626">
        <v>3306.6809999999991</v>
      </c>
      <c r="S626">
        <v>8339.6809999999987</v>
      </c>
      <c r="T626">
        <v>-3927.6099999999997</v>
      </c>
      <c r="U626">
        <v>0</v>
      </c>
      <c r="V626" s="2" t="s">
        <v>2059</v>
      </c>
      <c r="W626" s="2" t="s">
        <v>2057</v>
      </c>
      <c r="X626">
        <v>9185.2250000000004</v>
      </c>
      <c r="Y626">
        <v>-0.78037154778462148</v>
      </c>
      <c r="Z626" s="2" t="s">
        <v>2058</v>
      </c>
    </row>
    <row r="627" spans="1:26" x14ac:dyDescent="0.3">
      <c r="A627" s="2" t="s">
        <v>1296</v>
      </c>
      <c r="B627" s="1">
        <v>44868</v>
      </c>
      <c r="C627" s="2" t="s">
        <v>1297</v>
      </c>
      <c r="D627" s="2" t="s">
        <v>46</v>
      </c>
      <c r="E627">
        <v>38873</v>
      </c>
      <c r="F627">
        <v>15.6</v>
      </c>
      <c r="G627">
        <v>36</v>
      </c>
      <c r="H627" s="2" t="s">
        <v>60</v>
      </c>
      <c r="I627" s="2" t="s">
        <v>20</v>
      </c>
      <c r="J627" s="2" t="s">
        <v>21</v>
      </c>
      <c r="K627">
        <v>106537</v>
      </c>
      <c r="L627" s="2" t="s">
        <v>22</v>
      </c>
      <c r="M627">
        <v>0.25</v>
      </c>
      <c r="N627">
        <v>0.62</v>
      </c>
      <c r="O627">
        <v>0</v>
      </c>
      <c r="P627">
        <v>0</v>
      </c>
      <c r="Q627">
        <v>40</v>
      </c>
      <c r="R627">
        <v>18192.563999999998</v>
      </c>
      <c r="S627">
        <v>57065.563999999998</v>
      </c>
      <c r="T627">
        <v>-38873</v>
      </c>
      <c r="U627">
        <v>0</v>
      </c>
      <c r="V627" s="2" t="s">
        <v>2063</v>
      </c>
      <c r="W627" s="2" t="s">
        <v>2057</v>
      </c>
      <c r="X627">
        <v>50534.9</v>
      </c>
      <c r="Y627">
        <v>-1</v>
      </c>
      <c r="Z627" s="2" t="s">
        <v>2061</v>
      </c>
    </row>
    <row r="628" spans="1:26" x14ac:dyDescent="0.3">
      <c r="A628" s="2" t="s">
        <v>1298</v>
      </c>
      <c r="B628" s="1">
        <v>44257</v>
      </c>
      <c r="C628" s="2" t="s">
        <v>1299</v>
      </c>
      <c r="D628" s="2" t="s">
        <v>56</v>
      </c>
      <c r="E628">
        <v>18087</v>
      </c>
      <c r="F628">
        <v>21.8</v>
      </c>
      <c r="G628">
        <v>60</v>
      </c>
      <c r="H628" s="2" t="s">
        <v>26</v>
      </c>
      <c r="I628" s="2" t="s">
        <v>57</v>
      </c>
      <c r="J628" s="2" t="s">
        <v>28</v>
      </c>
      <c r="K628">
        <v>76675</v>
      </c>
      <c r="L628" s="2" t="s">
        <v>29</v>
      </c>
      <c r="M628">
        <v>0.31</v>
      </c>
      <c r="N628">
        <v>0.84</v>
      </c>
      <c r="O628">
        <v>1721.26</v>
      </c>
      <c r="P628">
        <v>0</v>
      </c>
      <c r="Q628">
        <v>60</v>
      </c>
      <c r="R628">
        <v>19714.830000000002</v>
      </c>
      <c r="S628">
        <v>37801.83</v>
      </c>
      <c r="T628">
        <v>-16365.74</v>
      </c>
      <c r="U628">
        <v>0</v>
      </c>
      <c r="V628" s="2" t="s">
        <v>2059</v>
      </c>
      <c r="W628" s="2" t="s">
        <v>2057</v>
      </c>
      <c r="X628">
        <v>32858.050000000003</v>
      </c>
      <c r="Y628">
        <v>-0.90483441145574173</v>
      </c>
      <c r="Z628" s="2" t="s">
        <v>2058</v>
      </c>
    </row>
    <row r="629" spans="1:26" x14ac:dyDescent="0.3">
      <c r="A629" s="2" t="s">
        <v>1300</v>
      </c>
      <c r="B629" s="1">
        <v>44830</v>
      </c>
      <c r="C629" s="2" t="s">
        <v>1301</v>
      </c>
      <c r="D629" s="2" t="s">
        <v>56</v>
      </c>
      <c r="E629">
        <v>6704</v>
      </c>
      <c r="F629">
        <v>16.600000000000001</v>
      </c>
      <c r="G629">
        <v>60</v>
      </c>
      <c r="H629" s="2" t="s">
        <v>19</v>
      </c>
      <c r="I629" s="2" t="s">
        <v>27</v>
      </c>
      <c r="J629" s="2" t="s">
        <v>21</v>
      </c>
      <c r="K629">
        <v>49942</v>
      </c>
      <c r="L629" s="2" t="s">
        <v>33</v>
      </c>
      <c r="M629">
        <v>0.13</v>
      </c>
      <c r="N629">
        <v>0.83</v>
      </c>
      <c r="O629">
        <v>7816.86</v>
      </c>
      <c r="P629">
        <v>0</v>
      </c>
      <c r="Q629">
        <v>41</v>
      </c>
      <c r="R629">
        <v>5564.32</v>
      </c>
      <c r="S629">
        <v>12268.32</v>
      </c>
      <c r="T629">
        <v>1112.8599999999997</v>
      </c>
      <c r="U629">
        <v>0</v>
      </c>
      <c r="V629" s="2" t="s">
        <v>2056</v>
      </c>
      <c r="W629" s="2" t="s">
        <v>2060</v>
      </c>
      <c r="X629">
        <v>9273.8667000000005</v>
      </c>
      <c r="Y629">
        <v>0.16599940334128874</v>
      </c>
      <c r="Z629" s="2" t="s">
        <v>2058</v>
      </c>
    </row>
    <row r="630" spans="1:26" x14ac:dyDescent="0.3">
      <c r="A630" s="2" t="s">
        <v>1302</v>
      </c>
      <c r="B630" s="1">
        <v>45271</v>
      </c>
      <c r="C630" s="2" t="s">
        <v>1303</v>
      </c>
      <c r="D630" s="2" t="s">
        <v>46</v>
      </c>
      <c r="E630">
        <v>8848</v>
      </c>
      <c r="F630">
        <v>16.2</v>
      </c>
      <c r="G630">
        <v>60</v>
      </c>
      <c r="H630" s="2" t="s">
        <v>26</v>
      </c>
      <c r="I630" s="2" t="s">
        <v>27</v>
      </c>
      <c r="J630" s="2" t="s">
        <v>47</v>
      </c>
      <c r="K630">
        <v>50862</v>
      </c>
      <c r="L630" s="2" t="s">
        <v>29</v>
      </c>
      <c r="M630">
        <v>0.17</v>
      </c>
      <c r="N630">
        <v>0.5</v>
      </c>
      <c r="O630">
        <v>2965.85</v>
      </c>
      <c r="P630">
        <v>0</v>
      </c>
      <c r="Q630">
        <v>27</v>
      </c>
      <c r="R630">
        <v>7166.88</v>
      </c>
      <c r="S630">
        <v>16014.880000000001</v>
      </c>
      <c r="T630">
        <v>-5882.15</v>
      </c>
      <c r="U630">
        <v>0</v>
      </c>
      <c r="V630" s="2" t="s">
        <v>2059</v>
      </c>
      <c r="W630" s="2" t="s">
        <v>2060</v>
      </c>
      <c r="X630">
        <v>11944.8</v>
      </c>
      <c r="Y630">
        <v>-0.66479995479204335</v>
      </c>
      <c r="Z630" s="2" t="s">
        <v>2061</v>
      </c>
    </row>
    <row r="631" spans="1:26" x14ac:dyDescent="0.3">
      <c r="A631" s="2" t="s">
        <v>1304</v>
      </c>
      <c r="B631" s="1">
        <v>45225</v>
      </c>
      <c r="C631" s="2" t="s">
        <v>1305</v>
      </c>
      <c r="D631" s="2" t="s">
        <v>25</v>
      </c>
      <c r="E631">
        <v>22592</v>
      </c>
      <c r="F631">
        <v>7.1</v>
      </c>
      <c r="G631">
        <v>60</v>
      </c>
      <c r="H631" s="2" t="s">
        <v>26</v>
      </c>
      <c r="I631" s="2" t="s">
        <v>73</v>
      </c>
      <c r="J631" s="2" t="s">
        <v>32</v>
      </c>
      <c r="K631">
        <v>41669</v>
      </c>
      <c r="L631" s="2" t="s">
        <v>29</v>
      </c>
      <c r="M631">
        <v>0.48</v>
      </c>
      <c r="N631">
        <v>0.73</v>
      </c>
      <c r="O631">
        <v>10077.370000000001</v>
      </c>
      <c r="P631">
        <v>0</v>
      </c>
      <c r="Q631">
        <v>28</v>
      </c>
      <c r="R631">
        <v>8020.16</v>
      </c>
      <c r="S631">
        <v>30612.16</v>
      </c>
      <c r="T631">
        <v>-12514.63</v>
      </c>
      <c r="U631">
        <v>0</v>
      </c>
      <c r="V631" s="2" t="s">
        <v>2059</v>
      </c>
      <c r="W631" s="2" t="s">
        <v>2064</v>
      </c>
      <c r="X631">
        <v>13366.933300000001</v>
      </c>
      <c r="Y631">
        <v>-0.55394077549575071</v>
      </c>
      <c r="Z631" s="2" t="s">
        <v>2058</v>
      </c>
    </row>
    <row r="632" spans="1:26" x14ac:dyDescent="0.3">
      <c r="A632" s="2" t="s">
        <v>1306</v>
      </c>
      <c r="B632" s="1">
        <v>44800</v>
      </c>
      <c r="C632" s="2" t="s">
        <v>1307</v>
      </c>
      <c r="D632" s="2" t="s">
        <v>53</v>
      </c>
      <c r="E632">
        <v>7924</v>
      </c>
      <c r="F632">
        <v>8.3000000000000007</v>
      </c>
      <c r="G632">
        <v>60</v>
      </c>
      <c r="H632" s="2" t="s">
        <v>26</v>
      </c>
      <c r="I632" s="2" t="s">
        <v>27</v>
      </c>
      <c r="J632" s="2" t="s">
        <v>28</v>
      </c>
      <c r="K632">
        <v>83772</v>
      </c>
      <c r="L632" s="2" t="s">
        <v>33</v>
      </c>
      <c r="M632">
        <v>0.46</v>
      </c>
      <c r="N632">
        <v>0.56000000000000005</v>
      </c>
      <c r="O632">
        <v>3561.75</v>
      </c>
      <c r="P632">
        <v>0</v>
      </c>
      <c r="Q632">
        <v>42</v>
      </c>
      <c r="R632">
        <v>3288.4600000000005</v>
      </c>
      <c r="S632">
        <v>11212.460000000001</v>
      </c>
      <c r="T632">
        <v>-4362.25</v>
      </c>
      <c r="U632">
        <v>0</v>
      </c>
      <c r="V632" s="2" t="s">
        <v>2059</v>
      </c>
      <c r="W632" s="2" t="s">
        <v>2060</v>
      </c>
      <c r="X632">
        <v>5480.7667000000001</v>
      </c>
      <c r="Y632">
        <v>-0.55051110550227156</v>
      </c>
      <c r="Z632" s="2" t="s">
        <v>2058</v>
      </c>
    </row>
    <row r="633" spans="1:26" x14ac:dyDescent="0.3">
      <c r="A633" s="2" t="s">
        <v>1308</v>
      </c>
      <c r="B633" s="1">
        <v>44878</v>
      </c>
      <c r="C633" s="2" t="s">
        <v>1309</v>
      </c>
      <c r="D633" s="2" t="s">
        <v>40</v>
      </c>
      <c r="E633">
        <v>28208</v>
      </c>
      <c r="F633">
        <v>24.4</v>
      </c>
      <c r="G633">
        <v>60</v>
      </c>
      <c r="H633" s="2" t="s">
        <v>19</v>
      </c>
      <c r="I633" s="2" t="s">
        <v>57</v>
      </c>
      <c r="J633" s="2" t="s">
        <v>28</v>
      </c>
      <c r="K633">
        <v>45916</v>
      </c>
      <c r="L633" s="2" t="s">
        <v>22</v>
      </c>
      <c r="M633">
        <v>0.36</v>
      </c>
      <c r="N633">
        <v>0.89</v>
      </c>
      <c r="O633">
        <v>35090.75</v>
      </c>
      <c r="P633">
        <v>0</v>
      </c>
      <c r="Q633">
        <v>40</v>
      </c>
      <c r="R633">
        <v>34413.760000000002</v>
      </c>
      <c r="S633">
        <v>62621.760000000002</v>
      </c>
      <c r="T633">
        <v>6882.75</v>
      </c>
      <c r="U633">
        <v>0</v>
      </c>
      <c r="V633" s="2" t="s">
        <v>2056</v>
      </c>
      <c r="W633" s="2" t="s">
        <v>2057</v>
      </c>
      <c r="X633">
        <v>57356.2667</v>
      </c>
      <c r="Y633">
        <v>0.2439999290981282</v>
      </c>
      <c r="Z633" s="2" t="s">
        <v>2058</v>
      </c>
    </row>
    <row r="634" spans="1:26" x14ac:dyDescent="0.3">
      <c r="A634" s="2" t="s">
        <v>1310</v>
      </c>
      <c r="B634" s="1">
        <v>44730</v>
      </c>
      <c r="C634" s="2" t="s">
        <v>1311</v>
      </c>
      <c r="D634" s="2" t="s">
        <v>50</v>
      </c>
      <c r="E634">
        <v>20614</v>
      </c>
      <c r="F634">
        <v>9.6</v>
      </c>
      <c r="G634">
        <v>60</v>
      </c>
      <c r="H634" s="2" t="s">
        <v>19</v>
      </c>
      <c r="I634" s="2" t="s">
        <v>27</v>
      </c>
      <c r="J634" s="2" t="s">
        <v>37</v>
      </c>
      <c r="K634">
        <v>40878</v>
      </c>
      <c r="L634" s="2" t="s">
        <v>33</v>
      </c>
      <c r="M634">
        <v>0.28000000000000003</v>
      </c>
      <c r="N634">
        <v>0.89</v>
      </c>
      <c r="O634">
        <v>22592.94</v>
      </c>
      <c r="P634">
        <v>0</v>
      </c>
      <c r="Q634">
        <v>45</v>
      </c>
      <c r="R634">
        <v>9894.7199999999993</v>
      </c>
      <c r="S634">
        <v>30508.720000000001</v>
      </c>
      <c r="T634">
        <v>1978.9399999999987</v>
      </c>
      <c r="U634">
        <v>0</v>
      </c>
      <c r="V634" s="2" t="s">
        <v>2056</v>
      </c>
      <c r="W634" s="2" t="s">
        <v>2060</v>
      </c>
      <c r="X634">
        <v>16491.2</v>
      </c>
      <c r="Y634">
        <v>9.5999805957116463E-2</v>
      </c>
      <c r="Z634" s="2" t="s">
        <v>2058</v>
      </c>
    </row>
    <row r="635" spans="1:26" x14ac:dyDescent="0.3">
      <c r="A635" s="2" t="s">
        <v>1312</v>
      </c>
      <c r="B635" s="1">
        <v>45034</v>
      </c>
      <c r="C635" s="2" t="s">
        <v>1313</v>
      </c>
      <c r="D635" s="2" t="s">
        <v>65</v>
      </c>
      <c r="E635">
        <v>1488</v>
      </c>
      <c r="F635">
        <v>24.5</v>
      </c>
      <c r="G635">
        <v>36</v>
      </c>
      <c r="H635" s="2" t="s">
        <v>19</v>
      </c>
      <c r="I635" s="2" t="s">
        <v>20</v>
      </c>
      <c r="J635" s="2" t="s">
        <v>32</v>
      </c>
      <c r="K635">
        <v>32985</v>
      </c>
      <c r="L635" s="2" t="s">
        <v>33</v>
      </c>
      <c r="M635">
        <v>0.37</v>
      </c>
      <c r="N635">
        <v>0.69</v>
      </c>
      <c r="O635">
        <v>1852.56</v>
      </c>
      <c r="P635">
        <v>0</v>
      </c>
      <c r="Q635">
        <v>35</v>
      </c>
      <c r="R635">
        <v>1093.68</v>
      </c>
      <c r="S635">
        <v>2581.6800000000003</v>
      </c>
      <c r="T635">
        <v>364.55999999999995</v>
      </c>
      <c r="U635">
        <v>0</v>
      </c>
      <c r="V635" s="2" t="s">
        <v>2056</v>
      </c>
      <c r="W635" s="2" t="s">
        <v>2057</v>
      </c>
      <c r="X635">
        <v>3038</v>
      </c>
      <c r="Y635">
        <v>0.24499999999999997</v>
      </c>
      <c r="Z635" s="2" t="s">
        <v>2061</v>
      </c>
    </row>
    <row r="636" spans="1:26" x14ac:dyDescent="0.3">
      <c r="A636" s="2" t="s">
        <v>1314</v>
      </c>
      <c r="B636" s="1">
        <v>44841</v>
      </c>
      <c r="C636" s="2" t="s">
        <v>1315</v>
      </c>
      <c r="D636" s="2" t="s">
        <v>72</v>
      </c>
      <c r="E636">
        <v>26923</v>
      </c>
      <c r="F636">
        <v>15.6</v>
      </c>
      <c r="G636">
        <v>60</v>
      </c>
      <c r="H636" s="2" t="s">
        <v>19</v>
      </c>
      <c r="I636" s="2" t="s">
        <v>57</v>
      </c>
      <c r="J636" s="2" t="s">
        <v>28</v>
      </c>
      <c r="K636">
        <v>127905</v>
      </c>
      <c r="L636" s="2" t="s">
        <v>29</v>
      </c>
      <c r="M636">
        <v>0.35</v>
      </c>
      <c r="N636">
        <v>0.7</v>
      </c>
      <c r="O636">
        <v>31122.99</v>
      </c>
      <c r="P636">
        <v>0</v>
      </c>
      <c r="Q636">
        <v>41</v>
      </c>
      <c r="R636">
        <v>20999.940000000002</v>
      </c>
      <c r="S636">
        <v>47922.94</v>
      </c>
      <c r="T636">
        <v>4199.9900000000016</v>
      </c>
      <c r="U636">
        <v>0</v>
      </c>
      <c r="V636" s="2" t="s">
        <v>2056</v>
      </c>
      <c r="W636" s="2" t="s">
        <v>2057</v>
      </c>
      <c r="X636">
        <v>34999.9</v>
      </c>
      <c r="Y636">
        <v>0.1560000742859266</v>
      </c>
      <c r="Z636" s="2" t="s">
        <v>2061</v>
      </c>
    </row>
    <row r="637" spans="1:26" x14ac:dyDescent="0.3">
      <c r="A637" s="2" t="s">
        <v>1316</v>
      </c>
      <c r="B637" s="1">
        <v>44429</v>
      </c>
      <c r="C637" s="2" t="s">
        <v>1317</v>
      </c>
      <c r="D637" s="2" t="s">
        <v>50</v>
      </c>
      <c r="E637">
        <v>36941</v>
      </c>
      <c r="F637">
        <v>7.7</v>
      </c>
      <c r="G637">
        <v>60</v>
      </c>
      <c r="H637" s="2" t="s">
        <v>19</v>
      </c>
      <c r="I637" s="2" t="s">
        <v>84</v>
      </c>
      <c r="J637" s="2" t="s">
        <v>21</v>
      </c>
      <c r="K637">
        <v>103648</v>
      </c>
      <c r="L637" s="2" t="s">
        <v>22</v>
      </c>
      <c r="M637">
        <v>0.33</v>
      </c>
      <c r="N637">
        <v>0.64</v>
      </c>
      <c r="O637">
        <v>39785.46</v>
      </c>
      <c r="P637">
        <v>0</v>
      </c>
      <c r="Q637">
        <v>54</v>
      </c>
      <c r="R637">
        <v>14222.285000000002</v>
      </c>
      <c r="S637">
        <v>51163.285000000003</v>
      </c>
      <c r="T637">
        <v>2844.4599999999991</v>
      </c>
      <c r="U637">
        <v>0</v>
      </c>
      <c r="V637" s="2" t="s">
        <v>2056</v>
      </c>
      <c r="W637" s="2" t="s">
        <v>2062</v>
      </c>
      <c r="X637">
        <v>23703.808300000001</v>
      </c>
      <c r="Y637">
        <v>7.7000081210579011E-2</v>
      </c>
      <c r="Z637" s="2" t="s">
        <v>2061</v>
      </c>
    </row>
    <row r="638" spans="1:26" x14ac:dyDescent="0.3">
      <c r="A638" s="2" t="s">
        <v>1318</v>
      </c>
      <c r="B638" s="1">
        <v>44720</v>
      </c>
      <c r="C638" s="2" t="s">
        <v>1319</v>
      </c>
      <c r="D638" s="2" t="s">
        <v>53</v>
      </c>
      <c r="E638">
        <v>30165</v>
      </c>
      <c r="F638">
        <v>7</v>
      </c>
      <c r="G638">
        <v>36</v>
      </c>
      <c r="H638" s="2" t="s">
        <v>19</v>
      </c>
      <c r="I638" s="2" t="s">
        <v>84</v>
      </c>
      <c r="J638" s="2" t="s">
        <v>28</v>
      </c>
      <c r="K638">
        <v>71235</v>
      </c>
      <c r="L638" s="2" t="s">
        <v>29</v>
      </c>
      <c r="M638">
        <v>0.12</v>
      </c>
      <c r="N638">
        <v>0.82</v>
      </c>
      <c r="O638">
        <v>32276.55</v>
      </c>
      <c r="P638">
        <v>0</v>
      </c>
      <c r="Q638">
        <v>45</v>
      </c>
      <c r="R638">
        <v>6334.6500000000005</v>
      </c>
      <c r="S638">
        <v>36499.65</v>
      </c>
      <c r="T638">
        <v>2111.5499999999993</v>
      </c>
      <c r="U638">
        <v>0</v>
      </c>
      <c r="V638" s="2" t="s">
        <v>2056</v>
      </c>
      <c r="W638" s="2" t="s">
        <v>2062</v>
      </c>
      <c r="X638">
        <v>17596.251199999999</v>
      </c>
      <c r="Y638">
        <v>6.9999999999999979E-2</v>
      </c>
      <c r="Z638" s="2" t="s">
        <v>2058</v>
      </c>
    </row>
    <row r="639" spans="1:26" x14ac:dyDescent="0.3">
      <c r="A639" s="2" t="s">
        <v>1320</v>
      </c>
      <c r="B639" s="1">
        <v>44542</v>
      </c>
      <c r="C639" s="2" t="s">
        <v>1321</v>
      </c>
      <c r="D639" s="2" t="s">
        <v>46</v>
      </c>
      <c r="E639">
        <v>2667</v>
      </c>
      <c r="F639">
        <v>9.1999999999999993</v>
      </c>
      <c r="G639">
        <v>60</v>
      </c>
      <c r="H639" s="2" t="s">
        <v>26</v>
      </c>
      <c r="I639" s="2" t="s">
        <v>27</v>
      </c>
      <c r="J639" s="2" t="s">
        <v>28</v>
      </c>
      <c r="K639">
        <v>48931</v>
      </c>
      <c r="L639" s="2" t="s">
        <v>33</v>
      </c>
      <c r="M639">
        <v>0.35</v>
      </c>
      <c r="N639">
        <v>0.66</v>
      </c>
      <c r="O639">
        <v>1282.69</v>
      </c>
      <c r="P639">
        <v>0</v>
      </c>
      <c r="Q639">
        <v>51</v>
      </c>
      <c r="R639">
        <v>1226.82</v>
      </c>
      <c r="S639">
        <v>3893.8199999999997</v>
      </c>
      <c r="T639">
        <v>-1384.31</v>
      </c>
      <c r="U639">
        <v>0</v>
      </c>
      <c r="V639" s="2" t="s">
        <v>2059</v>
      </c>
      <c r="W639" s="2" t="s">
        <v>2060</v>
      </c>
      <c r="X639">
        <v>2044.7</v>
      </c>
      <c r="Y639">
        <v>-0.51905136857892764</v>
      </c>
      <c r="Z639" s="2" t="s">
        <v>2061</v>
      </c>
    </row>
    <row r="640" spans="1:26" x14ac:dyDescent="0.3">
      <c r="A640" s="2" t="s">
        <v>1322</v>
      </c>
      <c r="B640" s="1">
        <v>45266</v>
      </c>
      <c r="C640" s="2" t="s">
        <v>1323</v>
      </c>
      <c r="D640" s="2" t="s">
        <v>50</v>
      </c>
      <c r="E640">
        <v>27213</v>
      </c>
      <c r="F640">
        <v>23.5</v>
      </c>
      <c r="G640">
        <v>60</v>
      </c>
      <c r="H640" s="2" t="s">
        <v>81</v>
      </c>
      <c r="I640" s="2" t="s">
        <v>20</v>
      </c>
      <c r="J640" s="2" t="s">
        <v>28</v>
      </c>
      <c r="K640">
        <v>122876</v>
      </c>
      <c r="L640" s="2" t="s">
        <v>22</v>
      </c>
      <c r="M640">
        <v>0.41</v>
      </c>
      <c r="N640">
        <v>0.62</v>
      </c>
      <c r="O640">
        <v>9805.16</v>
      </c>
      <c r="P640">
        <v>8501.7099999999991</v>
      </c>
      <c r="Q640">
        <v>27</v>
      </c>
      <c r="R640">
        <v>31975.275000000005</v>
      </c>
      <c r="S640">
        <v>59188.275000000009</v>
      </c>
      <c r="T640">
        <v>-8906.130000000001</v>
      </c>
      <c r="U640">
        <v>1</v>
      </c>
      <c r="V640" s="2" t="s">
        <v>2063</v>
      </c>
      <c r="W640" s="2" t="s">
        <v>2057</v>
      </c>
      <c r="X640">
        <v>53292.125</v>
      </c>
      <c r="Y640">
        <v>-0.32727483188182122</v>
      </c>
      <c r="Z640" s="2" t="s">
        <v>2058</v>
      </c>
    </row>
    <row r="641" spans="1:26" x14ac:dyDescent="0.3">
      <c r="A641" s="2" t="s">
        <v>1324</v>
      </c>
      <c r="B641" s="1">
        <v>44742</v>
      </c>
      <c r="C641" s="2" t="s">
        <v>1325</v>
      </c>
      <c r="D641" s="2" t="s">
        <v>65</v>
      </c>
      <c r="E641">
        <v>5114</v>
      </c>
      <c r="F641">
        <v>13.3</v>
      </c>
      <c r="G641">
        <v>36</v>
      </c>
      <c r="H641" s="2" t="s">
        <v>26</v>
      </c>
      <c r="I641" s="2" t="s">
        <v>20</v>
      </c>
      <c r="J641" s="2" t="s">
        <v>37</v>
      </c>
      <c r="K641">
        <v>30336</v>
      </c>
      <c r="L641" s="2" t="s">
        <v>22</v>
      </c>
      <c r="M641">
        <v>0.5</v>
      </c>
      <c r="N641">
        <v>0.69</v>
      </c>
      <c r="O641">
        <v>260.63</v>
      </c>
      <c r="P641">
        <v>0</v>
      </c>
      <c r="Q641">
        <v>44</v>
      </c>
      <c r="R641">
        <v>2040.4859999999999</v>
      </c>
      <c r="S641">
        <v>7154.4859999999999</v>
      </c>
      <c r="T641">
        <v>-4853.37</v>
      </c>
      <c r="U641">
        <v>0</v>
      </c>
      <c r="V641" s="2" t="s">
        <v>2059</v>
      </c>
      <c r="W641" s="2" t="s">
        <v>2057</v>
      </c>
      <c r="X641">
        <v>5668.0167000000001</v>
      </c>
      <c r="Y641">
        <v>-0.94903597966366837</v>
      </c>
      <c r="Z641" s="2" t="s">
        <v>2058</v>
      </c>
    </row>
    <row r="642" spans="1:26" x14ac:dyDescent="0.3">
      <c r="A642" s="2" t="s">
        <v>1326</v>
      </c>
      <c r="B642" s="1">
        <v>44990</v>
      </c>
      <c r="C642" s="2" t="s">
        <v>1327</v>
      </c>
      <c r="D642" s="2" t="s">
        <v>50</v>
      </c>
      <c r="E642">
        <v>37321</v>
      </c>
      <c r="F642">
        <v>12.9</v>
      </c>
      <c r="G642">
        <v>60</v>
      </c>
      <c r="H642" s="2" t="s">
        <v>19</v>
      </c>
      <c r="I642" s="2" t="s">
        <v>41</v>
      </c>
      <c r="J642" s="2" t="s">
        <v>28</v>
      </c>
      <c r="K642">
        <v>72933</v>
      </c>
      <c r="L642" s="2" t="s">
        <v>22</v>
      </c>
      <c r="M642">
        <v>0.1</v>
      </c>
      <c r="N642">
        <v>0.54</v>
      </c>
      <c r="O642">
        <v>42135.41</v>
      </c>
      <c r="P642">
        <v>0</v>
      </c>
      <c r="Q642">
        <v>36</v>
      </c>
      <c r="R642">
        <v>24072.045000000002</v>
      </c>
      <c r="S642">
        <v>61393.044999999998</v>
      </c>
      <c r="T642">
        <v>4814.4100000000035</v>
      </c>
      <c r="U642">
        <v>0</v>
      </c>
      <c r="V642" s="2" t="s">
        <v>2056</v>
      </c>
      <c r="W642" s="2" t="s">
        <v>2062</v>
      </c>
      <c r="X642">
        <v>40120.074999999997</v>
      </c>
      <c r="Y642">
        <v>0.12900002679456615</v>
      </c>
      <c r="Z642" s="2" t="s">
        <v>2061</v>
      </c>
    </row>
    <row r="643" spans="1:26" x14ac:dyDescent="0.3">
      <c r="A643" s="2" t="s">
        <v>1328</v>
      </c>
      <c r="B643" s="1">
        <v>44445</v>
      </c>
      <c r="C643" s="2" t="s">
        <v>1329</v>
      </c>
      <c r="D643" s="2" t="s">
        <v>40</v>
      </c>
      <c r="E643">
        <v>8761</v>
      </c>
      <c r="F643">
        <v>11.3</v>
      </c>
      <c r="G643">
        <v>36</v>
      </c>
      <c r="H643" s="2" t="s">
        <v>19</v>
      </c>
      <c r="I643" s="2" t="s">
        <v>20</v>
      </c>
      <c r="J643" s="2" t="s">
        <v>28</v>
      </c>
      <c r="K643">
        <v>114899</v>
      </c>
      <c r="L643" s="2" t="s">
        <v>22</v>
      </c>
      <c r="M643">
        <v>0.39</v>
      </c>
      <c r="N643">
        <v>0.84</v>
      </c>
      <c r="O643">
        <v>9750.99</v>
      </c>
      <c r="P643">
        <v>0</v>
      </c>
      <c r="Q643">
        <v>54</v>
      </c>
      <c r="R643">
        <v>2969.9789999999998</v>
      </c>
      <c r="S643">
        <v>11730.978999999999</v>
      </c>
      <c r="T643">
        <v>989.98999999999978</v>
      </c>
      <c r="U643">
        <v>0</v>
      </c>
      <c r="V643" s="2" t="s">
        <v>2056</v>
      </c>
      <c r="W643" s="2" t="s">
        <v>2057</v>
      </c>
      <c r="X643">
        <v>8249.9416999999994</v>
      </c>
      <c r="Y643">
        <v>0.11299965757333635</v>
      </c>
      <c r="Z643" s="2" t="s">
        <v>2058</v>
      </c>
    </row>
    <row r="644" spans="1:26" x14ac:dyDescent="0.3">
      <c r="A644" s="2" t="s">
        <v>1330</v>
      </c>
      <c r="B644" s="1">
        <v>44243</v>
      </c>
      <c r="C644" s="2" t="s">
        <v>1331</v>
      </c>
      <c r="D644" s="2" t="s">
        <v>46</v>
      </c>
      <c r="E644">
        <v>32116</v>
      </c>
      <c r="F644">
        <v>7.9</v>
      </c>
      <c r="G644">
        <v>36</v>
      </c>
      <c r="H644" s="2" t="s">
        <v>60</v>
      </c>
      <c r="I644" s="2" t="s">
        <v>20</v>
      </c>
      <c r="J644" s="2" t="s">
        <v>37</v>
      </c>
      <c r="K644">
        <v>75536</v>
      </c>
      <c r="L644" s="2" t="s">
        <v>22</v>
      </c>
      <c r="M644">
        <v>0.33</v>
      </c>
      <c r="N644">
        <v>0.51</v>
      </c>
      <c r="O644">
        <v>0</v>
      </c>
      <c r="P644">
        <v>0</v>
      </c>
      <c r="Q644">
        <v>61</v>
      </c>
      <c r="R644">
        <v>7611.4920000000011</v>
      </c>
      <c r="S644">
        <v>39727.491999999998</v>
      </c>
      <c r="T644">
        <v>-32116</v>
      </c>
      <c r="U644">
        <v>0</v>
      </c>
      <c r="V644" s="2" t="s">
        <v>2063</v>
      </c>
      <c r="W644" s="2" t="s">
        <v>2057</v>
      </c>
      <c r="X644">
        <v>21143.033599999999</v>
      </c>
      <c r="Y644">
        <v>-1</v>
      </c>
      <c r="Z644" s="2" t="s">
        <v>2061</v>
      </c>
    </row>
    <row r="645" spans="1:26" x14ac:dyDescent="0.3">
      <c r="A645" s="2" t="s">
        <v>1332</v>
      </c>
      <c r="B645" s="1">
        <v>44410</v>
      </c>
      <c r="C645" s="2" t="s">
        <v>1333</v>
      </c>
      <c r="D645" s="2" t="s">
        <v>50</v>
      </c>
      <c r="E645">
        <v>34768</v>
      </c>
      <c r="F645">
        <v>14.8</v>
      </c>
      <c r="G645">
        <v>36</v>
      </c>
      <c r="H645" s="2" t="s">
        <v>60</v>
      </c>
      <c r="I645" s="2" t="s">
        <v>20</v>
      </c>
      <c r="J645" s="2" t="s">
        <v>32</v>
      </c>
      <c r="K645">
        <v>99504</v>
      </c>
      <c r="L645" s="2" t="s">
        <v>33</v>
      </c>
      <c r="M645">
        <v>0.27</v>
      </c>
      <c r="N645">
        <v>0.79</v>
      </c>
      <c r="O645">
        <v>0</v>
      </c>
      <c r="P645">
        <v>0</v>
      </c>
      <c r="Q645">
        <v>55</v>
      </c>
      <c r="R645">
        <v>15436.992000000004</v>
      </c>
      <c r="S645">
        <v>50204.992000000006</v>
      </c>
      <c r="T645">
        <v>-34768</v>
      </c>
      <c r="U645">
        <v>0</v>
      </c>
      <c r="V645" s="2" t="s">
        <v>2063</v>
      </c>
      <c r="W645" s="2" t="s">
        <v>2057</v>
      </c>
      <c r="X645">
        <v>42880.533300000003</v>
      </c>
      <c r="Y645">
        <v>-1</v>
      </c>
      <c r="Z645" s="2" t="s">
        <v>2061</v>
      </c>
    </row>
    <row r="646" spans="1:26" x14ac:dyDescent="0.3">
      <c r="A646" s="2" t="s">
        <v>1334</v>
      </c>
      <c r="B646" s="1">
        <v>44435</v>
      </c>
      <c r="C646" s="2" t="s">
        <v>1335</v>
      </c>
      <c r="D646" s="2" t="s">
        <v>65</v>
      </c>
      <c r="E646">
        <v>26426</v>
      </c>
      <c r="F646">
        <v>7.6</v>
      </c>
      <c r="G646">
        <v>36</v>
      </c>
      <c r="H646" s="2" t="s">
        <v>81</v>
      </c>
      <c r="I646" s="2" t="s">
        <v>57</v>
      </c>
      <c r="J646" s="2" t="s">
        <v>47</v>
      </c>
      <c r="K646">
        <v>129214</v>
      </c>
      <c r="L646" s="2" t="s">
        <v>33</v>
      </c>
      <c r="M646">
        <v>0.15</v>
      </c>
      <c r="N646">
        <v>0.57999999999999996</v>
      </c>
      <c r="O646">
        <v>5657.08</v>
      </c>
      <c r="P646">
        <v>8575.9699999999993</v>
      </c>
      <c r="Q646">
        <v>54</v>
      </c>
      <c r="R646">
        <v>6025.1279999999997</v>
      </c>
      <c r="S646">
        <v>32451.128000000001</v>
      </c>
      <c r="T646">
        <v>-12192.95</v>
      </c>
      <c r="U646">
        <v>1</v>
      </c>
      <c r="V646" s="2" t="s">
        <v>2063</v>
      </c>
      <c r="W646" s="2" t="s">
        <v>2057</v>
      </c>
      <c r="X646">
        <v>16736.467000000001</v>
      </c>
      <c r="Y646">
        <v>-0.46139975781427384</v>
      </c>
      <c r="Z646" s="2" t="s">
        <v>2061</v>
      </c>
    </row>
    <row r="647" spans="1:26" x14ac:dyDescent="0.3">
      <c r="A647" s="2" t="s">
        <v>1336</v>
      </c>
      <c r="B647" s="1">
        <v>45276</v>
      </c>
      <c r="C647" s="2" t="s">
        <v>1337</v>
      </c>
      <c r="D647" s="2" t="s">
        <v>65</v>
      </c>
      <c r="E647">
        <v>18772</v>
      </c>
      <c r="F647">
        <v>21.7</v>
      </c>
      <c r="G647">
        <v>60</v>
      </c>
      <c r="H647" s="2" t="s">
        <v>26</v>
      </c>
      <c r="I647" s="2" t="s">
        <v>20</v>
      </c>
      <c r="J647" s="2" t="s">
        <v>37</v>
      </c>
      <c r="K647">
        <v>81148</v>
      </c>
      <c r="L647" s="2" t="s">
        <v>33</v>
      </c>
      <c r="M647">
        <v>0.26</v>
      </c>
      <c r="N647">
        <v>0.6</v>
      </c>
      <c r="O647">
        <v>7853.16</v>
      </c>
      <c r="P647">
        <v>0</v>
      </c>
      <c r="Q647">
        <v>27</v>
      </c>
      <c r="R647">
        <v>20367.62</v>
      </c>
      <c r="S647">
        <v>39139.619999999995</v>
      </c>
      <c r="T647">
        <v>-10918.84</v>
      </c>
      <c r="U647">
        <v>0</v>
      </c>
      <c r="V647" s="2" t="s">
        <v>2059</v>
      </c>
      <c r="W647" s="2" t="s">
        <v>2057</v>
      </c>
      <c r="X647">
        <v>33946.033300000003</v>
      </c>
      <c r="Y647">
        <v>-0.58165565736202851</v>
      </c>
      <c r="Z647" s="2" t="s">
        <v>2061</v>
      </c>
    </row>
    <row r="648" spans="1:26" x14ac:dyDescent="0.3">
      <c r="A648" s="2" t="s">
        <v>1338</v>
      </c>
      <c r="B648" s="1">
        <v>44546</v>
      </c>
      <c r="C648" s="2" t="s">
        <v>1339</v>
      </c>
      <c r="D648" s="2" t="s">
        <v>50</v>
      </c>
      <c r="E648">
        <v>39218</v>
      </c>
      <c r="F648">
        <v>12.4</v>
      </c>
      <c r="G648">
        <v>36</v>
      </c>
      <c r="H648" s="2" t="s">
        <v>19</v>
      </c>
      <c r="I648" s="2" t="s">
        <v>73</v>
      </c>
      <c r="J648" s="2" t="s">
        <v>37</v>
      </c>
      <c r="K648">
        <v>143936</v>
      </c>
      <c r="L648" s="2" t="s">
        <v>29</v>
      </c>
      <c r="M648">
        <v>0.24</v>
      </c>
      <c r="N648">
        <v>0.79</v>
      </c>
      <c r="O648">
        <v>44081.03</v>
      </c>
      <c r="P648">
        <v>0</v>
      </c>
      <c r="Q648">
        <v>51</v>
      </c>
      <c r="R648">
        <v>14589.096</v>
      </c>
      <c r="S648">
        <v>53807.095999999998</v>
      </c>
      <c r="T648">
        <v>4863.0299999999988</v>
      </c>
      <c r="U648">
        <v>0</v>
      </c>
      <c r="V648" s="2" t="s">
        <v>2056</v>
      </c>
      <c r="W648" s="2" t="s">
        <v>2064</v>
      </c>
      <c r="X648">
        <v>40525.2667</v>
      </c>
      <c r="Y648">
        <v>0.12399994900300879</v>
      </c>
      <c r="Z648" s="2" t="s">
        <v>2061</v>
      </c>
    </row>
    <row r="649" spans="1:26" x14ac:dyDescent="0.3">
      <c r="A649" s="2" t="s">
        <v>1340</v>
      </c>
      <c r="B649" s="1">
        <v>44303</v>
      </c>
      <c r="C649" s="2" t="s">
        <v>1341</v>
      </c>
      <c r="D649" s="2" t="s">
        <v>25</v>
      </c>
      <c r="E649">
        <v>4712</v>
      </c>
      <c r="F649">
        <v>12.5</v>
      </c>
      <c r="G649">
        <v>36</v>
      </c>
      <c r="H649" s="2" t="s">
        <v>26</v>
      </c>
      <c r="I649" s="2" t="s">
        <v>73</v>
      </c>
      <c r="J649" s="2" t="s">
        <v>28</v>
      </c>
      <c r="K649">
        <v>46279</v>
      </c>
      <c r="L649" s="2" t="s">
        <v>22</v>
      </c>
      <c r="M649">
        <v>0.22</v>
      </c>
      <c r="N649">
        <v>0.95</v>
      </c>
      <c r="O649">
        <v>1012.2</v>
      </c>
      <c r="P649">
        <v>0</v>
      </c>
      <c r="Q649">
        <v>59</v>
      </c>
      <c r="R649">
        <v>1767</v>
      </c>
      <c r="S649">
        <v>6479</v>
      </c>
      <c r="T649">
        <v>-3699.8</v>
      </c>
      <c r="U649">
        <v>0</v>
      </c>
      <c r="V649" s="2" t="s">
        <v>2059</v>
      </c>
      <c r="W649" s="2" t="s">
        <v>2064</v>
      </c>
      <c r="X649">
        <v>4908.3333000000002</v>
      </c>
      <c r="Y649">
        <v>-0.7851867572156197</v>
      </c>
      <c r="Z649" s="2" t="s">
        <v>2058</v>
      </c>
    </row>
    <row r="650" spans="1:26" x14ac:dyDescent="0.3">
      <c r="A650" s="2" t="s">
        <v>1342</v>
      </c>
      <c r="B650" s="1">
        <v>45027</v>
      </c>
      <c r="C650" s="2" t="s">
        <v>1343</v>
      </c>
      <c r="D650" s="2" t="s">
        <v>72</v>
      </c>
      <c r="E650">
        <v>2367</v>
      </c>
      <c r="F650">
        <v>14.5</v>
      </c>
      <c r="G650">
        <v>60</v>
      </c>
      <c r="H650" s="2" t="s">
        <v>19</v>
      </c>
      <c r="I650" s="2" t="s">
        <v>36</v>
      </c>
      <c r="J650" s="2" t="s">
        <v>28</v>
      </c>
      <c r="K650">
        <v>98665</v>
      </c>
      <c r="L650" s="2" t="s">
        <v>22</v>
      </c>
      <c r="M650">
        <v>0.39</v>
      </c>
      <c r="N650">
        <v>0.85</v>
      </c>
      <c r="O650">
        <v>2710.22</v>
      </c>
      <c r="P650">
        <v>0</v>
      </c>
      <c r="Q650">
        <v>35</v>
      </c>
      <c r="R650">
        <v>1716.0749999999998</v>
      </c>
      <c r="S650">
        <v>4083.0749999999998</v>
      </c>
      <c r="T650">
        <v>343.2199999999998</v>
      </c>
      <c r="U650">
        <v>0</v>
      </c>
      <c r="V650" s="2" t="s">
        <v>2056</v>
      </c>
      <c r="W650" s="2" t="s">
        <v>2062</v>
      </c>
      <c r="X650">
        <v>2860.125</v>
      </c>
      <c r="Y650">
        <v>0.14500211237853816</v>
      </c>
      <c r="Z650" s="2" t="s">
        <v>2058</v>
      </c>
    </row>
    <row r="651" spans="1:26" x14ac:dyDescent="0.3">
      <c r="A651" s="2" t="s">
        <v>1344</v>
      </c>
      <c r="B651" s="1">
        <v>44244</v>
      </c>
      <c r="C651" s="2" t="s">
        <v>1345</v>
      </c>
      <c r="D651" s="2" t="s">
        <v>18</v>
      </c>
      <c r="E651">
        <v>27200</v>
      </c>
      <c r="F651">
        <v>13.9</v>
      </c>
      <c r="G651">
        <v>36</v>
      </c>
      <c r="H651" s="2" t="s">
        <v>19</v>
      </c>
      <c r="I651" s="2" t="s">
        <v>20</v>
      </c>
      <c r="J651" s="2" t="s">
        <v>47</v>
      </c>
      <c r="K651">
        <v>133751</v>
      </c>
      <c r="L651" s="2" t="s">
        <v>33</v>
      </c>
      <c r="M651">
        <v>0.38</v>
      </c>
      <c r="N651">
        <v>0.6</v>
      </c>
      <c r="O651">
        <v>30980.799999999999</v>
      </c>
      <c r="P651">
        <v>0</v>
      </c>
      <c r="Q651">
        <v>61</v>
      </c>
      <c r="R651">
        <v>11342.400000000001</v>
      </c>
      <c r="S651">
        <v>38542.400000000001</v>
      </c>
      <c r="T651">
        <v>3780.7999999999993</v>
      </c>
      <c r="U651">
        <v>0</v>
      </c>
      <c r="V651" s="2" t="s">
        <v>2056</v>
      </c>
      <c r="W651" s="2" t="s">
        <v>2057</v>
      </c>
      <c r="X651">
        <v>31506.666700000002</v>
      </c>
      <c r="Y651">
        <v>0.13899999999999998</v>
      </c>
      <c r="Z651" s="2" t="s">
        <v>2061</v>
      </c>
    </row>
    <row r="652" spans="1:26" x14ac:dyDescent="0.3">
      <c r="A652" s="2" t="s">
        <v>1346</v>
      </c>
      <c r="B652" s="1">
        <v>44533</v>
      </c>
      <c r="C652" s="2" t="s">
        <v>1347</v>
      </c>
      <c r="D652" s="2" t="s">
        <v>56</v>
      </c>
      <c r="E652">
        <v>4726</v>
      </c>
      <c r="F652">
        <v>24.9</v>
      </c>
      <c r="G652">
        <v>36</v>
      </c>
      <c r="H652" s="2" t="s">
        <v>26</v>
      </c>
      <c r="I652" s="2" t="s">
        <v>57</v>
      </c>
      <c r="J652" s="2" t="s">
        <v>28</v>
      </c>
      <c r="K652">
        <v>134433</v>
      </c>
      <c r="L652" s="2" t="s">
        <v>22</v>
      </c>
      <c r="M652">
        <v>0.34</v>
      </c>
      <c r="N652">
        <v>0.57999999999999996</v>
      </c>
      <c r="O652">
        <v>1515.61</v>
      </c>
      <c r="P652">
        <v>0</v>
      </c>
      <c r="Q652">
        <v>51</v>
      </c>
      <c r="R652">
        <v>3530.3219999999997</v>
      </c>
      <c r="S652">
        <v>8256.3220000000001</v>
      </c>
      <c r="T652">
        <v>-3210.3900000000003</v>
      </c>
      <c r="U652">
        <v>0</v>
      </c>
      <c r="V652" s="2" t="s">
        <v>2059</v>
      </c>
      <c r="W652" s="2" t="s">
        <v>2057</v>
      </c>
      <c r="X652">
        <v>9806.4500000000007</v>
      </c>
      <c r="Y652">
        <v>-0.67930385103681767</v>
      </c>
      <c r="Z652" s="2" t="s">
        <v>2061</v>
      </c>
    </row>
    <row r="653" spans="1:26" x14ac:dyDescent="0.3">
      <c r="A653" s="2" t="s">
        <v>1348</v>
      </c>
      <c r="B653" s="1">
        <v>45246</v>
      </c>
      <c r="C653" s="2" t="s">
        <v>1349</v>
      </c>
      <c r="D653" s="2" t="s">
        <v>46</v>
      </c>
      <c r="E653">
        <v>24616</v>
      </c>
      <c r="F653">
        <v>15.9</v>
      </c>
      <c r="G653">
        <v>36</v>
      </c>
      <c r="H653" s="2" t="s">
        <v>19</v>
      </c>
      <c r="I653" s="2" t="s">
        <v>73</v>
      </c>
      <c r="J653" s="2" t="s">
        <v>21</v>
      </c>
      <c r="K653">
        <v>101386</v>
      </c>
      <c r="L653" s="2" t="s">
        <v>29</v>
      </c>
      <c r="M653">
        <v>0.48</v>
      </c>
      <c r="N653">
        <v>0.89</v>
      </c>
      <c r="O653">
        <v>28529.94</v>
      </c>
      <c r="P653">
        <v>0</v>
      </c>
      <c r="Q653">
        <v>28</v>
      </c>
      <c r="R653">
        <v>11741.832000000002</v>
      </c>
      <c r="S653">
        <v>36357.832000000002</v>
      </c>
      <c r="T653">
        <v>3913.9399999999987</v>
      </c>
      <c r="U653">
        <v>0</v>
      </c>
      <c r="V653" s="2" t="s">
        <v>2056</v>
      </c>
      <c r="W653" s="2" t="s">
        <v>2064</v>
      </c>
      <c r="X653">
        <v>32616.2</v>
      </c>
      <c r="Y653">
        <v>0.15899983750406235</v>
      </c>
      <c r="Z653" s="2" t="s">
        <v>2058</v>
      </c>
    </row>
    <row r="654" spans="1:26" x14ac:dyDescent="0.3">
      <c r="A654" s="2" t="s">
        <v>1350</v>
      </c>
      <c r="B654" s="1">
        <v>45000</v>
      </c>
      <c r="C654" s="2" t="s">
        <v>1351</v>
      </c>
      <c r="D654" s="2" t="s">
        <v>18</v>
      </c>
      <c r="E654">
        <v>28723</v>
      </c>
      <c r="F654">
        <v>6.8</v>
      </c>
      <c r="G654">
        <v>36</v>
      </c>
      <c r="H654" s="2" t="s">
        <v>19</v>
      </c>
      <c r="I654" s="2" t="s">
        <v>73</v>
      </c>
      <c r="J654" s="2" t="s">
        <v>28</v>
      </c>
      <c r="K654">
        <v>116124</v>
      </c>
      <c r="L654" s="2" t="s">
        <v>22</v>
      </c>
      <c r="M654">
        <v>0.24</v>
      </c>
      <c r="N654">
        <v>0.7</v>
      </c>
      <c r="O654">
        <v>30676.16</v>
      </c>
      <c r="P654">
        <v>0</v>
      </c>
      <c r="Q654">
        <v>36</v>
      </c>
      <c r="R654">
        <v>5859.4919999999993</v>
      </c>
      <c r="S654">
        <v>34582.491999999998</v>
      </c>
      <c r="T654">
        <v>1953.1599999999999</v>
      </c>
      <c r="U654">
        <v>0</v>
      </c>
      <c r="V654" s="2" t="s">
        <v>2056</v>
      </c>
      <c r="W654" s="2" t="s">
        <v>2064</v>
      </c>
      <c r="X654">
        <v>16276.368200000001</v>
      </c>
      <c r="Y654">
        <v>6.7999860738780768E-2</v>
      </c>
      <c r="Z654" s="2" t="s">
        <v>2061</v>
      </c>
    </row>
    <row r="655" spans="1:26" x14ac:dyDescent="0.3">
      <c r="A655" s="2" t="s">
        <v>1352</v>
      </c>
      <c r="B655" s="1">
        <v>44204</v>
      </c>
      <c r="C655" s="2" t="s">
        <v>1353</v>
      </c>
      <c r="D655" s="2" t="s">
        <v>53</v>
      </c>
      <c r="E655">
        <v>38574</v>
      </c>
      <c r="F655">
        <v>17.100000000000001</v>
      </c>
      <c r="G655">
        <v>60</v>
      </c>
      <c r="H655" s="2" t="s">
        <v>19</v>
      </c>
      <c r="I655" s="2" t="s">
        <v>73</v>
      </c>
      <c r="J655" s="2" t="s">
        <v>28</v>
      </c>
      <c r="K655">
        <v>135750</v>
      </c>
      <c r="L655" s="2" t="s">
        <v>22</v>
      </c>
      <c r="M655">
        <v>0.2</v>
      </c>
      <c r="N655">
        <v>0.56000000000000005</v>
      </c>
      <c r="O655">
        <v>45170.15</v>
      </c>
      <c r="P655">
        <v>0</v>
      </c>
      <c r="Q655">
        <v>62</v>
      </c>
      <c r="R655">
        <v>32980.770000000004</v>
      </c>
      <c r="S655">
        <v>71554.77</v>
      </c>
      <c r="T655">
        <v>6596.1500000000015</v>
      </c>
      <c r="U655">
        <v>0</v>
      </c>
      <c r="V655" s="2" t="s">
        <v>2056</v>
      </c>
      <c r="W655" s="2" t="s">
        <v>2064</v>
      </c>
      <c r="X655">
        <v>54967.95</v>
      </c>
      <c r="Y655">
        <v>0.17099989630320944</v>
      </c>
      <c r="Z655" s="2" t="s">
        <v>2061</v>
      </c>
    </row>
    <row r="656" spans="1:26" x14ac:dyDescent="0.3">
      <c r="A656" s="2" t="s">
        <v>1354</v>
      </c>
      <c r="B656" s="1">
        <v>44821</v>
      </c>
      <c r="C656" s="2" t="s">
        <v>1355</v>
      </c>
      <c r="D656" s="2" t="s">
        <v>53</v>
      </c>
      <c r="E656">
        <v>35958</v>
      </c>
      <c r="F656">
        <v>8</v>
      </c>
      <c r="G656">
        <v>36</v>
      </c>
      <c r="H656" s="2" t="s">
        <v>19</v>
      </c>
      <c r="I656" s="2" t="s">
        <v>84</v>
      </c>
      <c r="J656" s="2" t="s">
        <v>21</v>
      </c>
      <c r="K656">
        <v>107485</v>
      </c>
      <c r="L656" s="2" t="s">
        <v>29</v>
      </c>
      <c r="M656">
        <v>0.36</v>
      </c>
      <c r="N656">
        <v>0.89</v>
      </c>
      <c r="O656">
        <v>38834.639999999999</v>
      </c>
      <c r="P656">
        <v>0</v>
      </c>
      <c r="Q656">
        <v>42</v>
      </c>
      <c r="R656">
        <v>8629.92</v>
      </c>
      <c r="S656">
        <v>44587.92</v>
      </c>
      <c r="T656">
        <v>2876.6399999999994</v>
      </c>
      <c r="U656">
        <v>0</v>
      </c>
      <c r="V656" s="2" t="s">
        <v>2056</v>
      </c>
      <c r="W656" s="2" t="s">
        <v>2062</v>
      </c>
      <c r="X656">
        <v>23972.000199999999</v>
      </c>
      <c r="Y656">
        <v>7.9999999999999988E-2</v>
      </c>
      <c r="Z656" s="2" t="s">
        <v>2058</v>
      </c>
    </row>
    <row r="657" spans="1:26" x14ac:dyDescent="0.3">
      <c r="A657" s="2" t="s">
        <v>1356</v>
      </c>
      <c r="B657" s="1">
        <v>44915</v>
      </c>
      <c r="C657" s="2" t="s">
        <v>1357</v>
      </c>
      <c r="D657" s="2" t="s">
        <v>65</v>
      </c>
      <c r="E657">
        <v>10108</v>
      </c>
      <c r="F657">
        <v>5.6</v>
      </c>
      <c r="G657">
        <v>60</v>
      </c>
      <c r="H657" s="2" t="s">
        <v>81</v>
      </c>
      <c r="I657" s="2" t="s">
        <v>20</v>
      </c>
      <c r="J657" s="2" t="s">
        <v>47</v>
      </c>
      <c r="K657">
        <v>104055</v>
      </c>
      <c r="L657" s="2" t="s">
        <v>33</v>
      </c>
      <c r="M657">
        <v>0.18</v>
      </c>
      <c r="N657">
        <v>0.87</v>
      </c>
      <c r="O657">
        <v>2849.4</v>
      </c>
      <c r="P657">
        <v>2210.77</v>
      </c>
      <c r="Q657">
        <v>38</v>
      </c>
      <c r="R657">
        <v>2830.24</v>
      </c>
      <c r="S657">
        <v>12938.24</v>
      </c>
      <c r="T657">
        <v>-5047.83</v>
      </c>
      <c r="U657">
        <v>1</v>
      </c>
      <c r="V657" s="2" t="s">
        <v>2063</v>
      </c>
      <c r="W657" s="2" t="s">
        <v>2057</v>
      </c>
      <c r="X657">
        <v>4717.0667000000003</v>
      </c>
      <c r="Y657">
        <v>-0.49938959240205777</v>
      </c>
      <c r="Z657" s="2" t="s">
        <v>2058</v>
      </c>
    </row>
    <row r="658" spans="1:26" x14ac:dyDescent="0.3">
      <c r="A658" s="2" t="s">
        <v>1358</v>
      </c>
      <c r="B658" s="1">
        <v>44499</v>
      </c>
      <c r="C658" s="2" t="s">
        <v>1359</v>
      </c>
      <c r="D658" s="2" t="s">
        <v>53</v>
      </c>
      <c r="E658">
        <v>13178</v>
      </c>
      <c r="F658">
        <v>24.4</v>
      </c>
      <c r="G658">
        <v>60</v>
      </c>
      <c r="H658" s="2" t="s">
        <v>19</v>
      </c>
      <c r="I658" s="2" t="s">
        <v>84</v>
      </c>
      <c r="J658" s="2" t="s">
        <v>21</v>
      </c>
      <c r="K658">
        <v>121911</v>
      </c>
      <c r="L658" s="2" t="s">
        <v>33</v>
      </c>
      <c r="M658">
        <v>0.23</v>
      </c>
      <c r="N658">
        <v>0.94</v>
      </c>
      <c r="O658">
        <v>16393.43</v>
      </c>
      <c r="P658">
        <v>0</v>
      </c>
      <c r="Q658">
        <v>52</v>
      </c>
      <c r="R658">
        <v>16077.159999999996</v>
      </c>
      <c r="S658">
        <v>29255.159999999996</v>
      </c>
      <c r="T658">
        <v>3215.4300000000003</v>
      </c>
      <c r="U658">
        <v>0</v>
      </c>
      <c r="V658" s="2" t="s">
        <v>2056</v>
      </c>
      <c r="W658" s="2" t="s">
        <v>2062</v>
      </c>
      <c r="X658">
        <v>26795.2667</v>
      </c>
      <c r="Y658">
        <v>0.24399984823190168</v>
      </c>
      <c r="Z658" s="2" t="s">
        <v>2058</v>
      </c>
    </row>
    <row r="659" spans="1:26" x14ac:dyDescent="0.3">
      <c r="A659" s="2" t="s">
        <v>1360</v>
      </c>
      <c r="B659" s="1">
        <v>44835</v>
      </c>
      <c r="C659" s="2" t="s">
        <v>1361</v>
      </c>
      <c r="D659" s="2" t="s">
        <v>25</v>
      </c>
      <c r="E659">
        <v>36643</v>
      </c>
      <c r="F659">
        <v>20.5</v>
      </c>
      <c r="G659">
        <v>36</v>
      </c>
      <c r="H659" s="2" t="s">
        <v>19</v>
      </c>
      <c r="I659" s="2" t="s">
        <v>73</v>
      </c>
      <c r="J659" s="2" t="s">
        <v>37</v>
      </c>
      <c r="K659">
        <v>128618</v>
      </c>
      <c r="L659" s="2" t="s">
        <v>22</v>
      </c>
      <c r="M659">
        <v>0.19</v>
      </c>
      <c r="N659">
        <v>0.91</v>
      </c>
      <c r="O659">
        <v>44154.82</v>
      </c>
      <c r="P659">
        <v>0</v>
      </c>
      <c r="Q659">
        <v>41</v>
      </c>
      <c r="R659">
        <v>22535.444999999996</v>
      </c>
      <c r="S659">
        <v>59178.444999999992</v>
      </c>
      <c r="T659">
        <v>7511.82</v>
      </c>
      <c r="U659">
        <v>0</v>
      </c>
      <c r="V659" s="2" t="s">
        <v>2056</v>
      </c>
      <c r="W659" s="2" t="s">
        <v>2064</v>
      </c>
      <c r="X659">
        <v>62598.458299999998</v>
      </c>
      <c r="Y659">
        <v>0.20500013645170972</v>
      </c>
      <c r="Z659" s="2" t="s">
        <v>2058</v>
      </c>
    </row>
    <row r="660" spans="1:26" x14ac:dyDescent="0.3">
      <c r="A660" s="2" t="s">
        <v>1362</v>
      </c>
      <c r="B660" s="1">
        <v>44252</v>
      </c>
      <c r="C660" s="2" t="s">
        <v>1363</v>
      </c>
      <c r="D660" s="2" t="s">
        <v>72</v>
      </c>
      <c r="E660">
        <v>32324</v>
      </c>
      <c r="F660">
        <v>24.6</v>
      </c>
      <c r="G660">
        <v>36</v>
      </c>
      <c r="H660" s="2" t="s">
        <v>19</v>
      </c>
      <c r="I660" s="2" t="s">
        <v>20</v>
      </c>
      <c r="J660" s="2" t="s">
        <v>21</v>
      </c>
      <c r="K660">
        <v>107273</v>
      </c>
      <c r="L660" s="2" t="s">
        <v>29</v>
      </c>
      <c r="M660">
        <v>0.13</v>
      </c>
      <c r="N660">
        <v>0.88</v>
      </c>
      <c r="O660">
        <v>40275.699999999997</v>
      </c>
      <c r="P660">
        <v>0</v>
      </c>
      <c r="Q660">
        <v>60</v>
      </c>
      <c r="R660">
        <v>23855.112000000005</v>
      </c>
      <c r="S660">
        <v>56179.112000000008</v>
      </c>
      <c r="T660">
        <v>7951.6999999999971</v>
      </c>
      <c r="U660">
        <v>0</v>
      </c>
      <c r="V660" s="2" t="s">
        <v>2056</v>
      </c>
      <c r="W660" s="2" t="s">
        <v>2057</v>
      </c>
      <c r="X660">
        <v>66264.2</v>
      </c>
      <c r="Y660">
        <v>0.2459998762529389</v>
      </c>
      <c r="Z660" s="2" t="s">
        <v>2058</v>
      </c>
    </row>
    <row r="661" spans="1:26" x14ac:dyDescent="0.3">
      <c r="A661" s="2" t="s">
        <v>1364</v>
      </c>
      <c r="B661" s="1">
        <v>44922</v>
      </c>
      <c r="C661" s="2" t="s">
        <v>1365</v>
      </c>
      <c r="D661" s="2" t="s">
        <v>53</v>
      </c>
      <c r="E661">
        <v>39360</v>
      </c>
      <c r="F661">
        <v>14.6</v>
      </c>
      <c r="G661">
        <v>36</v>
      </c>
      <c r="H661" s="2" t="s">
        <v>19</v>
      </c>
      <c r="I661" s="2" t="s">
        <v>36</v>
      </c>
      <c r="J661" s="2" t="s">
        <v>32</v>
      </c>
      <c r="K661">
        <v>96670</v>
      </c>
      <c r="L661" s="2" t="s">
        <v>33</v>
      </c>
      <c r="M661">
        <v>0.43</v>
      </c>
      <c r="N661">
        <v>0.52</v>
      </c>
      <c r="O661">
        <v>45106.559999999998</v>
      </c>
      <c r="P661">
        <v>0</v>
      </c>
      <c r="Q661">
        <v>38</v>
      </c>
      <c r="R661">
        <v>17239.68</v>
      </c>
      <c r="S661">
        <v>56599.68</v>
      </c>
      <c r="T661">
        <v>5746.5599999999977</v>
      </c>
      <c r="U661">
        <v>0</v>
      </c>
      <c r="V661" s="2" t="s">
        <v>2056</v>
      </c>
      <c r="W661" s="2" t="s">
        <v>2062</v>
      </c>
      <c r="X661">
        <v>47888</v>
      </c>
      <c r="Y661">
        <v>0.14599999999999994</v>
      </c>
      <c r="Z661" s="2" t="s">
        <v>2058</v>
      </c>
    </row>
    <row r="662" spans="1:26" x14ac:dyDescent="0.3">
      <c r="A662" s="2" t="s">
        <v>1366</v>
      </c>
      <c r="B662" s="1">
        <v>44722</v>
      </c>
      <c r="C662" s="2" t="s">
        <v>1367</v>
      </c>
      <c r="D662" s="2" t="s">
        <v>40</v>
      </c>
      <c r="E662">
        <v>18824</v>
      </c>
      <c r="F662">
        <v>15.6</v>
      </c>
      <c r="G662">
        <v>36</v>
      </c>
      <c r="H662" s="2" t="s">
        <v>19</v>
      </c>
      <c r="I662" s="2" t="s">
        <v>27</v>
      </c>
      <c r="J662" s="2" t="s">
        <v>37</v>
      </c>
      <c r="K662">
        <v>106474</v>
      </c>
      <c r="L662" s="2" t="s">
        <v>33</v>
      </c>
      <c r="M662">
        <v>0.2</v>
      </c>
      <c r="N662">
        <v>0.55000000000000004</v>
      </c>
      <c r="O662">
        <v>21760.54</v>
      </c>
      <c r="P662">
        <v>0</v>
      </c>
      <c r="Q662">
        <v>45</v>
      </c>
      <c r="R662">
        <v>8809.6319999999996</v>
      </c>
      <c r="S662">
        <v>27633.631999999998</v>
      </c>
      <c r="T662">
        <v>2936.5400000000009</v>
      </c>
      <c r="U662">
        <v>0</v>
      </c>
      <c r="V662" s="2" t="s">
        <v>2056</v>
      </c>
      <c r="W662" s="2" t="s">
        <v>2060</v>
      </c>
      <c r="X662">
        <v>24471.200000000001</v>
      </c>
      <c r="Y662">
        <v>0.1559997875053124</v>
      </c>
      <c r="Z662" s="2" t="s">
        <v>2061</v>
      </c>
    </row>
    <row r="663" spans="1:26" x14ac:dyDescent="0.3">
      <c r="A663" s="2" t="s">
        <v>1368</v>
      </c>
      <c r="B663" s="1">
        <v>44670</v>
      </c>
      <c r="C663" s="2" t="s">
        <v>1369</v>
      </c>
      <c r="D663" s="2" t="s">
        <v>72</v>
      </c>
      <c r="E663">
        <v>9927</v>
      </c>
      <c r="F663">
        <v>8.4</v>
      </c>
      <c r="G663">
        <v>60</v>
      </c>
      <c r="H663" s="2" t="s">
        <v>26</v>
      </c>
      <c r="I663" s="2" t="s">
        <v>20</v>
      </c>
      <c r="J663" s="2" t="s">
        <v>28</v>
      </c>
      <c r="K663">
        <v>84028</v>
      </c>
      <c r="L663" s="2" t="s">
        <v>33</v>
      </c>
      <c r="M663">
        <v>0.28999999999999998</v>
      </c>
      <c r="N663">
        <v>0.76</v>
      </c>
      <c r="O663">
        <v>2126.9699999999998</v>
      </c>
      <c r="P663">
        <v>0</v>
      </c>
      <c r="Q663">
        <v>47</v>
      </c>
      <c r="R663">
        <v>4169.34</v>
      </c>
      <c r="S663">
        <v>14096.34</v>
      </c>
      <c r="T663">
        <v>-7800.0300000000007</v>
      </c>
      <c r="U663">
        <v>0</v>
      </c>
      <c r="V663" s="2" t="s">
        <v>2059</v>
      </c>
      <c r="W663" s="2" t="s">
        <v>2057</v>
      </c>
      <c r="X663">
        <v>6948.9</v>
      </c>
      <c r="Y663">
        <v>-0.78573889392565732</v>
      </c>
      <c r="Z663" s="2" t="s">
        <v>2061</v>
      </c>
    </row>
    <row r="664" spans="1:26" x14ac:dyDescent="0.3">
      <c r="A664" s="2" t="s">
        <v>1370</v>
      </c>
      <c r="B664" s="1">
        <v>44224</v>
      </c>
      <c r="C664" s="2" t="s">
        <v>1371</v>
      </c>
      <c r="D664" s="2" t="s">
        <v>25</v>
      </c>
      <c r="E664">
        <v>29144</v>
      </c>
      <c r="F664">
        <v>9.9</v>
      </c>
      <c r="G664">
        <v>60</v>
      </c>
      <c r="H664" s="2" t="s">
        <v>19</v>
      </c>
      <c r="I664" s="2" t="s">
        <v>20</v>
      </c>
      <c r="J664" s="2" t="s">
        <v>37</v>
      </c>
      <c r="K664">
        <v>120022</v>
      </c>
      <c r="L664" s="2" t="s">
        <v>22</v>
      </c>
      <c r="M664">
        <v>0.12</v>
      </c>
      <c r="N664">
        <v>0.74</v>
      </c>
      <c r="O664">
        <v>32029.26</v>
      </c>
      <c r="P664">
        <v>0</v>
      </c>
      <c r="Q664">
        <v>61</v>
      </c>
      <c r="R664">
        <v>14426.28</v>
      </c>
      <c r="S664">
        <v>43570.28</v>
      </c>
      <c r="T664">
        <v>2885.2599999999984</v>
      </c>
      <c r="U664">
        <v>0</v>
      </c>
      <c r="V664" s="2" t="s">
        <v>2056</v>
      </c>
      <c r="W664" s="2" t="s">
        <v>2057</v>
      </c>
      <c r="X664">
        <v>24043.8</v>
      </c>
      <c r="Y664">
        <v>9.9000137249519574E-2</v>
      </c>
      <c r="Z664" s="2" t="s">
        <v>2061</v>
      </c>
    </row>
    <row r="665" spans="1:26" x14ac:dyDescent="0.3">
      <c r="A665" s="2" t="s">
        <v>1372</v>
      </c>
      <c r="B665" s="1">
        <v>44274</v>
      </c>
      <c r="C665" s="2" t="s">
        <v>1373</v>
      </c>
      <c r="D665" s="2" t="s">
        <v>18</v>
      </c>
      <c r="E665">
        <v>32010</v>
      </c>
      <c r="F665">
        <v>21.8</v>
      </c>
      <c r="G665">
        <v>60</v>
      </c>
      <c r="H665" s="2" t="s">
        <v>26</v>
      </c>
      <c r="I665" s="2" t="s">
        <v>20</v>
      </c>
      <c r="J665" s="2" t="s">
        <v>47</v>
      </c>
      <c r="K665">
        <v>143892</v>
      </c>
      <c r="L665" s="2" t="s">
        <v>29</v>
      </c>
      <c r="M665">
        <v>0.38</v>
      </c>
      <c r="N665">
        <v>0.71</v>
      </c>
      <c r="O665">
        <v>14628.99</v>
      </c>
      <c r="P665">
        <v>0</v>
      </c>
      <c r="Q665">
        <v>60</v>
      </c>
      <c r="R665">
        <v>34890.9</v>
      </c>
      <c r="S665">
        <v>66900.899999999994</v>
      </c>
      <c r="T665">
        <v>-17381.010000000002</v>
      </c>
      <c r="U665">
        <v>0</v>
      </c>
      <c r="V665" s="2" t="s">
        <v>2059</v>
      </c>
      <c r="W665" s="2" t="s">
        <v>2057</v>
      </c>
      <c r="X665">
        <v>58151.5</v>
      </c>
      <c r="Y665">
        <v>-0.54298687910028121</v>
      </c>
      <c r="Z665" s="2" t="s">
        <v>2061</v>
      </c>
    </row>
    <row r="666" spans="1:26" x14ac:dyDescent="0.3">
      <c r="A666" s="2" t="s">
        <v>1374</v>
      </c>
      <c r="B666" s="1">
        <v>44561</v>
      </c>
      <c r="C666" s="2" t="s">
        <v>1375</v>
      </c>
      <c r="D666" s="2" t="s">
        <v>72</v>
      </c>
      <c r="E666">
        <v>23443</v>
      </c>
      <c r="F666">
        <v>12.1</v>
      </c>
      <c r="G666">
        <v>36</v>
      </c>
      <c r="H666" s="2" t="s">
        <v>315</v>
      </c>
      <c r="I666" s="2" t="s">
        <v>73</v>
      </c>
      <c r="J666" s="2" t="s">
        <v>47</v>
      </c>
      <c r="K666">
        <v>121632</v>
      </c>
      <c r="L666" s="2" t="s">
        <v>22</v>
      </c>
      <c r="M666">
        <v>0.23</v>
      </c>
      <c r="N666">
        <v>0.68</v>
      </c>
      <c r="O666">
        <v>0</v>
      </c>
      <c r="P666">
        <v>0</v>
      </c>
      <c r="Q666">
        <v>50</v>
      </c>
      <c r="R666">
        <v>8509.8089999999993</v>
      </c>
      <c r="S666">
        <v>31952.809000000001</v>
      </c>
      <c r="T666">
        <v>-23443</v>
      </c>
      <c r="U666">
        <v>0</v>
      </c>
      <c r="V666" s="2" t="s">
        <v>2063</v>
      </c>
      <c r="W666" s="2" t="s">
        <v>2064</v>
      </c>
      <c r="X666">
        <v>23638.3583</v>
      </c>
      <c r="Y666">
        <v>-1</v>
      </c>
      <c r="Z666" s="2" t="s">
        <v>2061</v>
      </c>
    </row>
    <row r="667" spans="1:26" x14ac:dyDescent="0.3">
      <c r="A667" s="2" t="s">
        <v>1376</v>
      </c>
      <c r="B667" s="1">
        <v>44862</v>
      </c>
      <c r="C667" s="2" t="s">
        <v>1377</v>
      </c>
      <c r="D667" s="2" t="s">
        <v>72</v>
      </c>
      <c r="E667">
        <v>15437</v>
      </c>
      <c r="F667">
        <v>21.5</v>
      </c>
      <c r="G667">
        <v>60</v>
      </c>
      <c r="H667" s="2" t="s">
        <v>26</v>
      </c>
      <c r="I667" s="2" t="s">
        <v>20</v>
      </c>
      <c r="J667" s="2" t="s">
        <v>21</v>
      </c>
      <c r="K667">
        <v>136651</v>
      </c>
      <c r="L667" s="2" t="s">
        <v>33</v>
      </c>
      <c r="M667">
        <v>0.4</v>
      </c>
      <c r="N667">
        <v>0.69</v>
      </c>
      <c r="O667">
        <v>4267.6000000000004</v>
      </c>
      <c r="P667">
        <v>0</v>
      </c>
      <c r="Q667">
        <v>40</v>
      </c>
      <c r="R667">
        <v>16594.774999999998</v>
      </c>
      <c r="S667">
        <v>32031.774999999998</v>
      </c>
      <c r="T667">
        <v>-11169.4</v>
      </c>
      <c r="U667">
        <v>0</v>
      </c>
      <c r="V667" s="2" t="s">
        <v>2059</v>
      </c>
      <c r="W667" s="2" t="s">
        <v>2057</v>
      </c>
      <c r="X667">
        <v>27657.958299999998</v>
      </c>
      <c r="Y667">
        <v>-0.72354732137073263</v>
      </c>
      <c r="Z667" s="2" t="s">
        <v>2061</v>
      </c>
    </row>
    <row r="668" spans="1:26" x14ac:dyDescent="0.3">
      <c r="A668" s="2" t="s">
        <v>1378</v>
      </c>
      <c r="B668" s="1">
        <v>44722</v>
      </c>
      <c r="C668" s="2" t="s">
        <v>1379</v>
      </c>
      <c r="D668" s="2" t="s">
        <v>18</v>
      </c>
      <c r="E668">
        <v>12207</v>
      </c>
      <c r="F668">
        <v>19.2</v>
      </c>
      <c r="G668">
        <v>36</v>
      </c>
      <c r="H668" s="2" t="s">
        <v>19</v>
      </c>
      <c r="I668" s="2" t="s">
        <v>20</v>
      </c>
      <c r="J668" s="2" t="s">
        <v>37</v>
      </c>
      <c r="K668">
        <v>101128</v>
      </c>
      <c r="L668" s="2" t="s">
        <v>29</v>
      </c>
      <c r="M668">
        <v>0.26</v>
      </c>
      <c r="N668">
        <v>0.76</v>
      </c>
      <c r="O668">
        <v>14550.74</v>
      </c>
      <c r="P668">
        <v>0</v>
      </c>
      <c r="Q668">
        <v>45</v>
      </c>
      <c r="R668">
        <v>7031.232</v>
      </c>
      <c r="S668">
        <v>19238.232</v>
      </c>
      <c r="T668">
        <v>2343.7399999999998</v>
      </c>
      <c r="U668">
        <v>0</v>
      </c>
      <c r="V668" s="2" t="s">
        <v>2056</v>
      </c>
      <c r="W668" s="2" t="s">
        <v>2057</v>
      </c>
      <c r="X668">
        <v>19531.2</v>
      </c>
      <c r="Y668">
        <v>0.19199967231916112</v>
      </c>
      <c r="Z668" s="2" t="s">
        <v>2061</v>
      </c>
    </row>
    <row r="669" spans="1:26" x14ac:dyDescent="0.3">
      <c r="A669" s="2" t="s">
        <v>1380</v>
      </c>
      <c r="B669" s="1">
        <v>44895</v>
      </c>
      <c r="C669" s="2" t="s">
        <v>1381</v>
      </c>
      <c r="D669" s="2" t="s">
        <v>25</v>
      </c>
      <c r="E669">
        <v>26537</v>
      </c>
      <c r="F669">
        <v>8.5</v>
      </c>
      <c r="G669">
        <v>36</v>
      </c>
      <c r="H669" s="2" t="s">
        <v>19</v>
      </c>
      <c r="I669" s="2" t="s">
        <v>20</v>
      </c>
      <c r="J669" s="2" t="s">
        <v>28</v>
      </c>
      <c r="K669">
        <v>48108</v>
      </c>
      <c r="L669" s="2" t="s">
        <v>22</v>
      </c>
      <c r="M669">
        <v>0.18</v>
      </c>
      <c r="N669">
        <v>0.5</v>
      </c>
      <c r="O669">
        <v>28792.639999999999</v>
      </c>
      <c r="P669">
        <v>0</v>
      </c>
      <c r="Q669">
        <v>39</v>
      </c>
      <c r="R669">
        <v>6766.9350000000004</v>
      </c>
      <c r="S669">
        <v>33303.934999999998</v>
      </c>
      <c r="T669">
        <v>2255.6399999999994</v>
      </c>
      <c r="U669">
        <v>0</v>
      </c>
      <c r="V669" s="2" t="s">
        <v>2056</v>
      </c>
      <c r="W669" s="2" t="s">
        <v>2057</v>
      </c>
      <c r="X669">
        <v>18797.041700000002</v>
      </c>
      <c r="Y669">
        <v>8.4999811583826329E-2</v>
      </c>
      <c r="Z669" s="2" t="s">
        <v>2061</v>
      </c>
    </row>
    <row r="670" spans="1:26" x14ac:dyDescent="0.3">
      <c r="A670" s="2" t="s">
        <v>1382</v>
      </c>
      <c r="B670" s="1">
        <v>45079</v>
      </c>
      <c r="C670" s="2" t="s">
        <v>1383</v>
      </c>
      <c r="D670" s="2" t="s">
        <v>53</v>
      </c>
      <c r="E670">
        <v>36757</v>
      </c>
      <c r="F670">
        <v>15.1</v>
      </c>
      <c r="G670">
        <v>36</v>
      </c>
      <c r="H670" s="2" t="s">
        <v>81</v>
      </c>
      <c r="I670" s="2" t="s">
        <v>27</v>
      </c>
      <c r="J670" s="2" t="s">
        <v>47</v>
      </c>
      <c r="K670">
        <v>82495</v>
      </c>
      <c r="L670" s="2" t="s">
        <v>33</v>
      </c>
      <c r="M670">
        <v>0.31</v>
      </c>
      <c r="N670">
        <v>0.62</v>
      </c>
      <c r="O670">
        <v>8800.92</v>
      </c>
      <c r="P670">
        <v>6346.33</v>
      </c>
      <c r="Q670">
        <v>33</v>
      </c>
      <c r="R670">
        <v>16650.920999999998</v>
      </c>
      <c r="S670">
        <v>53407.921000000002</v>
      </c>
      <c r="T670">
        <v>-21609.75</v>
      </c>
      <c r="U670">
        <v>1</v>
      </c>
      <c r="V670" s="2" t="s">
        <v>2063</v>
      </c>
      <c r="W670" s="2" t="s">
        <v>2060</v>
      </c>
      <c r="X670">
        <v>46252.558299999997</v>
      </c>
      <c r="Y670">
        <v>-0.58790842560600698</v>
      </c>
      <c r="Z670" s="2" t="s">
        <v>2061</v>
      </c>
    </row>
    <row r="671" spans="1:26" x14ac:dyDescent="0.3">
      <c r="A671" s="2" t="s">
        <v>1384</v>
      </c>
      <c r="B671" s="1">
        <v>45227</v>
      </c>
      <c r="C671" s="2" t="s">
        <v>1385</v>
      </c>
      <c r="D671" s="2" t="s">
        <v>65</v>
      </c>
      <c r="E671">
        <v>13040</v>
      </c>
      <c r="F671">
        <v>18.5</v>
      </c>
      <c r="G671">
        <v>36</v>
      </c>
      <c r="H671" s="2" t="s">
        <v>19</v>
      </c>
      <c r="I671" s="2" t="s">
        <v>84</v>
      </c>
      <c r="J671" s="2" t="s">
        <v>28</v>
      </c>
      <c r="K671">
        <v>112806</v>
      </c>
      <c r="L671" s="2" t="s">
        <v>33</v>
      </c>
      <c r="M671">
        <v>0.15</v>
      </c>
      <c r="N671">
        <v>0.73</v>
      </c>
      <c r="O671">
        <v>15452.4</v>
      </c>
      <c r="P671">
        <v>0</v>
      </c>
      <c r="Q671">
        <v>28</v>
      </c>
      <c r="R671">
        <v>7237.2000000000007</v>
      </c>
      <c r="S671">
        <v>20277.2</v>
      </c>
      <c r="T671">
        <v>2412.3999999999996</v>
      </c>
      <c r="U671">
        <v>0</v>
      </c>
      <c r="V671" s="2" t="s">
        <v>2056</v>
      </c>
      <c r="W671" s="2" t="s">
        <v>2062</v>
      </c>
      <c r="X671">
        <v>20103.333299999998</v>
      </c>
      <c r="Y671">
        <v>0.18499999999999997</v>
      </c>
      <c r="Z671" s="2" t="s">
        <v>2061</v>
      </c>
    </row>
    <row r="672" spans="1:26" x14ac:dyDescent="0.3">
      <c r="A672" s="2" t="s">
        <v>1386</v>
      </c>
      <c r="B672" s="1">
        <v>45223</v>
      </c>
      <c r="C672" s="2" t="s">
        <v>1387</v>
      </c>
      <c r="D672" s="2" t="s">
        <v>46</v>
      </c>
      <c r="E672">
        <v>23612</v>
      </c>
      <c r="F672">
        <v>9.6999999999999993</v>
      </c>
      <c r="G672">
        <v>36</v>
      </c>
      <c r="H672" s="2" t="s">
        <v>26</v>
      </c>
      <c r="I672" s="2" t="s">
        <v>84</v>
      </c>
      <c r="J672" s="2" t="s">
        <v>32</v>
      </c>
      <c r="K672">
        <v>123185</v>
      </c>
      <c r="L672" s="2" t="s">
        <v>22</v>
      </c>
      <c r="M672">
        <v>0.28000000000000003</v>
      </c>
      <c r="N672">
        <v>0.82</v>
      </c>
      <c r="O672">
        <v>11779.58</v>
      </c>
      <c r="P672">
        <v>0</v>
      </c>
      <c r="Q672">
        <v>28</v>
      </c>
      <c r="R672">
        <v>6871.0920000000006</v>
      </c>
      <c r="S672">
        <v>30483.092000000001</v>
      </c>
      <c r="T672">
        <v>-11832.42</v>
      </c>
      <c r="U672">
        <v>0</v>
      </c>
      <c r="V672" s="2" t="s">
        <v>2059</v>
      </c>
      <c r="W672" s="2" t="s">
        <v>2062</v>
      </c>
      <c r="X672">
        <v>19086.366699999999</v>
      </c>
      <c r="Y672">
        <v>-0.50111892258173807</v>
      </c>
      <c r="Z672" s="2" t="s">
        <v>2058</v>
      </c>
    </row>
    <row r="673" spans="1:26" x14ac:dyDescent="0.3">
      <c r="A673" s="2" t="s">
        <v>1388</v>
      </c>
      <c r="B673" s="1">
        <v>45115</v>
      </c>
      <c r="C673" s="2" t="s">
        <v>1389</v>
      </c>
      <c r="D673" s="2" t="s">
        <v>18</v>
      </c>
      <c r="E673">
        <v>29441</v>
      </c>
      <c r="F673">
        <v>21.6</v>
      </c>
      <c r="G673">
        <v>60</v>
      </c>
      <c r="H673" s="2" t="s">
        <v>81</v>
      </c>
      <c r="I673" s="2" t="s">
        <v>20</v>
      </c>
      <c r="J673" s="2" t="s">
        <v>47</v>
      </c>
      <c r="K673">
        <v>106533</v>
      </c>
      <c r="L673" s="2" t="s">
        <v>33</v>
      </c>
      <c r="M673">
        <v>0.23</v>
      </c>
      <c r="N673">
        <v>0.57999999999999996</v>
      </c>
      <c r="O673">
        <v>7302.84</v>
      </c>
      <c r="P673">
        <v>11730.22</v>
      </c>
      <c r="Q673">
        <v>32</v>
      </c>
      <c r="R673">
        <v>31796.28000000001</v>
      </c>
      <c r="S673">
        <v>61237.280000000013</v>
      </c>
      <c r="T673">
        <v>-10407.940000000002</v>
      </c>
      <c r="U673">
        <v>1</v>
      </c>
      <c r="V673" s="2" t="s">
        <v>2063</v>
      </c>
      <c r="W673" s="2" t="s">
        <v>2057</v>
      </c>
      <c r="X673">
        <v>52993.8</v>
      </c>
      <c r="Y673">
        <v>-0.35351856254882652</v>
      </c>
      <c r="Z673" s="2" t="s">
        <v>2061</v>
      </c>
    </row>
    <row r="674" spans="1:26" x14ac:dyDescent="0.3">
      <c r="A674" s="2" t="s">
        <v>1390</v>
      </c>
      <c r="B674" s="1">
        <v>44946</v>
      </c>
      <c r="C674" s="2" t="s">
        <v>1391</v>
      </c>
      <c r="D674" s="2" t="s">
        <v>18</v>
      </c>
      <c r="E674">
        <v>7471</v>
      </c>
      <c r="F674">
        <v>15.9</v>
      </c>
      <c r="G674">
        <v>60</v>
      </c>
      <c r="H674" s="2" t="s">
        <v>81</v>
      </c>
      <c r="I674" s="2" t="s">
        <v>36</v>
      </c>
      <c r="J674" s="2" t="s">
        <v>21</v>
      </c>
      <c r="K674">
        <v>129025</v>
      </c>
      <c r="L674" s="2" t="s">
        <v>33</v>
      </c>
      <c r="M674">
        <v>0.46</v>
      </c>
      <c r="N674">
        <v>0.75</v>
      </c>
      <c r="O674">
        <v>1146.94</v>
      </c>
      <c r="P674">
        <v>2846.42</v>
      </c>
      <c r="Q674">
        <v>37</v>
      </c>
      <c r="R674">
        <v>5939.4450000000006</v>
      </c>
      <c r="S674">
        <v>13410.445</v>
      </c>
      <c r="T674">
        <v>-3477.64</v>
      </c>
      <c r="U674">
        <v>1</v>
      </c>
      <c r="V674" s="2" t="s">
        <v>2063</v>
      </c>
      <c r="W674" s="2" t="s">
        <v>2062</v>
      </c>
      <c r="X674">
        <v>9899.0750000000007</v>
      </c>
      <c r="Y674">
        <v>-0.46548520947664301</v>
      </c>
      <c r="Z674" s="2" t="s">
        <v>2058</v>
      </c>
    </row>
    <row r="675" spans="1:26" x14ac:dyDescent="0.3">
      <c r="A675" s="2" t="s">
        <v>1392</v>
      </c>
      <c r="B675" s="1">
        <v>44559</v>
      </c>
      <c r="C675" s="2" t="s">
        <v>1393</v>
      </c>
      <c r="D675" s="2" t="s">
        <v>18</v>
      </c>
      <c r="E675">
        <v>36631</v>
      </c>
      <c r="F675">
        <v>8.3000000000000007</v>
      </c>
      <c r="G675">
        <v>36</v>
      </c>
      <c r="H675" s="2" t="s">
        <v>81</v>
      </c>
      <c r="I675" s="2" t="s">
        <v>27</v>
      </c>
      <c r="J675" s="2" t="s">
        <v>32</v>
      </c>
      <c r="K675">
        <v>86830</v>
      </c>
      <c r="L675" s="2" t="s">
        <v>29</v>
      </c>
      <c r="M675">
        <v>0.12</v>
      </c>
      <c r="N675">
        <v>0.82</v>
      </c>
      <c r="O675">
        <v>9301.3700000000008</v>
      </c>
      <c r="P675">
        <v>10217.73</v>
      </c>
      <c r="Q675">
        <v>50</v>
      </c>
      <c r="R675">
        <v>9121.1190000000006</v>
      </c>
      <c r="S675">
        <v>45752.118999999999</v>
      </c>
      <c r="T675">
        <v>-17111.900000000001</v>
      </c>
      <c r="U675">
        <v>1</v>
      </c>
      <c r="V675" s="2" t="s">
        <v>2063</v>
      </c>
      <c r="W675" s="2" t="s">
        <v>2060</v>
      </c>
      <c r="X675">
        <v>25336.441800000001</v>
      </c>
      <c r="Y675">
        <v>-0.4671425841500369</v>
      </c>
      <c r="Z675" s="2" t="s">
        <v>2058</v>
      </c>
    </row>
    <row r="676" spans="1:26" x14ac:dyDescent="0.3">
      <c r="A676" s="2" t="s">
        <v>1394</v>
      </c>
      <c r="B676" s="1">
        <v>45002</v>
      </c>
      <c r="C676" s="2" t="s">
        <v>1395</v>
      </c>
      <c r="D676" s="2" t="s">
        <v>18</v>
      </c>
      <c r="E676">
        <v>27523</v>
      </c>
      <c r="F676">
        <v>16.7</v>
      </c>
      <c r="G676">
        <v>60</v>
      </c>
      <c r="H676" s="2" t="s">
        <v>26</v>
      </c>
      <c r="I676" s="2" t="s">
        <v>36</v>
      </c>
      <c r="J676" s="2" t="s">
        <v>37</v>
      </c>
      <c r="K676">
        <v>104640</v>
      </c>
      <c r="L676" s="2" t="s">
        <v>33</v>
      </c>
      <c r="M676">
        <v>0.38</v>
      </c>
      <c r="N676">
        <v>0.7</v>
      </c>
      <c r="O676">
        <v>11458.03</v>
      </c>
      <c r="P676">
        <v>0</v>
      </c>
      <c r="Q676">
        <v>36</v>
      </c>
      <c r="R676">
        <v>22981.704999999998</v>
      </c>
      <c r="S676">
        <v>50504.705000000002</v>
      </c>
      <c r="T676">
        <v>-16064.97</v>
      </c>
      <c r="U676">
        <v>0</v>
      </c>
      <c r="V676" s="2" t="s">
        <v>2059</v>
      </c>
      <c r="W676" s="2" t="s">
        <v>2062</v>
      </c>
      <c r="X676">
        <v>38302.841699999997</v>
      </c>
      <c r="Y676">
        <v>-0.58369254805072124</v>
      </c>
      <c r="Z676" s="2" t="s">
        <v>2061</v>
      </c>
    </row>
    <row r="677" spans="1:26" x14ac:dyDescent="0.3">
      <c r="A677" s="2" t="s">
        <v>1396</v>
      </c>
      <c r="B677" s="1">
        <v>44935</v>
      </c>
      <c r="C677" s="2" t="s">
        <v>1397</v>
      </c>
      <c r="D677" s="2" t="s">
        <v>46</v>
      </c>
      <c r="E677">
        <v>32348</v>
      </c>
      <c r="F677">
        <v>25</v>
      </c>
      <c r="G677">
        <v>36</v>
      </c>
      <c r="H677" s="2" t="s">
        <v>19</v>
      </c>
      <c r="I677" s="2" t="s">
        <v>57</v>
      </c>
      <c r="J677" s="2" t="s">
        <v>28</v>
      </c>
      <c r="K677">
        <v>82509</v>
      </c>
      <c r="L677" s="2" t="s">
        <v>22</v>
      </c>
      <c r="M677">
        <v>0.17</v>
      </c>
      <c r="N677">
        <v>0.51</v>
      </c>
      <c r="O677">
        <v>40435</v>
      </c>
      <c r="P677">
        <v>0</v>
      </c>
      <c r="Q677">
        <v>38</v>
      </c>
      <c r="R677">
        <v>24261</v>
      </c>
      <c r="S677">
        <v>56609</v>
      </c>
      <c r="T677">
        <v>8087</v>
      </c>
      <c r="U677">
        <v>0</v>
      </c>
      <c r="V677" s="2" t="s">
        <v>2056</v>
      </c>
      <c r="W677" s="2" t="s">
        <v>2057</v>
      </c>
      <c r="X677">
        <v>67391.666700000002</v>
      </c>
      <c r="Y677">
        <v>0.25</v>
      </c>
      <c r="Z677" s="2" t="s">
        <v>2061</v>
      </c>
    </row>
    <row r="678" spans="1:26" x14ac:dyDescent="0.3">
      <c r="A678" s="2" t="s">
        <v>1398</v>
      </c>
      <c r="B678" s="1">
        <v>45235</v>
      </c>
      <c r="C678" s="2" t="s">
        <v>1399</v>
      </c>
      <c r="D678" s="2" t="s">
        <v>46</v>
      </c>
      <c r="E678">
        <v>2177</v>
      </c>
      <c r="F678">
        <v>8</v>
      </c>
      <c r="G678">
        <v>36</v>
      </c>
      <c r="H678" s="2" t="s">
        <v>60</v>
      </c>
      <c r="I678" s="2" t="s">
        <v>57</v>
      </c>
      <c r="J678" s="2" t="s">
        <v>47</v>
      </c>
      <c r="K678">
        <v>96406</v>
      </c>
      <c r="L678" s="2" t="s">
        <v>29</v>
      </c>
      <c r="M678">
        <v>0.23</v>
      </c>
      <c r="N678">
        <v>0.7</v>
      </c>
      <c r="O678">
        <v>0</v>
      </c>
      <c r="P678">
        <v>0</v>
      </c>
      <c r="Q678">
        <v>28</v>
      </c>
      <c r="R678">
        <v>522.48</v>
      </c>
      <c r="S678">
        <v>2699.48</v>
      </c>
      <c r="T678">
        <v>-2177</v>
      </c>
      <c r="U678">
        <v>0</v>
      </c>
      <c r="V678" s="2" t="s">
        <v>2063</v>
      </c>
      <c r="W678" s="2" t="s">
        <v>2057</v>
      </c>
      <c r="X678">
        <v>1451.3333</v>
      </c>
      <c r="Y678">
        <v>-1</v>
      </c>
      <c r="Z678" s="2" t="s">
        <v>2061</v>
      </c>
    </row>
    <row r="679" spans="1:26" x14ac:dyDescent="0.3">
      <c r="A679" s="2" t="s">
        <v>1400</v>
      </c>
      <c r="B679" s="1">
        <v>44681</v>
      </c>
      <c r="C679" s="2" t="s">
        <v>1401</v>
      </c>
      <c r="D679" s="2" t="s">
        <v>53</v>
      </c>
      <c r="E679">
        <v>5760</v>
      </c>
      <c r="F679">
        <v>21.3</v>
      </c>
      <c r="G679">
        <v>36</v>
      </c>
      <c r="H679" s="2" t="s">
        <v>19</v>
      </c>
      <c r="I679" s="2" t="s">
        <v>84</v>
      </c>
      <c r="J679" s="2" t="s">
        <v>32</v>
      </c>
      <c r="K679">
        <v>124220</v>
      </c>
      <c r="L679" s="2" t="s">
        <v>22</v>
      </c>
      <c r="M679">
        <v>0.27</v>
      </c>
      <c r="N679">
        <v>0.63</v>
      </c>
      <c r="O679">
        <v>6986.88</v>
      </c>
      <c r="P679">
        <v>0</v>
      </c>
      <c r="Q679">
        <v>46</v>
      </c>
      <c r="R679">
        <v>3680.6400000000008</v>
      </c>
      <c r="S679">
        <v>9440.6400000000012</v>
      </c>
      <c r="T679">
        <v>1226.8800000000001</v>
      </c>
      <c r="U679">
        <v>0</v>
      </c>
      <c r="V679" s="2" t="s">
        <v>2056</v>
      </c>
      <c r="W679" s="2" t="s">
        <v>2062</v>
      </c>
      <c r="X679">
        <v>10224</v>
      </c>
      <c r="Y679">
        <v>0.21300000000000002</v>
      </c>
      <c r="Z679" s="2" t="s">
        <v>2061</v>
      </c>
    </row>
    <row r="680" spans="1:26" x14ac:dyDescent="0.3">
      <c r="A680" s="2" t="s">
        <v>1402</v>
      </c>
      <c r="B680" s="1">
        <v>44224</v>
      </c>
      <c r="C680" s="2" t="s">
        <v>1403</v>
      </c>
      <c r="D680" s="2" t="s">
        <v>50</v>
      </c>
      <c r="E680">
        <v>33779</v>
      </c>
      <c r="F680">
        <v>9.1</v>
      </c>
      <c r="G680">
        <v>60</v>
      </c>
      <c r="H680" s="2" t="s">
        <v>19</v>
      </c>
      <c r="I680" s="2" t="s">
        <v>20</v>
      </c>
      <c r="J680" s="2" t="s">
        <v>32</v>
      </c>
      <c r="K680">
        <v>69519</v>
      </c>
      <c r="L680" s="2" t="s">
        <v>33</v>
      </c>
      <c r="M680">
        <v>0.46</v>
      </c>
      <c r="N680">
        <v>0.92</v>
      </c>
      <c r="O680">
        <v>36852.89</v>
      </c>
      <c r="P680">
        <v>0</v>
      </c>
      <c r="Q680">
        <v>61</v>
      </c>
      <c r="R680">
        <v>15369.444999999998</v>
      </c>
      <c r="S680">
        <v>49148.445</v>
      </c>
      <c r="T680">
        <v>3073.8899999999994</v>
      </c>
      <c r="U680">
        <v>0</v>
      </c>
      <c r="V680" s="2" t="s">
        <v>2056</v>
      </c>
      <c r="W680" s="2" t="s">
        <v>2057</v>
      </c>
      <c r="X680">
        <v>25615.741699999999</v>
      </c>
      <c r="Y680">
        <v>9.1000029604191943E-2</v>
      </c>
      <c r="Z680" s="2" t="s">
        <v>2058</v>
      </c>
    </row>
    <row r="681" spans="1:26" x14ac:dyDescent="0.3">
      <c r="A681" s="2" t="s">
        <v>1404</v>
      </c>
      <c r="B681" s="1">
        <v>44910</v>
      </c>
      <c r="C681" s="2" t="s">
        <v>1405</v>
      </c>
      <c r="D681" s="2" t="s">
        <v>50</v>
      </c>
      <c r="E681">
        <v>22636</v>
      </c>
      <c r="F681">
        <v>20.6</v>
      </c>
      <c r="G681">
        <v>36</v>
      </c>
      <c r="H681" s="2" t="s">
        <v>26</v>
      </c>
      <c r="I681" s="2" t="s">
        <v>73</v>
      </c>
      <c r="J681" s="2" t="s">
        <v>47</v>
      </c>
      <c r="K681">
        <v>79649</v>
      </c>
      <c r="L681" s="2" t="s">
        <v>29</v>
      </c>
      <c r="M681">
        <v>0.2</v>
      </c>
      <c r="N681">
        <v>0.56000000000000005</v>
      </c>
      <c r="O681">
        <v>9045.0499999999993</v>
      </c>
      <c r="P681">
        <v>0</v>
      </c>
      <c r="Q681">
        <v>39</v>
      </c>
      <c r="R681">
        <v>13989.048000000003</v>
      </c>
      <c r="S681">
        <v>36625.048000000003</v>
      </c>
      <c r="T681">
        <v>-13590.95</v>
      </c>
      <c r="U681">
        <v>0</v>
      </c>
      <c r="V681" s="2" t="s">
        <v>2059</v>
      </c>
      <c r="W681" s="2" t="s">
        <v>2064</v>
      </c>
      <c r="X681">
        <v>38858.466699999997</v>
      </c>
      <c r="Y681">
        <v>-0.60041305884431884</v>
      </c>
      <c r="Z681" s="2" t="s">
        <v>2061</v>
      </c>
    </row>
    <row r="682" spans="1:26" x14ac:dyDescent="0.3">
      <c r="A682" s="2" t="s">
        <v>1406</v>
      </c>
      <c r="B682" s="1">
        <v>45259</v>
      </c>
      <c r="C682" s="2" t="s">
        <v>1407</v>
      </c>
      <c r="D682" s="2" t="s">
        <v>76</v>
      </c>
      <c r="E682">
        <v>17353</v>
      </c>
      <c r="F682">
        <v>19.7</v>
      </c>
      <c r="G682">
        <v>36</v>
      </c>
      <c r="H682" s="2" t="s">
        <v>26</v>
      </c>
      <c r="I682" s="2" t="s">
        <v>84</v>
      </c>
      <c r="J682" s="2" t="s">
        <v>37</v>
      </c>
      <c r="K682">
        <v>64524</v>
      </c>
      <c r="L682" s="2" t="s">
        <v>29</v>
      </c>
      <c r="M682">
        <v>0.14000000000000001</v>
      </c>
      <c r="N682">
        <v>0.79</v>
      </c>
      <c r="O682">
        <v>7025.57</v>
      </c>
      <c r="P682">
        <v>0</v>
      </c>
      <c r="Q682">
        <v>27</v>
      </c>
      <c r="R682">
        <v>10255.623</v>
      </c>
      <c r="S682">
        <v>27608.623</v>
      </c>
      <c r="T682">
        <v>-10327.43</v>
      </c>
      <c r="U682">
        <v>0</v>
      </c>
      <c r="V682" s="2" t="s">
        <v>2059</v>
      </c>
      <c r="W682" s="2" t="s">
        <v>2062</v>
      </c>
      <c r="X682">
        <v>28487.841700000001</v>
      </c>
      <c r="Y682">
        <v>-0.59513801648130005</v>
      </c>
      <c r="Z682" s="2" t="s">
        <v>2061</v>
      </c>
    </row>
    <row r="683" spans="1:26" x14ac:dyDescent="0.3">
      <c r="A683" s="2" t="s">
        <v>1408</v>
      </c>
      <c r="B683" s="1">
        <v>44282</v>
      </c>
      <c r="C683" s="2" t="s">
        <v>1409</v>
      </c>
      <c r="D683" s="2" t="s">
        <v>18</v>
      </c>
      <c r="E683">
        <v>12556</v>
      </c>
      <c r="F683">
        <v>11</v>
      </c>
      <c r="G683">
        <v>60</v>
      </c>
      <c r="H683" s="2" t="s">
        <v>81</v>
      </c>
      <c r="I683" s="2" t="s">
        <v>84</v>
      </c>
      <c r="J683" s="2" t="s">
        <v>37</v>
      </c>
      <c r="K683">
        <v>126493</v>
      </c>
      <c r="L683" s="2" t="s">
        <v>29</v>
      </c>
      <c r="M683">
        <v>0.23</v>
      </c>
      <c r="N683">
        <v>0.52</v>
      </c>
      <c r="O683">
        <v>3922.58</v>
      </c>
      <c r="P683">
        <v>3494.67</v>
      </c>
      <c r="Q683">
        <v>59</v>
      </c>
      <c r="R683">
        <v>6905.8</v>
      </c>
      <c r="S683">
        <v>19461.8</v>
      </c>
      <c r="T683">
        <v>-5138.75</v>
      </c>
      <c r="U683">
        <v>1</v>
      </c>
      <c r="V683" s="2" t="s">
        <v>2063</v>
      </c>
      <c r="W683" s="2" t="s">
        <v>2062</v>
      </c>
      <c r="X683">
        <v>11509.6667</v>
      </c>
      <c r="Y683">
        <v>-0.40926648614208344</v>
      </c>
      <c r="Z683" s="2" t="s">
        <v>2061</v>
      </c>
    </row>
    <row r="684" spans="1:26" x14ac:dyDescent="0.3">
      <c r="A684" s="2" t="s">
        <v>1410</v>
      </c>
      <c r="B684" s="1">
        <v>44322</v>
      </c>
      <c r="C684" s="2" t="s">
        <v>1411</v>
      </c>
      <c r="D684" s="2" t="s">
        <v>18</v>
      </c>
      <c r="E684">
        <v>28598</v>
      </c>
      <c r="F684">
        <v>11.5</v>
      </c>
      <c r="G684">
        <v>60</v>
      </c>
      <c r="H684" s="2" t="s">
        <v>26</v>
      </c>
      <c r="I684" s="2" t="s">
        <v>36</v>
      </c>
      <c r="J684" s="2" t="s">
        <v>21</v>
      </c>
      <c r="K684">
        <v>63885</v>
      </c>
      <c r="L684" s="2" t="s">
        <v>29</v>
      </c>
      <c r="M684">
        <v>0.14000000000000001</v>
      </c>
      <c r="N684">
        <v>0.7</v>
      </c>
      <c r="O684">
        <v>4701.45</v>
      </c>
      <c r="P684">
        <v>0</v>
      </c>
      <c r="Q684">
        <v>58</v>
      </c>
      <c r="R684">
        <v>16443.850000000002</v>
      </c>
      <c r="S684">
        <v>45041.850000000006</v>
      </c>
      <c r="T684">
        <v>-23896.55</v>
      </c>
      <c r="U684">
        <v>0</v>
      </c>
      <c r="V684" s="2" t="s">
        <v>2059</v>
      </c>
      <c r="W684" s="2" t="s">
        <v>2062</v>
      </c>
      <c r="X684">
        <v>27406.416700000002</v>
      </c>
      <c r="Y684">
        <v>-0.83560214000979083</v>
      </c>
      <c r="Z684" s="2" t="s">
        <v>2061</v>
      </c>
    </row>
    <row r="685" spans="1:26" x14ac:dyDescent="0.3">
      <c r="A685" s="2" t="s">
        <v>1412</v>
      </c>
      <c r="B685" s="1">
        <v>45008</v>
      </c>
      <c r="C685" s="2" t="s">
        <v>1413</v>
      </c>
      <c r="D685" s="2" t="s">
        <v>72</v>
      </c>
      <c r="E685">
        <v>12563</v>
      </c>
      <c r="F685">
        <v>20.9</v>
      </c>
      <c r="G685">
        <v>60</v>
      </c>
      <c r="H685" s="2" t="s">
        <v>19</v>
      </c>
      <c r="I685" s="2" t="s">
        <v>27</v>
      </c>
      <c r="J685" s="2" t="s">
        <v>37</v>
      </c>
      <c r="K685">
        <v>74369</v>
      </c>
      <c r="L685" s="2" t="s">
        <v>22</v>
      </c>
      <c r="M685">
        <v>0.15</v>
      </c>
      <c r="N685">
        <v>0.75</v>
      </c>
      <c r="O685">
        <v>15188.67</v>
      </c>
      <c r="P685">
        <v>0</v>
      </c>
      <c r="Q685">
        <v>35</v>
      </c>
      <c r="R685">
        <v>13128.334999999997</v>
      </c>
      <c r="S685">
        <v>25691.334999999999</v>
      </c>
      <c r="T685">
        <v>2625.67</v>
      </c>
      <c r="U685">
        <v>0</v>
      </c>
      <c r="V685" s="2" t="s">
        <v>2056</v>
      </c>
      <c r="W685" s="2" t="s">
        <v>2060</v>
      </c>
      <c r="X685">
        <v>21880.558300000001</v>
      </c>
      <c r="Y685">
        <v>0.20900023879646581</v>
      </c>
      <c r="Z685" s="2" t="s">
        <v>2061</v>
      </c>
    </row>
    <row r="686" spans="1:26" x14ac:dyDescent="0.3">
      <c r="A686" s="2" t="s">
        <v>1414</v>
      </c>
      <c r="B686" s="1">
        <v>44733</v>
      </c>
      <c r="C686" s="2" t="s">
        <v>1415</v>
      </c>
      <c r="D686" s="2" t="s">
        <v>50</v>
      </c>
      <c r="E686">
        <v>9234</v>
      </c>
      <c r="F686">
        <v>14.2</v>
      </c>
      <c r="G686">
        <v>36</v>
      </c>
      <c r="H686" s="2" t="s">
        <v>60</v>
      </c>
      <c r="I686" s="2" t="s">
        <v>20</v>
      </c>
      <c r="J686" s="2" t="s">
        <v>21</v>
      </c>
      <c r="K686">
        <v>131132</v>
      </c>
      <c r="L686" s="2" t="s">
        <v>33</v>
      </c>
      <c r="M686">
        <v>0.33</v>
      </c>
      <c r="N686">
        <v>0.63</v>
      </c>
      <c r="O686">
        <v>0</v>
      </c>
      <c r="P686">
        <v>0</v>
      </c>
      <c r="Q686">
        <v>44</v>
      </c>
      <c r="R686">
        <v>3933.6839999999993</v>
      </c>
      <c r="S686">
        <v>13167.683999999999</v>
      </c>
      <c r="T686">
        <v>-9234</v>
      </c>
      <c r="U686">
        <v>0</v>
      </c>
      <c r="V686" s="2" t="s">
        <v>2063</v>
      </c>
      <c r="W686" s="2" t="s">
        <v>2057</v>
      </c>
      <c r="X686">
        <v>10926.9</v>
      </c>
      <c r="Y686">
        <v>-1</v>
      </c>
      <c r="Z686" s="2" t="s">
        <v>2061</v>
      </c>
    </row>
    <row r="687" spans="1:26" x14ac:dyDescent="0.3">
      <c r="A687" s="2" t="s">
        <v>1416</v>
      </c>
      <c r="B687" s="1">
        <v>44341</v>
      </c>
      <c r="C687" s="2" t="s">
        <v>1417</v>
      </c>
      <c r="D687" s="2" t="s">
        <v>53</v>
      </c>
      <c r="E687">
        <v>26519</v>
      </c>
      <c r="F687">
        <v>19.600000000000001</v>
      </c>
      <c r="G687">
        <v>36</v>
      </c>
      <c r="H687" s="2" t="s">
        <v>26</v>
      </c>
      <c r="I687" s="2" t="s">
        <v>20</v>
      </c>
      <c r="J687" s="2" t="s">
        <v>32</v>
      </c>
      <c r="K687">
        <v>125402</v>
      </c>
      <c r="L687" s="2" t="s">
        <v>33</v>
      </c>
      <c r="M687">
        <v>0.12</v>
      </c>
      <c r="N687">
        <v>0.7</v>
      </c>
      <c r="O687">
        <v>11613.67</v>
      </c>
      <c r="P687">
        <v>0</v>
      </c>
      <c r="Q687">
        <v>57</v>
      </c>
      <c r="R687">
        <v>15593.172</v>
      </c>
      <c r="S687">
        <v>42112.171999999999</v>
      </c>
      <c r="T687">
        <v>-14905.33</v>
      </c>
      <c r="U687">
        <v>0</v>
      </c>
      <c r="V687" s="2" t="s">
        <v>2059</v>
      </c>
      <c r="W687" s="2" t="s">
        <v>2057</v>
      </c>
      <c r="X687">
        <v>43314.366699999999</v>
      </c>
      <c r="Y687">
        <v>-0.56206229495833171</v>
      </c>
      <c r="Z687" s="2" t="s">
        <v>2061</v>
      </c>
    </row>
    <row r="688" spans="1:26" x14ac:dyDescent="0.3">
      <c r="A688" s="2" t="s">
        <v>1418</v>
      </c>
      <c r="B688" s="1">
        <v>44221</v>
      </c>
      <c r="C688" s="2" t="s">
        <v>1419</v>
      </c>
      <c r="D688" s="2" t="s">
        <v>65</v>
      </c>
      <c r="E688">
        <v>27966</v>
      </c>
      <c r="F688">
        <v>8</v>
      </c>
      <c r="G688">
        <v>60</v>
      </c>
      <c r="H688" s="2" t="s">
        <v>26</v>
      </c>
      <c r="I688" s="2" t="s">
        <v>73</v>
      </c>
      <c r="J688" s="2" t="s">
        <v>47</v>
      </c>
      <c r="K688">
        <v>60676</v>
      </c>
      <c r="L688" s="2" t="s">
        <v>29</v>
      </c>
      <c r="M688">
        <v>0.11</v>
      </c>
      <c r="N688">
        <v>0.56999999999999995</v>
      </c>
      <c r="O688">
        <v>12642.02</v>
      </c>
      <c r="P688">
        <v>0</v>
      </c>
      <c r="Q688">
        <v>61</v>
      </c>
      <c r="R688">
        <v>11186.400000000001</v>
      </c>
      <c r="S688">
        <v>39152.400000000001</v>
      </c>
      <c r="T688">
        <v>-15323.98</v>
      </c>
      <c r="U688">
        <v>0</v>
      </c>
      <c r="V688" s="2" t="s">
        <v>2059</v>
      </c>
      <c r="W688" s="2" t="s">
        <v>2064</v>
      </c>
      <c r="X688">
        <v>18644</v>
      </c>
      <c r="Y688">
        <v>-0.54795036830436961</v>
      </c>
      <c r="Z688" s="2" t="s">
        <v>2061</v>
      </c>
    </row>
    <row r="689" spans="1:26" x14ac:dyDescent="0.3">
      <c r="A689" s="2" t="s">
        <v>1420</v>
      </c>
      <c r="B689" s="1">
        <v>44263</v>
      </c>
      <c r="C689" s="2" t="s">
        <v>1421</v>
      </c>
      <c r="D689" s="2" t="s">
        <v>76</v>
      </c>
      <c r="E689">
        <v>17173</v>
      </c>
      <c r="F689">
        <v>22.1</v>
      </c>
      <c r="G689">
        <v>36</v>
      </c>
      <c r="H689" s="2" t="s">
        <v>19</v>
      </c>
      <c r="I689" s="2" t="s">
        <v>73</v>
      </c>
      <c r="J689" s="2" t="s">
        <v>37</v>
      </c>
      <c r="K689">
        <v>94093</v>
      </c>
      <c r="L689" s="2" t="s">
        <v>33</v>
      </c>
      <c r="M689">
        <v>0.39</v>
      </c>
      <c r="N689">
        <v>0.64</v>
      </c>
      <c r="O689">
        <v>20968.23</v>
      </c>
      <c r="P689">
        <v>0</v>
      </c>
      <c r="Q689">
        <v>60</v>
      </c>
      <c r="R689">
        <v>11385.699000000002</v>
      </c>
      <c r="S689">
        <v>28558.699000000001</v>
      </c>
      <c r="T689">
        <v>3795.2299999999996</v>
      </c>
      <c r="U689">
        <v>0</v>
      </c>
      <c r="V689" s="2" t="s">
        <v>2056</v>
      </c>
      <c r="W689" s="2" t="s">
        <v>2064</v>
      </c>
      <c r="X689">
        <v>31626.941699999999</v>
      </c>
      <c r="Y689">
        <v>0.22099982530716819</v>
      </c>
      <c r="Z689" s="2" t="s">
        <v>2061</v>
      </c>
    </row>
    <row r="690" spans="1:26" x14ac:dyDescent="0.3">
      <c r="A690" s="2" t="s">
        <v>1422</v>
      </c>
      <c r="B690" s="1">
        <v>44429</v>
      </c>
      <c r="C690" s="2" t="s">
        <v>1423</v>
      </c>
      <c r="D690" s="2" t="s">
        <v>76</v>
      </c>
      <c r="E690">
        <v>27987</v>
      </c>
      <c r="F690">
        <v>19.2</v>
      </c>
      <c r="G690">
        <v>60</v>
      </c>
      <c r="H690" s="2" t="s">
        <v>19</v>
      </c>
      <c r="I690" s="2" t="s">
        <v>20</v>
      </c>
      <c r="J690" s="2" t="s">
        <v>21</v>
      </c>
      <c r="K690">
        <v>77764</v>
      </c>
      <c r="L690" s="2" t="s">
        <v>22</v>
      </c>
      <c r="M690">
        <v>0.24</v>
      </c>
      <c r="N690">
        <v>0.78</v>
      </c>
      <c r="O690">
        <v>33360.5</v>
      </c>
      <c r="P690">
        <v>0</v>
      </c>
      <c r="Q690">
        <v>54</v>
      </c>
      <c r="R690">
        <v>26867.52</v>
      </c>
      <c r="S690">
        <v>54854.520000000004</v>
      </c>
      <c r="T690">
        <v>5373.5</v>
      </c>
      <c r="U690">
        <v>0</v>
      </c>
      <c r="V690" s="2" t="s">
        <v>2056</v>
      </c>
      <c r="W690" s="2" t="s">
        <v>2057</v>
      </c>
      <c r="X690">
        <v>44779.199999999997</v>
      </c>
      <c r="Y690">
        <v>0.1919998570764998</v>
      </c>
      <c r="Z690" s="2" t="s">
        <v>2061</v>
      </c>
    </row>
    <row r="691" spans="1:26" x14ac:dyDescent="0.3">
      <c r="A691" s="2" t="s">
        <v>1424</v>
      </c>
      <c r="B691" s="1">
        <v>44305</v>
      </c>
      <c r="C691" s="2" t="s">
        <v>1425</v>
      </c>
      <c r="D691" s="2" t="s">
        <v>53</v>
      </c>
      <c r="E691">
        <v>14178</v>
      </c>
      <c r="F691">
        <v>23.1</v>
      </c>
      <c r="G691">
        <v>60</v>
      </c>
      <c r="H691" s="2" t="s">
        <v>26</v>
      </c>
      <c r="I691" s="2" t="s">
        <v>20</v>
      </c>
      <c r="J691" s="2" t="s">
        <v>32</v>
      </c>
      <c r="K691">
        <v>80799</v>
      </c>
      <c r="L691" s="2" t="s">
        <v>33</v>
      </c>
      <c r="M691">
        <v>0.15</v>
      </c>
      <c r="N691">
        <v>0.64</v>
      </c>
      <c r="O691">
        <v>1947.61</v>
      </c>
      <c r="P691">
        <v>0</v>
      </c>
      <c r="Q691">
        <v>59</v>
      </c>
      <c r="R691">
        <v>16375.590000000002</v>
      </c>
      <c r="S691">
        <v>30553.590000000004</v>
      </c>
      <c r="T691">
        <v>-12230.39</v>
      </c>
      <c r="U691">
        <v>0</v>
      </c>
      <c r="V691" s="2" t="s">
        <v>2059</v>
      </c>
      <c r="W691" s="2" t="s">
        <v>2057</v>
      </c>
      <c r="X691">
        <v>27292.65</v>
      </c>
      <c r="Y691">
        <v>-0.86263154182536317</v>
      </c>
      <c r="Z691" s="2" t="s">
        <v>2061</v>
      </c>
    </row>
    <row r="692" spans="1:26" x14ac:dyDescent="0.3">
      <c r="A692" s="2" t="s">
        <v>1426</v>
      </c>
      <c r="B692" s="1">
        <v>44307</v>
      </c>
      <c r="C692" s="2" t="s">
        <v>1427</v>
      </c>
      <c r="D692" s="2" t="s">
        <v>65</v>
      </c>
      <c r="E692">
        <v>25596</v>
      </c>
      <c r="F692">
        <v>7.6</v>
      </c>
      <c r="G692">
        <v>36</v>
      </c>
      <c r="H692" s="2" t="s">
        <v>19</v>
      </c>
      <c r="I692" s="2" t="s">
        <v>73</v>
      </c>
      <c r="J692" s="2" t="s">
        <v>37</v>
      </c>
      <c r="K692">
        <v>109414</v>
      </c>
      <c r="L692" s="2" t="s">
        <v>22</v>
      </c>
      <c r="M692">
        <v>0.2</v>
      </c>
      <c r="N692">
        <v>0.9</v>
      </c>
      <c r="O692">
        <v>27541.3</v>
      </c>
      <c r="P692">
        <v>0</v>
      </c>
      <c r="Q692">
        <v>58</v>
      </c>
      <c r="R692">
        <v>5835.887999999999</v>
      </c>
      <c r="S692">
        <v>31431.887999999999</v>
      </c>
      <c r="T692">
        <v>1945.2999999999993</v>
      </c>
      <c r="U692">
        <v>0</v>
      </c>
      <c r="V692" s="2" t="s">
        <v>2056</v>
      </c>
      <c r="W692" s="2" t="s">
        <v>2064</v>
      </c>
      <c r="X692">
        <v>16210.800300000001</v>
      </c>
      <c r="Y692">
        <v>7.6000156274417849E-2</v>
      </c>
      <c r="Z692" s="2" t="s">
        <v>2058</v>
      </c>
    </row>
    <row r="693" spans="1:26" x14ac:dyDescent="0.3">
      <c r="A693" s="2" t="s">
        <v>1428</v>
      </c>
      <c r="B693" s="1">
        <v>44424</v>
      </c>
      <c r="C693" s="2" t="s">
        <v>1429</v>
      </c>
      <c r="D693" s="2" t="s">
        <v>72</v>
      </c>
      <c r="E693">
        <v>34174</v>
      </c>
      <c r="F693">
        <v>16.899999999999999</v>
      </c>
      <c r="G693">
        <v>36</v>
      </c>
      <c r="H693" s="2" t="s">
        <v>19</v>
      </c>
      <c r="I693" s="2" t="s">
        <v>27</v>
      </c>
      <c r="J693" s="2" t="s">
        <v>28</v>
      </c>
      <c r="K693">
        <v>135296</v>
      </c>
      <c r="L693" s="2" t="s">
        <v>22</v>
      </c>
      <c r="M693">
        <v>0.36</v>
      </c>
      <c r="N693">
        <v>0.78</v>
      </c>
      <c r="O693">
        <v>39949.410000000003</v>
      </c>
      <c r="P693">
        <v>0</v>
      </c>
      <c r="Q693">
        <v>55</v>
      </c>
      <c r="R693">
        <v>17326.218000000001</v>
      </c>
      <c r="S693">
        <v>51500.218000000001</v>
      </c>
      <c r="T693">
        <v>5775.4100000000035</v>
      </c>
      <c r="U693">
        <v>0</v>
      </c>
      <c r="V693" s="2" t="s">
        <v>2056</v>
      </c>
      <c r="W693" s="2" t="s">
        <v>2060</v>
      </c>
      <c r="X693">
        <v>48128.383300000001</v>
      </c>
      <c r="Y693">
        <v>0.16900011704804832</v>
      </c>
      <c r="Z693" s="2" t="s">
        <v>2061</v>
      </c>
    </row>
    <row r="694" spans="1:26" x14ac:dyDescent="0.3">
      <c r="A694" s="2" t="s">
        <v>1430</v>
      </c>
      <c r="B694" s="1">
        <v>44307</v>
      </c>
      <c r="C694" s="2" t="s">
        <v>1431</v>
      </c>
      <c r="D694" s="2" t="s">
        <v>46</v>
      </c>
      <c r="E694">
        <v>5431</v>
      </c>
      <c r="F694">
        <v>17</v>
      </c>
      <c r="G694">
        <v>60</v>
      </c>
      <c r="H694" s="2" t="s">
        <v>26</v>
      </c>
      <c r="I694" s="2" t="s">
        <v>41</v>
      </c>
      <c r="J694" s="2" t="s">
        <v>32</v>
      </c>
      <c r="K694">
        <v>123095</v>
      </c>
      <c r="L694" s="2" t="s">
        <v>33</v>
      </c>
      <c r="M694">
        <v>0.21</v>
      </c>
      <c r="N694">
        <v>0.7</v>
      </c>
      <c r="O694">
        <v>590.38</v>
      </c>
      <c r="P694">
        <v>0</v>
      </c>
      <c r="Q694">
        <v>58</v>
      </c>
      <c r="R694">
        <v>4616.3499999999995</v>
      </c>
      <c r="S694">
        <v>10047.349999999999</v>
      </c>
      <c r="T694">
        <v>-4840.62</v>
      </c>
      <c r="U694">
        <v>0</v>
      </c>
      <c r="V694" s="2" t="s">
        <v>2059</v>
      </c>
      <c r="W694" s="2" t="s">
        <v>2062</v>
      </c>
      <c r="X694">
        <v>7693.9166999999998</v>
      </c>
      <c r="Y694">
        <v>-0.89129442091695821</v>
      </c>
      <c r="Z694" s="2" t="s">
        <v>2061</v>
      </c>
    </row>
    <row r="695" spans="1:26" x14ac:dyDescent="0.3">
      <c r="A695" s="2" t="s">
        <v>1432</v>
      </c>
      <c r="B695" s="1">
        <v>44230</v>
      </c>
      <c r="C695" s="2" t="s">
        <v>1433</v>
      </c>
      <c r="D695" s="2" t="s">
        <v>56</v>
      </c>
      <c r="E695">
        <v>28764</v>
      </c>
      <c r="F695">
        <v>12.1</v>
      </c>
      <c r="G695">
        <v>60</v>
      </c>
      <c r="H695" s="2" t="s">
        <v>19</v>
      </c>
      <c r="I695" s="2" t="s">
        <v>27</v>
      </c>
      <c r="J695" s="2" t="s">
        <v>37</v>
      </c>
      <c r="K695">
        <v>142082</v>
      </c>
      <c r="L695" s="2" t="s">
        <v>22</v>
      </c>
      <c r="M695">
        <v>0.3</v>
      </c>
      <c r="N695">
        <v>0.52</v>
      </c>
      <c r="O695">
        <v>32244.44</v>
      </c>
      <c r="P695">
        <v>0</v>
      </c>
      <c r="Q695">
        <v>61</v>
      </c>
      <c r="R695">
        <v>17402.219999999998</v>
      </c>
      <c r="S695">
        <v>46166.22</v>
      </c>
      <c r="T695">
        <v>3480.4399999999987</v>
      </c>
      <c r="U695">
        <v>0</v>
      </c>
      <c r="V695" s="2" t="s">
        <v>2056</v>
      </c>
      <c r="W695" s="2" t="s">
        <v>2060</v>
      </c>
      <c r="X695">
        <v>29003.7</v>
      </c>
      <c r="Y695">
        <v>0.12099986093728267</v>
      </c>
      <c r="Z695" s="2" t="s">
        <v>2061</v>
      </c>
    </row>
    <row r="696" spans="1:26" x14ac:dyDescent="0.3">
      <c r="A696" s="2" t="s">
        <v>1434</v>
      </c>
      <c r="B696" s="1">
        <v>44819</v>
      </c>
      <c r="C696" s="2" t="s">
        <v>1435</v>
      </c>
      <c r="D696" s="2" t="s">
        <v>50</v>
      </c>
      <c r="E696">
        <v>22627</v>
      </c>
      <c r="F696">
        <v>14.2</v>
      </c>
      <c r="G696">
        <v>60</v>
      </c>
      <c r="H696" s="2" t="s">
        <v>19</v>
      </c>
      <c r="I696" s="2" t="s">
        <v>84</v>
      </c>
      <c r="J696" s="2" t="s">
        <v>32</v>
      </c>
      <c r="K696">
        <v>102307</v>
      </c>
      <c r="L696" s="2" t="s">
        <v>22</v>
      </c>
      <c r="M696">
        <v>0.15</v>
      </c>
      <c r="N696">
        <v>0.72</v>
      </c>
      <c r="O696">
        <v>25840.03</v>
      </c>
      <c r="P696">
        <v>0</v>
      </c>
      <c r="Q696">
        <v>42</v>
      </c>
      <c r="R696">
        <v>16065.169999999998</v>
      </c>
      <c r="S696">
        <v>38692.17</v>
      </c>
      <c r="T696">
        <v>3213.0299999999988</v>
      </c>
      <c r="U696">
        <v>0</v>
      </c>
      <c r="V696" s="2" t="s">
        <v>2056</v>
      </c>
      <c r="W696" s="2" t="s">
        <v>2062</v>
      </c>
      <c r="X696">
        <v>26775.283299999999</v>
      </c>
      <c r="Y696">
        <v>0.14199982322004678</v>
      </c>
      <c r="Z696" s="2" t="s">
        <v>2061</v>
      </c>
    </row>
    <row r="697" spans="1:26" x14ac:dyDescent="0.3">
      <c r="A697" s="2" t="s">
        <v>1436</v>
      </c>
      <c r="B697" s="1">
        <v>44944</v>
      </c>
      <c r="C697" s="2" t="s">
        <v>1437</v>
      </c>
      <c r="D697" s="2" t="s">
        <v>18</v>
      </c>
      <c r="E697">
        <v>9906</v>
      </c>
      <c r="F697">
        <v>5.8</v>
      </c>
      <c r="G697">
        <v>60</v>
      </c>
      <c r="H697" s="2" t="s">
        <v>19</v>
      </c>
      <c r="I697" s="2" t="s">
        <v>73</v>
      </c>
      <c r="J697" s="2" t="s">
        <v>47</v>
      </c>
      <c r="K697">
        <v>112062</v>
      </c>
      <c r="L697" s="2" t="s">
        <v>22</v>
      </c>
      <c r="M697">
        <v>0.34</v>
      </c>
      <c r="N697">
        <v>0.84</v>
      </c>
      <c r="O697">
        <v>10480.549999999999</v>
      </c>
      <c r="P697">
        <v>0</v>
      </c>
      <c r="Q697">
        <v>38</v>
      </c>
      <c r="R697">
        <v>2872.74</v>
      </c>
      <c r="S697">
        <v>12778.74</v>
      </c>
      <c r="T697">
        <v>574.54999999999927</v>
      </c>
      <c r="U697">
        <v>0</v>
      </c>
      <c r="V697" s="2" t="s">
        <v>2056</v>
      </c>
      <c r="W697" s="2" t="s">
        <v>2064</v>
      </c>
      <c r="X697">
        <v>4787.8999999999996</v>
      </c>
      <c r="Y697">
        <v>5.8000201897839616E-2</v>
      </c>
      <c r="Z697" s="2" t="s">
        <v>2058</v>
      </c>
    </row>
    <row r="698" spans="1:26" x14ac:dyDescent="0.3">
      <c r="A698" s="2" t="s">
        <v>1438</v>
      </c>
      <c r="B698" s="1">
        <v>44791</v>
      </c>
      <c r="C698" s="2" t="s">
        <v>1439</v>
      </c>
      <c r="D698" s="2" t="s">
        <v>53</v>
      </c>
      <c r="E698">
        <v>37914</v>
      </c>
      <c r="F698">
        <v>19.899999999999999</v>
      </c>
      <c r="G698">
        <v>36</v>
      </c>
      <c r="H698" s="2" t="s">
        <v>19</v>
      </c>
      <c r="I698" s="2" t="s">
        <v>41</v>
      </c>
      <c r="J698" s="2" t="s">
        <v>47</v>
      </c>
      <c r="K698">
        <v>125432</v>
      </c>
      <c r="L698" s="2" t="s">
        <v>22</v>
      </c>
      <c r="M698">
        <v>0.23</v>
      </c>
      <c r="N698">
        <v>0.62</v>
      </c>
      <c r="O698">
        <v>45458.89</v>
      </c>
      <c r="P698">
        <v>0</v>
      </c>
      <c r="Q698">
        <v>43</v>
      </c>
      <c r="R698">
        <v>22634.657999999999</v>
      </c>
      <c r="S698">
        <v>60548.657999999996</v>
      </c>
      <c r="T698">
        <v>7544.8899999999994</v>
      </c>
      <c r="U698">
        <v>0</v>
      </c>
      <c r="V698" s="2" t="s">
        <v>2056</v>
      </c>
      <c r="W698" s="2" t="s">
        <v>2062</v>
      </c>
      <c r="X698">
        <v>62874.05</v>
      </c>
      <c r="Y698">
        <v>0.1990001055019254</v>
      </c>
      <c r="Z698" s="2" t="s">
        <v>2061</v>
      </c>
    </row>
    <row r="699" spans="1:26" x14ac:dyDescent="0.3">
      <c r="A699" s="2" t="s">
        <v>1440</v>
      </c>
      <c r="B699" s="1">
        <v>44621</v>
      </c>
      <c r="C699" s="2" t="s">
        <v>1441</v>
      </c>
      <c r="D699" s="2" t="s">
        <v>50</v>
      </c>
      <c r="E699">
        <v>14076</v>
      </c>
      <c r="F699">
        <v>16</v>
      </c>
      <c r="G699">
        <v>60</v>
      </c>
      <c r="H699" s="2" t="s">
        <v>26</v>
      </c>
      <c r="I699" s="2" t="s">
        <v>27</v>
      </c>
      <c r="J699" s="2" t="s">
        <v>47</v>
      </c>
      <c r="K699">
        <v>61923</v>
      </c>
      <c r="L699" s="2" t="s">
        <v>29</v>
      </c>
      <c r="M699">
        <v>0.35</v>
      </c>
      <c r="N699">
        <v>0.86</v>
      </c>
      <c r="O699">
        <v>6883.48</v>
      </c>
      <c r="P699">
        <v>0</v>
      </c>
      <c r="Q699">
        <v>48</v>
      </c>
      <c r="R699">
        <v>11260.799999999997</v>
      </c>
      <c r="S699">
        <v>25336.799999999996</v>
      </c>
      <c r="T699">
        <v>-7192.52</v>
      </c>
      <c r="U699">
        <v>0</v>
      </c>
      <c r="V699" s="2" t="s">
        <v>2059</v>
      </c>
      <c r="W699" s="2" t="s">
        <v>2060</v>
      </c>
      <c r="X699">
        <v>18768</v>
      </c>
      <c r="Y699">
        <v>-0.51097755044046611</v>
      </c>
      <c r="Z699" s="2" t="s">
        <v>2058</v>
      </c>
    </row>
    <row r="700" spans="1:26" x14ac:dyDescent="0.3">
      <c r="A700" s="2" t="s">
        <v>1442</v>
      </c>
      <c r="B700" s="1">
        <v>44809</v>
      </c>
      <c r="C700" s="2" t="s">
        <v>1443</v>
      </c>
      <c r="D700" s="2" t="s">
        <v>18</v>
      </c>
      <c r="E700">
        <v>38650</v>
      </c>
      <c r="F700">
        <v>6.2</v>
      </c>
      <c r="G700">
        <v>60</v>
      </c>
      <c r="H700" s="2" t="s">
        <v>19</v>
      </c>
      <c r="I700" s="2" t="s">
        <v>84</v>
      </c>
      <c r="J700" s="2" t="s">
        <v>28</v>
      </c>
      <c r="K700">
        <v>147449</v>
      </c>
      <c r="L700" s="2" t="s">
        <v>33</v>
      </c>
      <c r="M700">
        <v>0.42</v>
      </c>
      <c r="N700">
        <v>0.61</v>
      </c>
      <c r="O700">
        <v>41046.300000000003</v>
      </c>
      <c r="P700">
        <v>0</v>
      </c>
      <c r="Q700">
        <v>42</v>
      </c>
      <c r="R700">
        <v>11981.5</v>
      </c>
      <c r="S700">
        <v>50631.5</v>
      </c>
      <c r="T700">
        <v>2396.3000000000029</v>
      </c>
      <c r="U700">
        <v>0</v>
      </c>
      <c r="V700" s="2" t="s">
        <v>2056</v>
      </c>
      <c r="W700" s="2" t="s">
        <v>2062</v>
      </c>
      <c r="X700">
        <v>19969.166700000002</v>
      </c>
      <c r="Y700">
        <v>6.2000000000000076E-2</v>
      </c>
      <c r="Z700" s="2" t="s">
        <v>2058</v>
      </c>
    </row>
    <row r="701" spans="1:26" x14ac:dyDescent="0.3">
      <c r="A701" s="2" t="s">
        <v>1444</v>
      </c>
      <c r="B701" s="1">
        <v>44888</v>
      </c>
      <c r="C701" s="2" t="s">
        <v>1445</v>
      </c>
      <c r="D701" s="2" t="s">
        <v>56</v>
      </c>
      <c r="E701">
        <v>7012</v>
      </c>
      <c r="F701">
        <v>18.600000000000001</v>
      </c>
      <c r="G701">
        <v>60</v>
      </c>
      <c r="H701" s="2" t="s">
        <v>19</v>
      </c>
      <c r="I701" s="2" t="s">
        <v>36</v>
      </c>
      <c r="J701" s="2" t="s">
        <v>47</v>
      </c>
      <c r="K701">
        <v>131739</v>
      </c>
      <c r="L701" s="2" t="s">
        <v>29</v>
      </c>
      <c r="M701">
        <v>0.34</v>
      </c>
      <c r="N701">
        <v>0.87</v>
      </c>
      <c r="O701">
        <v>8316.23</v>
      </c>
      <c r="P701">
        <v>0</v>
      </c>
      <c r="Q701">
        <v>39</v>
      </c>
      <c r="R701">
        <v>6521.1600000000008</v>
      </c>
      <c r="S701">
        <v>13533.16</v>
      </c>
      <c r="T701">
        <v>1304.2299999999996</v>
      </c>
      <c r="U701">
        <v>0</v>
      </c>
      <c r="V701" s="2" t="s">
        <v>2056</v>
      </c>
      <c r="W701" s="2" t="s">
        <v>2062</v>
      </c>
      <c r="X701">
        <v>10868.6</v>
      </c>
      <c r="Y701">
        <v>0.18599971477467192</v>
      </c>
      <c r="Z701" s="2" t="s">
        <v>2058</v>
      </c>
    </row>
    <row r="702" spans="1:26" x14ac:dyDescent="0.3">
      <c r="A702" s="2" t="s">
        <v>1446</v>
      </c>
      <c r="B702" s="1">
        <v>44511</v>
      </c>
      <c r="C702" s="2" t="s">
        <v>1447</v>
      </c>
      <c r="D702" s="2" t="s">
        <v>56</v>
      </c>
      <c r="E702">
        <v>8151</v>
      </c>
      <c r="F702">
        <v>14.3</v>
      </c>
      <c r="G702">
        <v>36</v>
      </c>
      <c r="H702" s="2" t="s">
        <v>26</v>
      </c>
      <c r="I702" s="2" t="s">
        <v>36</v>
      </c>
      <c r="J702" s="2" t="s">
        <v>28</v>
      </c>
      <c r="K702">
        <v>134926</v>
      </c>
      <c r="L702" s="2" t="s">
        <v>22</v>
      </c>
      <c r="M702">
        <v>0.22</v>
      </c>
      <c r="N702">
        <v>0.54</v>
      </c>
      <c r="O702">
        <v>3592.52</v>
      </c>
      <c r="P702">
        <v>0</v>
      </c>
      <c r="Q702">
        <v>52</v>
      </c>
      <c r="R702">
        <v>3496.7790000000005</v>
      </c>
      <c r="S702">
        <v>11647.779</v>
      </c>
      <c r="T702">
        <v>-4558.4799999999996</v>
      </c>
      <c r="U702">
        <v>0</v>
      </c>
      <c r="V702" s="2" t="s">
        <v>2059</v>
      </c>
      <c r="W702" s="2" t="s">
        <v>2062</v>
      </c>
      <c r="X702">
        <v>9713.2749999999996</v>
      </c>
      <c r="Y702">
        <v>-0.55925407925407922</v>
      </c>
      <c r="Z702" s="2" t="s">
        <v>2061</v>
      </c>
    </row>
    <row r="703" spans="1:26" x14ac:dyDescent="0.3">
      <c r="A703" s="2" t="s">
        <v>1448</v>
      </c>
      <c r="B703" s="1">
        <v>45073</v>
      </c>
      <c r="C703" s="2" t="s">
        <v>1449</v>
      </c>
      <c r="D703" s="2" t="s">
        <v>46</v>
      </c>
      <c r="E703">
        <v>29211</v>
      </c>
      <c r="F703">
        <v>5.7</v>
      </c>
      <c r="G703">
        <v>36</v>
      </c>
      <c r="H703" s="2" t="s">
        <v>60</v>
      </c>
      <c r="I703" s="2" t="s">
        <v>57</v>
      </c>
      <c r="J703" s="2" t="s">
        <v>47</v>
      </c>
      <c r="K703">
        <v>108388</v>
      </c>
      <c r="L703" s="2" t="s">
        <v>33</v>
      </c>
      <c r="M703">
        <v>0.2</v>
      </c>
      <c r="N703">
        <v>0.89</v>
      </c>
      <c r="O703">
        <v>0</v>
      </c>
      <c r="P703">
        <v>0</v>
      </c>
      <c r="Q703">
        <v>33</v>
      </c>
      <c r="R703">
        <v>4995.0810000000001</v>
      </c>
      <c r="S703">
        <v>34206.080999999998</v>
      </c>
      <c r="T703">
        <v>-29211</v>
      </c>
      <c r="U703">
        <v>0</v>
      </c>
      <c r="V703" s="2" t="s">
        <v>2063</v>
      </c>
      <c r="W703" s="2" t="s">
        <v>2057</v>
      </c>
      <c r="X703">
        <v>13875.2366</v>
      </c>
      <c r="Y703">
        <v>-1</v>
      </c>
      <c r="Z703" s="2" t="s">
        <v>2058</v>
      </c>
    </row>
    <row r="704" spans="1:26" x14ac:dyDescent="0.3">
      <c r="A704" s="2" t="s">
        <v>1450</v>
      </c>
      <c r="B704" s="1">
        <v>44858</v>
      </c>
      <c r="C704" s="2" t="s">
        <v>1451</v>
      </c>
      <c r="D704" s="2" t="s">
        <v>25</v>
      </c>
      <c r="E704">
        <v>28117</v>
      </c>
      <c r="F704">
        <v>24.4</v>
      </c>
      <c r="G704">
        <v>60</v>
      </c>
      <c r="H704" s="2" t="s">
        <v>26</v>
      </c>
      <c r="I704" s="2" t="s">
        <v>20</v>
      </c>
      <c r="J704" s="2" t="s">
        <v>32</v>
      </c>
      <c r="K704">
        <v>77574</v>
      </c>
      <c r="L704" s="2" t="s">
        <v>22</v>
      </c>
      <c r="M704">
        <v>0.23</v>
      </c>
      <c r="N704">
        <v>0.72</v>
      </c>
      <c r="O704">
        <v>12707.65</v>
      </c>
      <c r="P704">
        <v>0</v>
      </c>
      <c r="Q704">
        <v>40</v>
      </c>
      <c r="R704">
        <v>34302.74</v>
      </c>
      <c r="S704">
        <v>62419.74</v>
      </c>
      <c r="T704">
        <v>-15409.35</v>
      </c>
      <c r="U704">
        <v>0</v>
      </c>
      <c r="V704" s="2" t="s">
        <v>2059</v>
      </c>
      <c r="W704" s="2" t="s">
        <v>2057</v>
      </c>
      <c r="X704">
        <v>57171.2333</v>
      </c>
      <c r="Y704">
        <v>-0.54804388803926452</v>
      </c>
      <c r="Z704" s="2" t="s">
        <v>2061</v>
      </c>
    </row>
    <row r="705" spans="1:26" x14ac:dyDescent="0.3">
      <c r="A705" s="2" t="s">
        <v>1452</v>
      </c>
      <c r="B705" s="1">
        <v>44473</v>
      </c>
      <c r="C705" s="2" t="s">
        <v>1453</v>
      </c>
      <c r="D705" s="2" t="s">
        <v>56</v>
      </c>
      <c r="E705">
        <v>37378</v>
      </c>
      <c r="F705">
        <v>24</v>
      </c>
      <c r="G705">
        <v>36</v>
      </c>
      <c r="H705" s="2" t="s">
        <v>19</v>
      </c>
      <c r="I705" s="2" t="s">
        <v>20</v>
      </c>
      <c r="J705" s="2" t="s">
        <v>37</v>
      </c>
      <c r="K705">
        <v>73391</v>
      </c>
      <c r="L705" s="2" t="s">
        <v>33</v>
      </c>
      <c r="M705">
        <v>0.17</v>
      </c>
      <c r="N705">
        <v>0.63</v>
      </c>
      <c r="O705">
        <v>46348.72</v>
      </c>
      <c r="P705">
        <v>0</v>
      </c>
      <c r="Q705">
        <v>53</v>
      </c>
      <c r="R705">
        <v>26912.16</v>
      </c>
      <c r="S705">
        <v>64290.16</v>
      </c>
      <c r="T705">
        <v>8970.7200000000012</v>
      </c>
      <c r="U705">
        <v>0</v>
      </c>
      <c r="V705" s="2" t="s">
        <v>2056</v>
      </c>
      <c r="W705" s="2" t="s">
        <v>2057</v>
      </c>
      <c r="X705">
        <v>74756</v>
      </c>
      <c r="Y705">
        <v>0.24000000000000002</v>
      </c>
      <c r="Z705" s="2" t="s">
        <v>2061</v>
      </c>
    </row>
    <row r="706" spans="1:26" x14ac:dyDescent="0.3">
      <c r="A706" s="2" t="s">
        <v>1454</v>
      </c>
      <c r="B706" s="1">
        <v>44820</v>
      </c>
      <c r="C706" s="2" t="s">
        <v>1455</v>
      </c>
      <c r="D706" s="2" t="s">
        <v>50</v>
      </c>
      <c r="E706">
        <v>7894</v>
      </c>
      <c r="F706">
        <v>15.3</v>
      </c>
      <c r="G706">
        <v>36</v>
      </c>
      <c r="H706" s="2" t="s">
        <v>19</v>
      </c>
      <c r="I706" s="2" t="s">
        <v>20</v>
      </c>
      <c r="J706" s="2" t="s">
        <v>37</v>
      </c>
      <c r="K706">
        <v>83664</v>
      </c>
      <c r="L706" s="2" t="s">
        <v>29</v>
      </c>
      <c r="M706">
        <v>0.17</v>
      </c>
      <c r="N706">
        <v>0.62</v>
      </c>
      <c r="O706">
        <v>9101.7800000000007</v>
      </c>
      <c r="P706">
        <v>0</v>
      </c>
      <c r="Q706">
        <v>42</v>
      </c>
      <c r="R706">
        <v>3623.346</v>
      </c>
      <c r="S706">
        <v>11517.346</v>
      </c>
      <c r="T706">
        <v>1207.7800000000007</v>
      </c>
      <c r="U706">
        <v>0</v>
      </c>
      <c r="V706" s="2" t="s">
        <v>2056</v>
      </c>
      <c r="W706" s="2" t="s">
        <v>2057</v>
      </c>
      <c r="X706">
        <v>10064.85</v>
      </c>
      <c r="Y706">
        <v>0.1529997466430201</v>
      </c>
      <c r="Z706" s="2" t="s">
        <v>2061</v>
      </c>
    </row>
    <row r="707" spans="1:26" x14ac:dyDescent="0.3">
      <c r="A707" s="2" t="s">
        <v>1456</v>
      </c>
      <c r="B707" s="1">
        <v>44712</v>
      </c>
      <c r="C707" s="2" t="s">
        <v>1457</v>
      </c>
      <c r="D707" s="2" t="s">
        <v>40</v>
      </c>
      <c r="E707">
        <v>14467</v>
      </c>
      <c r="F707">
        <v>6.9</v>
      </c>
      <c r="G707">
        <v>36</v>
      </c>
      <c r="H707" s="2" t="s">
        <v>81</v>
      </c>
      <c r="I707" s="2" t="s">
        <v>20</v>
      </c>
      <c r="J707" s="2" t="s">
        <v>47</v>
      </c>
      <c r="K707">
        <v>97384</v>
      </c>
      <c r="L707" s="2" t="s">
        <v>33</v>
      </c>
      <c r="M707">
        <v>0.42</v>
      </c>
      <c r="N707">
        <v>0.69</v>
      </c>
      <c r="O707">
        <v>5293.66</v>
      </c>
      <c r="P707">
        <v>1335.02</v>
      </c>
      <c r="Q707">
        <v>45</v>
      </c>
      <c r="R707">
        <v>2994.6690000000003</v>
      </c>
      <c r="S707">
        <v>17461.669000000002</v>
      </c>
      <c r="T707">
        <v>-7838.32</v>
      </c>
      <c r="U707">
        <v>1</v>
      </c>
      <c r="V707" s="2" t="s">
        <v>2063</v>
      </c>
      <c r="W707" s="2" t="s">
        <v>2057</v>
      </c>
      <c r="X707">
        <v>8318.5257000000001</v>
      </c>
      <c r="Y707">
        <v>-0.54180687080942835</v>
      </c>
      <c r="Z707" s="2" t="s">
        <v>2058</v>
      </c>
    </row>
    <row r="708" spans="1:26" x14ac:dyDescent="0.3">
      <c r="A708" s="2" t="s">
        <v>1458</v>
      </c>
      <c r="B708" s="1">
        <v>45039</v>
      </c>
      <c r="C708" s="2" t="s">
        <v>1459</v>
      </c>
      <c r="D708" s="2" t="s">
        <v>40</v>
      </c>
      <c r="E708">
        <v>32010</v>
      </c>
      <c r="F708">
        <v>20.100000000000001</v>
      </c>
      <c r="G708">
        <v>60</v>
      </c>
      <c r="H708" s="2" t="s">
        <v>19</v>
      </c>
      <c r="I708" s="2" t="s">
        <v>20</v>
      </c>
      <c r="J708" s="2" t="s">
        <v>37</v>
      </c>
      <c r="K708">
        <v>61027</v>
      </c>
      <c r="L708" s="2" t="s">
        <v>22</v>
      </c>
      <c r="M708">
        <v>0.25</v>
      </c>
      <c r="N708">
        <v>0.95</v>
      </c>
      <c r="O708">
        <v>38444.01</v>
      </c>
      <c r="P708">
        <v>0</v>
      </c>
      <c r="Q708">
        <v>34</v>
      </c>
      <c r="R708">
        <v>32170.050000000003</v>
      </c>
      <c r="S708">
        <v>64180.05</v>
      </c>
      <c r="T708">
        <v>6434.010000000002</v>
      </c>
      <c r="U708">
        <v>0</v>
      </c>
      <c r="V708" s="2" t="s">
        <v>2056</v>
      </c>
      <c r="W708" s="2" t="s">
        <v>2057</v>
      </c>
      <c r="X708">
        <v>53616.75</v>
      </c>
      <c r="Y708">
        <v>0.20100000000000007</v>
      </c>
      <c r="Z708" s="2" t="s">
        <v>2058</v>
      </c>
    </row>
    <row r="709" spans="1:26" x14ac:dyDescent="0.3">
      <c r="A709" s="2" t="s">
        <v>1460</v>
      </c>
      <c r="B709" s="1">
        <v>44546</v>
      </c>
      <c r="C709" s="2" t="s">
        <v>1461</v>
      </c>
      <c r="D709" s="2" t="s">
        <v>18</v>
      </c>
      <c r="E709">
        <v>13289</v>
      </c>
      <c r="F709">
        <v>14.8</v>
      </c>
      <c r="G709">
        <v>60</v>
      </c>
      <c r="H709" s="2" t="s">
        <v>26</v>
      </c>
      <c r="I709" s="2" t="s">
        <v>57</v>
      </c>
      <c r="J709" s="2" t="s">
        <v>47</v>
      </c>
      <c r="K709">
        <v>65464</v>
      </c>
      <c r="L709" s="2" t="s">
        <v>33</v>
      </c>
      <c r="M709">
        <v>0.27</v>
      </c>
      <c r="N709">
        <v>0.6</v>
      </c>
      <c r="O709">
        <v>3903.76</v>
      </c>
      <c r="P709">
        <v>0</v>
      </c>
      <c r="Q709">
        <v>51</v>
      </c>
      <c r="R709">
        <v>9833.86</v>
      </c>
      <c r="S709">
        <v>23122.86</v>
      </c>
      <c r="T709">
        <v>-9385.24</v>
      </c>
      <c r="U709">
        <v>0</v>
      </c>
      <c r="V709" s="2" t="s">
        <v>2059</v>
      </c>
      <c r="W709" s="2" t="s">
        <v>2057</v>
      </c>
      <c r="X709">
        <v>16389.7667</v>
      </c>
      <c r="Y709">
        <v>-0.70624125216344347</v>
      </c>
      <c r="Z709" s="2" t="s">
        <v>2061</v>
      </c>
    </row>
    <row r="710" spans="1:26" x14ac:dyDescent="0.3">
      <c r="A710" s="2" t="s">
        <v>1462</v>
      </c>
      <c r="B710" s="1">
        <v>45019</v>
      </c>
      <c r="C710" s="2" t="s">
        <v>1463</v>
      </c>
      <c r="D710" s="2" t="s">
        <v>18</v>
      </c>
      <c r="E710">
        <v>24171</v>
      </c>
      <c r="F710">
        <v>11</v>
      </c>
      <c r="G710">
        <v>36</v>
      </c>
      <c r="H710" s="2" t="s">
        <v>19</v>
      </c>
      <c r="I710" s="2" t="s">
        <v>73</v>
      </c>
      <c r="J710" s="2" t="s">
        <v>47</v>
      </c>
      <c r="K710">
        <v>64485</v>
      </c>
      <c r="L710" s="2" t="s">
        <v>33</v>
      </c>
      <c r="M710">
        <v>0.34</v>
      </c>
      <c r="N710">
        <v>0.55000000000000004</v>
      </c>
      <c r="O710">
        <v>26829.81</v>
      </c>
      <c r="P710">
        <v>0</v>
      </c>
      <c r="Q710">
        <v>35</v>
      </c>
      <c r="R710">
        <v>7976.43</v>
      </c>
      <c r="S710">
        <v>32147.43</v>
      </c>
      <c r="T710">
        <v>2658.8100000000013</v>
      </c>
      <c r="U710">
        <v>0</v>
      </c>
      <c r="V710" s="2" t="s">
        <v>2056</v>
      </c>
      <c r="W710" s="2" t="s">
        <v>2064</v>
      </c>
      <c r="X710">
        <v>22156.75</v>
      </c>
      <c r="Y710">
        <v>0.11000000000000006</v>
      </c>
      <c r="Z710" s="2" t="s">
        <v>2061</v>
      </c>
    </row>
    <row r="711" spans="1:26" x14ac:dyDescent="0.3">
      <c r="A711" s="2" t="s">
        <v>1464</v>
      </c>
      <c r="B711" s="1">
        <v>44955</v>
      </c>
      <c r="C711" s="2" t="s">
        <v>1465</v>
      </c>
      <c r="D711" s="2" t="s">
        <v>25</v>
      </c>
      <c r="E711">
        <v>35905</v>
      </c>
      <c r="F711">
        <v>14.8</v>
      </c>
      <c r="G711">
        <v>60</v>
      </c>
      <c r="H711" s="2" t="s">
        <v>19</v>
      </c>
      <c r="I711" s="2" t="s">
        <v>27</v>
      </c>
      <c r="J711" s="2" t="s">
        <v>21</v>
      </c>
      <c r="K711">
        <v>49456</v>
      </c>
      <c r="L711" s="2" t="s">
        <v>29</v>
      </c>
      <c r="M711">
        <v>0.34</v>
      </c>
      <c r="N711">
        <v>0.76</v>
      </c>
      <c r="O711">
        <v>41218.94</v>
      </c>
      <c r="P711">
        <v>0</v>
      </c>
      <c r="Q711">
        <v>37</v>
      </c>
      <c r="R711">
        <v>26569.699999999997</v>
      </c>
      <c r="S711">
        <v>62474.7</v>
      </c>
      <c r="T711">
        <v>5313.9400000000023</v>
      </c>
      <c r="U711">
        <v>0</v>
      </c>
      <c r="V711" s="2" t="s">
        <v>2056</v>
      </c>
      <c r="W711" s="2" t="s">
        <v>2060</v>
      </c>
      <c r="X711">
        <v>44282.833299999998</v>
      </c>
      <c r="Y711">
        <v>0.14800000000000008</v>
      </c>
      <c r="Z711" s="2" t="s">
        <v>2061</v>
      </c>
    </row>
    <row r="712" spans="1:26" x14ac:dyDescent="0.3">
      <c r="A712" s="2" t="s">
        <v>1466</v>
      </c>
      <c r="B712" s="1">
        <v>45095</v>
      </c>
      <c r="C712" s="2" t="s">
        <v>1467</v>
      </c>
      <c r="D712" s="2" t="s">
        <v>40</v>
      </c>
      <c r="E712">
        <v>21829</v>
      </c>
      <c r="F712">
        <v>15.4</v>
      </c>
      <c r="G712">
        <v>60</v>
      </c>
      <c r="H712" s="2" t="s">
        <v>26</v>
      </c>
      <c r="I712" s="2" t="s">
        <v>20</v>
      </c>
      <c r="J712" s="2" t="s">
        <v>21</v>
      </c>
      <c r="K712">
        <v>104795</v>
      </c>
      <c r="L712" s="2" t="s">
        <v>22</v>
      </c>
      <c r="M712">
        <v>0.13</v>
      </c>
      <c r="N712">
        <v>0.72</v>
      </c>
      <c r="O712">
        <v>7441.09</v>
      </c>
      <c r="P712">
        <v>0</v>
      </c>
      <c r="Q712">
        <v>33</v>
      </c>
      <c r="R712">
        <v>16808.330000000002</v>
      </c>
      <c r="S712">
        <v>38637.33</v>
      </c>
      <c r="T712">
        <v>-14387.91</v>
      </c>
      <c r="U712">
        <v>0</v>
      </c>
      <c r="V712" s="2" t="s">
        <v>2059</v>
      </c>
      <c r="W712" s="2" t="s">
        <v>2057</v>
      </c>
      <c r="X712">
        <v>28013.883300000001</v>
      </c>
      <c r="Y712">
        <v>-0.65911906179852486</v>
      </c>
      <c r="Z712" s="2" t="s">
        <v>2061</v>
      </c>
    </row>
    <row r="713" spans="1:26" x14ac:dyDescent="0.3">
      <c r="A713" s="2" t="s">
        <v>1468</v>
      </c>
      <c r="B713" s="1">
        <v>44439</v>
      </c>
      <c r="C713" s="2" t="s">
        <v>1469</v>
      </c>
      <c r="D713" s="2" t="s">
        <v>18</v>
      </c>
      <c r="E713">
        <v>35054</v>
      </c>
      <c r="F713">
        <v>16.3</v>
      </c>
      <c r="G713">
        <v>36</v>
      </c>
      <c r="H713" s="2" t="s">
        <v>26</v>
      </c>
      <c r="I713" s="2" t="s">
        <v>27</v>
      </c>
      <c r="J713" s="2" t="s">
        <v>21</v>
      </c>
      <c r="K713">
        <v>65554</v>
      </c>
      <c r="L713" s="2" t="s">
        <v>33</v>
      </c>
      <c r="M713">
        <v>0.43</v>
      </c>
      <c r="N713">
        <v>0.74</v>
      </c>
      <c r="O713">
        <v>10355.42</v>
      </c>
      <c r="P713">
        <v>0</v>
      </c>
      <c r="Q713">
        <v>54</v>
      </c>
      <c r="R713">
        <v>17141.406000000003</v>
      </c>
      <c r="S713">
        <v>52195.406000000003</v>
      </c>
      <c r="T713">
        <v>-24698.58</v>
      </c>
      <c r="U713">
        <v>0</v>
      </c>
      <c r="V713" s="2" t="s">
        <v>2059</v>
      </c>
      <c r="W713" s="2" t="s">
        <v>2060</v>
      </c>
      <c r="X713">
        <v>47615.0167</v>
      </c>
      <c r="Y713">
        <v>-0.7045866377588863</v>
      </c>
      <c r="Z713" s="2" t="s">
        <v>2058</v>
      </c>
    </row>
    <row r="714" spans="1:26" x14ac:dyDescent="0.3">
      <c r="A714" s="2" t="s">
        <v>1470</v>
      </c>
      <c r="B714" s="1">
        <v>44739</v>
      </c>
      <c r="C714" s="2" t="s">
        <v>1471</v>
      </c>
      <c r="D714" s="2" t="s">
        <v>56</v>
      </c>
      <c r="E714">
        <v>30734</v>
      </c>
      <c r="F714">
        <v>13.8</v>
      </c>
      <c r="G714">
        <v>36</v>
      </c>
      <c r="H714" s="2" t="s">
        <v>26</v>
      </c>
      <c r="I714" s="2" t="s">
        <v>27</v>
      </c>
      <c r="J714" s="2" t="s">
        <v>28</v>
      </c>
      <c r="K714">
        <v>76922</v>
      </c>
      <c r="L714" s="2" t="s">
        <v>29</v>
      </c>
      <c r="M714">
        <v>0.17</v>
      </c>
      <c r="N714">
        <v>0.8</v>
      </c>
      <c r="O714">
        <v>2244.9</v>
      </c>
      <c r="P714">
        <v>0</v>
      </c>
      <c r="Q714">
        <v>44</v>
      </c>
      <c r="R714">
        <v>12723.876000000002</v>
      </c>
      <c r="S714">
        <v>43457.876000000004</v>
      </c>
      <c r="T714">
        <v>-28489.1</v>
      </c>
      <c r="U714">
        <v>0</v>
      </c>
      <c r="V714" s="2" t="s">
        <v>2059</v>
      </c>
      <c r="W714" s="2" t="s">
        <v>2060</v>
      </c>
      <c r="X714">
        <v>35344.1</v>
      </c>
      <c r="Y714">
        <v>-0.9269571158977028</v>
      </c>
      <c r="Z714" s="2" t="s">
        <v>2061</v>
      </c>
    </row>
    <row r="715" spans="1:26" x14ac:dyDescent="0.3">
      <c r="A715" s="2" t="s">
        <v>1472</v>
      </c>
      <c r="B715" s="1">
        <v>45260</v>
      </c>
      <c r="C715" s="2" t="s">
        <v>1473</v>
      </c>
      <c r="D715" s="2" t="s">
        <v>18</v>
      </c>
      <c r="E715">
        <v>8052</v>
      </c>
      <c r="F715">
        <v>17.100000000000001</v>
      </c>
      <c r="G715">
        <v>60</v>
      </c>
      <c r="H715" s="2" t="s">
        <v>19</v>
      </c>
      <c r="I715" s="2" t="s">
        <v>73</v>
      </c>
      <c r="J715" s="2" t="s">
        <v>21</v>
      </c>
      <c r="K715">
        <v>43409</v>
      </c>
      <c r="L715" s="2" t="s">
        <v>33</v>
      </c>
      <c r="M715">
        <v>0.39</v>
      </c>
      <c r="N715">
        <v>0.62</v>
      </c>
      <c r="O715">
        <v>9428.89</v>
      </c>
      <c r="P715">
        <v>0</v>
      </c>
      <c r="Q715">
        <v>27</v>
      </c>
      <c r="R715">
        <v>6884.46</v>
      </c>
      <c r="S715">
        <v>14936.46</v>
      </c>
      <c r="T715">
        <v>1376.8899999999994</v>
      </c>
      <c r="U715">
        <v>0</v>
      </c>
      <c r="V715" s="2" t="s">
        <v>2056</v>
      </c>
      <c r="W715" s="2" t="s">
        <v>2064</v>
      </c>
      <c r="X715">
        <v>11474.1</v>
      </c>
      <c r="Y715">
        <v>0.17099975161450565</v>
      </c>
      <c r="Z715" s="2" t="s">
        <v>2061</v>
      </c>
    </row>
    <row r="716" spans="1:26" x14ac:dyDescent="0.3">
      <c r="A716" s="2" t="s">
        <v>1474</v>
      </c>
      <c r="B716" s="1">
        <v>44425</v>
      </c>
      <c r="C716" s="2" t="s">
        <v>1475</v>
      </c>
      <c r="D716" s="2" t="s">
        <v>76</v>
      </c>
      <c r="E716">
        <v>4654</v>
      </c>
      <c r="F716">
        <v>23.4</v>
      </c>
      <c r="G716">
        <v>36</v>
      </c>
      <c r="H716" s="2" t="s">
        <v>19</v>
      </c>
      <c r="I716" s="2" t="s">
        <v>36</v>
      </c>
      <c r="J716" s="2" t="s">
        <v>47</v>
      </c>
      <c r="K716">
        <v>99327</v>
      </c>
      <c r="L716" s="2" t="s">
        <v>22</v>
      </c>
      <c r="M716">
        <v>0.41</v>
      </c>
      <c r="N716">
        <v>0.91</v>
      </c>
      <c r="O716">
        <v>5743.04</v>
      </c>
      <c r="P716">
        <v>0</v>
      </c>
      <c r="Q716">
        <v>55</v>
      </c>
      <c r="R716">
        <v>3267.1079999999997</v>
      </c>
      <c r="S716">
        <v>7921.1080000000002</v>
      </c>
      <c r="T716">
        <v>1089.04</v>
      </c>
      <c r="U716">
        <v>0</v>
      </c>
      <c r="V716" s="2" t="s">
        <v>2056</v>
      </c>
      <c r="W716" s="2" t="s">
        <v>2062</v>
      </c>
      <c r="X716">
        <v>9075.2999999999993</v>
      </c>
      <c r="Y716">
        <v>0.2340008594757198</v>
      </c>
      <c r="Z716" s="2" t="s">
        <v>2058</v>
      </c>
    </row>
    <row r="717" spans="1:26" x14ac:dyDescent="0.3">
      <c r="A717" s="2" t="s">
        <v>1476</v>
      </c>
      <c r="B717" s="1">
        <v>44744</v>
      </c>
      <c r="C717" s="2" t="s">
        <v>1477</v>
      </c>
      <c r="D717" s="2" t="s">
        <v>25</v>
      </c>
      <c r="E717">
        <v>24486</v>
      </c>
      <c r="F717">
        <v>12.2</v>
      </c>
      <c r="G717">
        <v>60</v>
      </c>
      <c r="H717" s="2" t="s">
        <v>26</v>
      </c>
      <c r="I717" s="2" t="s">
        <v>20</v>
      </c>
      <c r="J717" s="2" t="s">
        <v>32</v>
      </c>
      <c r="K717">
        <v>121400</v>
      </c>
      <c r="L717" s="2" t="s">
        <v>33</v>
      </c>
      <c r="M717">
        <v>0.39</v>
      </c>
      <c r="N717">
        <v>0.7</v>
      </c>
      <c r="O717">
        <v>9438.77</v>
      </c>
      <c r="P717">
        <v>0</v>
      </c>
      <c r="Q717">
        <v>44</v>
      </c>
      <c r="R717">
        <v>14936.46</v>
      </c>
      <c r="S717">
        <v>39422.46</v>
      </c>
      <c r="T717">
        <v>-15047.23</v>
      </c>
      <c r="U717">
        <v>0</v>
      </c>
      <c r="V717" s="2" t="s">
        <v>2059</v>
      </c>
      <c r="W717" s="2" t="s">
        <v>2057</v>
      </c>
      <c r="X717">
        <v>24894.1</v>
      </c>
      <c r="Y717">
        <v>-0.61452380952380947</v>
      </c>
      <c r="Z717" s="2" t="s">
        <v>2061</v>
      </c>
    </row>
    <row r="718" spans="1:26" x14ac:dyDescent="0.3">
      <c r="A718" s="2" t="s">
        <v>1478</v>
      </c>
      <c r="B718" s="1">
        <v>45116</v>
      </c>
      <c r="C718" s="2" t="s">
        <v>1479</v>
      </c>
      <c r="D718" s="2" t="s">
        <v>53</v>
      </c>
      <c r="E718">
        <v>19743</v>
      </c>
      <c r="F718">
        <v>19.5</v>
      </c>
      <c r="G718">
        <v>60</v>
      </c>
      <c r="H718" s="2" t="s">
        <v>26</v>
      </c>
      <c r="I718" s="2" t="s">
        <v>20</v>
      </c>
      <c r="J718" s="2" t="s">
        <v>21</v>
      </c>
      <c r="K718">
        <v>66639</v>
      </c>
      <c r="L718" s="2" t="s">
        <v>33</v>
      </c>
      <c r="M718">
        <v>0.33</v>
      </c>
      <c r="N718">
        <v>0.56000000000000005</v>
      </c>
      <c r="O718">
        <v>5476.7</v>
      </c>
      <c r="P718">
        <v>0</v>
      </c>
      <c r="Q718">
        <v>32</v>
      </c>
      <c r="R718">
        <v>19249.424999999999</v>
      </c>
      <c r="S718">
        <v>38992.425000000003</v>
      </c>
      <c r="T718">
        <v>-14266.3</v>
      </c>
      <c r="U718">
        <v>0</v>
      </c>
      <c r="V718" s="2" t="s">
        <v>2059</v>
      </c>
      <c r="W718" s="2" t="s">
        <v>2057</v>
      </c>
      <c r="X718">
        <v>32082.375</v>
      </c>
      <c r="Y718">
        <v>-0.72260041533708141</v>
      </c>
      <c r="Z718" s="2" t="s">
        <v>2061</v>
      </c>
    </row>
    <row r="719" spans="1:26" x14ac:dyDescent="0.3">
      <c r="A719" s="2" t="s">
        <v>1480</v>
      </c>
      <c r="B719" s="1">
        <v>44202</v>
      </c>
      <c r="C719" s="2" t="s">
        <v>1481</v>
      </c>
      <c r="D719" s="2" t="s">
        <v>65</v>
      </c>
      <c r="E719">
        <v>25489</v>
      </c>
      <c r="F719">
        <v>22.9</v>
      </c>
      <c r="G719">
        <v>36</v>
      </c>
      <c r="H719" s="2" t="s">
        <v>19</v>
      </c>
      <c r="I719" s="2" t="s">
        <v>57</v>
      </c>
      <c r="J719" s="2" t="s">
        <v>21</v>
      </c>
      <c r="K719">
        <v>130110</v>
      </c>
      <c r="L719" s="2" t="s">
        <v>33</v>
      </c>
      <c r="M719">
        <v>0.11</v>
      </c>
      <c r="N719">
        <v>0.83</v>
      </c>
      <c r="O719">
        <v>31325.98</v>
      </c>
      <c r="P719">
        <v>0</v>
      </c>
      <c r="Q719">
        <v>62</v>
      </c>
      <c r="R719">
        <v>17510.942999999999</v>
      </c>
      <c r="S719">
        <v>42999.942999999999</v>
      </c>
      <c r="T719">
        <v>5836.98</v>
      </c>
      <c r="U719">
        <v>0</v>
      </c>
      <c r="V719" s="2" t="s">
        <v>2056</v>
      </c>
      <c r="W719" s="2" t="s">
        <v>2057</v>
      </c>
      <c r="X719">
        <v>48641.508300000001</v>
      </c>
      <c r="Y719">
        <v>0.22899996076738985</v>
      </c>
      <c r="Z719" s="2" t="s">
        <v>2058</v>
      </c>
    </row>
    <row r="720" spans="1:26" x14ac:dyDescent="0.3">
      <c r="A720" s="2" t="s">
        <v>1482</v>
      </c>
      <c r="B720" s="1">
        <v>44664</v>
      </c>
      <c r="C720" s="2" t="s">
        <v>1483</v>
      </c>
      <c r="D720" s="2" t="s">
        <v>72</v>
      </c>
      <c r="E720">
        <v>9636</v>
      </c>
      <c r="F720">
        <v>14.1</v>
      </c>
      <c r="G720">
        <v>60</v>
      </c>
      <c r="H720" s="2" t="s">
        <v>19</v>
      </c>
      <c r="I720" s="2" t="s">
        <v>20</v>
      </c>
      <c r="J720" s="2" t="s">
        <v>32</v>
      </c>
      <c r="K720">
        <v>93627</v>
      </c>
      <c r="L720" s="2" t="s">
        <v>33</v>
      </c>
      <c r="M720">
        <v>0.24</v>
      </c>
      <c r="N720">
        <v>0.79</v>
      </c>
      <c r="O720">
        <v>10994.68</v>
      </c>
      <c r="P720">
        <v>0</v>
      </c>
      <c r="Q720">
        <v>47</v>
      </c>
      <c r="R720">
        <v>6793.380000000001</v>
      </c>
      <c r="S720">
        <v>16429.38</v>
      </c>
      <c r="T720">
        <v>1358.6800000000003</v>
      </c>
      <c r="U720">
        <v>0</v>
      </c>
      <c r="V720" s="2" t="s">
        <v>2056</v>
      </c>
      <c r="W720" s="2" t="s">
        <v>2057</v>
      </c>
      <c r="X720">
        <v>11322.3</v>
      </c>
      <c r="Y720">
        <v>0.14100041511000419</v>
      </c>
      <c r="Z720" s="2" t="s">
        <v>2061</v>
      </c>
    </row>
    <row r="721" spans="1:26" x14ac:dyDescent="0.3">
      <c r="A721" s="2" t="s">
        <v>1484</v>
      </c>
      <c r="B721" s="1">
        <v>44271</v>
      </c>
      <c r="C721" s="2" t="s">
        <v>1485</v>
      </c>
      <c r="D721" s="2" t="s">
        <v>65</v>
      </c>
      <c r="E721">
        <v>7441</v>
      </c>
      <c r="F721">
        <v>13.9</v>
      </c>
      <c r="G721">
        <v>60</v>
      </c>
      <c r="H721" s="2" t="s">
        <v>19</v>
      </c>
      <c r="I721" s="2" t="s">
        <v>73</v>
      </c>
      <c r="J721" s="2" t="s">
        <v>47</v>
      </c>
      <c r="K721">
        <v>113424</v>
      </c>
      <c r="L721" s="2" t="s">
        <v>22</v>
      </c>
      <c r="M721">
        <v>0.34</v>
      </c>
      <c r="N721">
        <v>0.64</v>
      </c>
      <c r="O721">
        <v>8475.2999999999993</v>
      </c>
      <c r="P721">
        <v>0</v>
      </c>
      <c r="Q721">
        <v>60</v>
      </c>
      <c r="R721">
        <v>5171.4949999999999</v>
      </c>
      <c r="S721">
        <v>12612.494999999999</v>
      </c>
      <c r="T721">
        <v>1034.2999999999993</v>
      </c>
      <c r="U721">
        <v>0</v>
      </c>
      <c r="V721" s="2" t="s">
        <v>2056</v>
      </c>
      <c r="W721" s="2" t="s">
        <v>2064</v>
      </c>
      <c r="X721">
        <v>8619.1582999999991</v>
      </c>
      <c r="Y721">
        <v>0.13900013439053882</v>
      </c>
      <c r="Z721" s="2" t="s">
        <v>2061</v>
      </c>
    </row>
    <row r="722" spans="1:26" x14ac:dyDescent="0.3">
      <c r="A722" s="2" t="s">
        <v>1486</v>
      </c>
      <c r="B722" s="1">
        <v>44200</v>
      </c>
      <c r="C722" s="2" t="s">
        <v>1487</v>
      </c>
      <c r="D722" s="2" t="s">
        <v>65</v>
      </c>
      <c r="E722">
        <v>25611</v>
      </c>
      <c r="F722">
        <v>17</v>
      </c>
      <c r="G722">
        <v>36</v>
      </c>
      <c r="H722" s="2" t="s">
        <v>315</v>
      </c>
      <c r="I722" s="2" t="s">
        <v>57</v>
      </c>
      <c r="J722" s="2" t="s">
        <v>28</v>
      </c>
      <c r="K722">
        <v>49692</v>
      </c>
      <c r="L722" s="2" t="s">
        <v>29</v>
      </c>
      <c r="M722">
        <v>0.25</v>
      </c>
      <c r="N722">
        <v>0.78</v>
      </c>
      <c r="O722">
        <v>0</v>
      </c>
      <c r="P722">
        <v>0</v>
      </c>
      <c r="Q722">
        <v>62</v>
      </c>
      <c r="R722">
        <v>13061.61</v>
      </c>
      <c r="S722">
        <v>38672.61</v>
      </c>
      <c r="T722">
        <v>-25611</v>
      </c>
      <c r="U722">
        <v>0</v>
      </c>
      <c r="V722" s="2" t="s">
        <v>2063</v>
      </c>
      <c r="W722" s="2" t="s">
        <v>2057</v>
      </c>
      <c r="X722">
        <v>36282.25</v>
      </c>
      <c r="Y722">
        <v>-1</v>
      </c>
      <c r="Z722" s="2" t="s">
        <v>2061</v>
      </c>
    </row>
    <row r="723" spans="1:26" x14ac:dyDescent="0.3">
      <c r="A723" s="2" t="s">
        <v>1488</v>
      </c>
      <c r="B723" s="1">
        <v>44842</v>
      </c>
      <c r="C723" s="2" t="s">
        <v>1489</v>
      </c>
      <c r="D723" s="2" t="s">
        <v>46</v>
      </c>
      <c r="E723">
        <v>13149</v>
      </c>
      <c r="F723">
        <v>16.8</v>
      </c>
      <c r="G723">
        <v>36</v>
      </c>
      <c r="H723" s="2" t="s">
        <v>26</v>
      </c>
      <c r="I723" s="2" t="s">
        <v>57</v>
      </c>
      <c r="J723" s="2" t="s">
        <v>21</v>
      </c>
      <c r="K723">
        <v>119037</v>
      </c>
      <c r="L723" s="2" t="s">
        <v>29</v>
      </c>
      <c r="M723">
        <v>0.45</v>
      </c>
      <c r="N723">
        <v>0.6</v>
      </c>
      <c r="O723">
        <v>4489.9799999999996</v>
      </c>
      <c r="P723">
        <v>0</v>
      </c>
      <c r="Q723">
        <v>41</v>
      </c>
      <c r="R723">
        <v>6627.0960000000005</v>
      </c>
      <c r="S723">
        <v>19776.096000000001</v>
      </c>
      <c r="T723">
        <v>-8659.02</v>
      </c>
      <c r="U723">
        <v>0</v>
      </c>
      <c r="V723" s="2" t="s">
        <v>2059</v>
      </c>
      <c r="W723" s="2" t="s">
        <v>2057</v>
      </c>
      <c r="X723">
        <v>18408.599999999999</v>
      </c>
      <c r="Y723">
        <v>-0.65853068674423909</v>
      </c>
      <c r="Z723" s="2" t="s">
        <v>2058</v>
      </c>
    </row>
    <row r="724" spans="1:26" x14ac:dyDescent="0.3">
      <c r="A724" s="2" t="s">
        <v>1490</v>
      </c>
      <c r="B724" s="1">
        <v>44314</v>
      </c>
      <c r="C724" s="2" t="s">
        <v>1491</v>
      </c>
      <c r="D724" s="2" t="s">
        <v>53</v>
      </c>
      <c r="E724">
        <v>35566</v>
      </c>
      <c r="F724">
        <v>21.1</v>
      </c>
      <c r="G724">
        <v>36</v>
      </c>
      <c r="H724" s="2" t="s">
        <v>81</v>
      </c>
      <c r="I724" s="2" t="s">
        <v>20</v>
      </c>
      <c r="J724" s="2" t="s">
        <v>32</v>
      </c>
      <c r="K724">
        <v>108840</v>
      </c>
      <c r="L724" s="2" t="s">
        <v>33</v>
      </c>
      <c r="M724">
        <v>0.22</v>
      </c>
      <c r="N724">
        <v>0.7</v>
      </c>
      <c r="O724">
        <v>8919.67</v>
      </c>
      <c r="P724">
        <v>8978.74</v>
      </c>
      <c r="Q724">
        <v>58</v>
      </c>
      <c r="R724">
        <v>22513.278000000006</v>
      </c>
      <c r="S724">
        <v>58079.278000000006</v>
      </c>
      <c r="T724">
        <v>-17667.59</v>
      </c>
      <c r="U724">
        <v>1</v>
      </c>
      <c r="V724" s="2" t="s">
        <v>2063</v>
      </c>
      <c r="W724" s="2" t="s">
        <v>2057</v>
      </c>
      <c r="X724">
        <v>62536.883300000001</v>
      </c>
      <c r="Y724">
        <v>-0.49675504695495698</v>
      </c>
      <c r="Z724" s="2" t="s">
        <v>2061</v>
      </c>
    </row>
    <row r="725" spans="1:26" x14ac:dyDescent="0.3">
      <c r="A725" s="2" t="s">
        <v>1492</v>
      </c>
      <c r="B725" s="1">
        <v>45077</v>
      </c>
      <c r="C725" s="2" t="s">
        <v>1493</v>
      </c>
      <c r="D725" s="2" t="s">
        <v>18</v>
      </c>
      <c r="E725">
        <v>22675</v>
      </c>
      <c r="F725">
        <v>14.5</v>
      </c>
      <c r="G725">
        <v>60</v>
      </c>
      <c r="H725" s="2" t="s">
        <v>19</v>
      </c>
      <c r="I725" s="2" t="s">
        <v>57</v>
      </c>
      <c r="J725" s="2" t="s">
        <v>47</v>
      </c>
      <c r="K725">
        <v>84200</v>
      </c>
      <c r="L725" s="2" t="s">
        <v>22</v>
      </c>
      <c r="M725">
        <v>0.22</v>
      </c>
      <c r="N725">
        <v>0.9</v>
      </c>
      <c r="O725">
        <v>25962.880000000001</v>
      </c>
      <c r="P725">
        <v>0</v>
      </c>
      <c r="Q725">
        <v>33</v>
      </c>
      <c r="R725">
        <v>16439.375</v>
      </c>
      <c r="S725">
        <v>39114.375</v>
      </c>
      <c r="T725">
        <v>3287.880000000001</v>
      </c>
      <c r="U725">
        <v>0</v>
      </c>
      <c r="V725" s="2" t="s">
        <v>2056</v>
      </c>
      <c r="W725" s="2" t="s">
        <v>2057</v>
      </c>
      <c r="X725">
        <v>27398.958299999998</v>
      </c>
      <c r="Y725">
        <v>0.14500022050716652</v>
      </c>
      <c r="Z725" s="2" t="s">
        <v>2058</v>
      </c>
    </row>
    <row r="726" spans="1:26" x14ac:dyDescent="0.3">
      <c r="A726" s="2" t="s">
        <v>1494</v>
      </c>
      <c r="B726" s="1">
        <v>44700</v>
      </c>
      <c r="C726" s="2" t="s">
        <v>1495</v>
      </c>
      <c r="D726" s="2" t="s">
        <v>46</v>
      </c>
      <c r="E726">
        <v>6495</v>
      </c>
      <c r="F726">
        <v>24.9</v>
      </c>
      <c r="G726">
        <v>36</v>
      </c>
      <c r="H726" s="2" t="s">
        <v>60</v>
      </c>
      <c r="I726" s="2" t="s">
        <v>73</v>
      </c>
      <c r="J726" s="2" t="s">
        <v>37</v>
      </c>
      <c r="K726">
        <v>123063</v>
      </c>
      <c r="L726" s="2" t="s">
        <v>22</v>
      </c>
      <c r="M726">
        <v>0.21</v>
      </c>
      <c r="N726">
        <v>0.56000000000000005</v>
      </c>
      <c r="O726">
        <v>0</v>
      </c>
      <c r="P726">
        <v>0</v>
      </c>
      <c r="Q726">
        <v>46</v>
      </c>
      <c r="R726">
        <v>4851.7650000000003</v>
      </c>
      <c r="S726">
        <v>11346.764999999999</v>
      </c>
      <c r="T726">
        <v>-6495</v>
      </c>
      <c r="U726">
        <v>0</v>
      </c>
      <c r="V726" s="2" t="s">
        <v>2063</v>
      </c>
      <c r="W726" s="2" t="s">
        <v>2064</v>
      </c>
      <c r="X726">
        <v>13477.125</v>
      </c>
      <c r="Y726">
        <v>-1</v>
      </c>
      <c r="Z726" s="2" t="s">
        <v>2061</v>
      </c>
    </row>
    <row r="727" spans="1:26" x14ac:dyDescent="0.3">
      <c r="A727" s="2" t="s">
        <v>1496</v>
      </c>
      <c r="B727" s="1">
        <v>45143</v>
      </c>
      <c r="C727" s="2" t="s">
        <v>1497</v>
      </c>
      <c r="D727" s="2" t="s">
        <v>65</v>
      </c>
      <c r="E727">
        <v>14673</v>
      </c>
      <c r="F727">
        <v>6.2</v>
      </c>
      <c r="G727">
        <v>36</v>
      </c>
      <c r="H727" s="2" t="s">
        <v>19</v>
      </c>
      <c r="I727" s="2" t="s">
        <v>73</v>
      </c>
      <c r="J727" s="2" t="s">
        <v>28</v>
      </c>
      <c r="K727">
        <v>87415</v>
      </c>
      <c r="L727" s="2" t="s">
        <v>22</v>
      </c>
      <c r="M727">
        <v>0.23</v>
      </c>
      <c r="N727">
        <v>0.67</v>
      </c>
      <c r="O727">
        <v>15582.73</v>
      </c>
      <c r="P727">
        <v>0</v>
      </c>
      <c r="Q727">
        <v>31</v>
      </c>
      <c r="R727">
        <v>2729.1780000000003</v>
      </c>
      <c r="S727">
        <v>17402.178</v>
      </c>
      <c r="T727">
        <v>909.72999999999956</v>
      </c>
      <c r="U727">
        <v>0</v>
      </c>
      <c r="V727" s="2" t="s">
        <v>2056</v>
      </c>
      <c r="W727" s="2" t="s">
        <v>2064</v>
      </c>
      <c r="X727">
        <v>7581.0523000000003</v>
      </c>
      <c r="Y727">
        <v>6.2000272609554936E-2</v>
      </c>
      <c r="Z727" s="2" t="s">
        <v>2061</v>
      </c>
    </row>
    <row r="728" spans="1:26" x14ac:dyDescent="0.3">
      <c r="A728" s="2" t="s">
        <v>1498</v>
      </c>
      <c r="B728" s="1">
        <v>44770</v>
      </c>
      <c r="C728" s="2" t="s">
        <v>1499</v>
      </c>
      <c r="D728" s="2" t="s">
        <v>76</v>
      </c>
      <c r="E728">
        <v>12130</v>
      </c>
      <c r="F728">
        <v>5.0999999999999996</v>
      </c>
      <c r="G728">
        <v>36</v>
      </c>
      <c r="H728" s="2" t="s">
        <v>19</v>
      </c>
      <c r="I728" s="2" t="s">
        <v>20</v>
      </c>
      <c r="J728" s="2" t="s">
        <v>32</v>
      </c>
      <c r="K728">
        <v>48074</v>
      </c>
      <c r="L728" s="2" t="s">
        <v>22</v>
      </c>
      <c r="M728">
        <v>0.32</v>
      </c>
      <c r="N728">
        <v>0.87</v>
      </c>
      <c r="O728">
        <v>12748.63</v>
      </c>
      <c r="P728">
        <v>0</v>
      </c>
      <c r="Q728">
        <v>43</v>
      </c>
      <c r="R728">
        <v>1855.8899999999996</v>
      </c>
      <c r="S728">
        <v>13985.89</v>
      </c>
      <c r="T728">
        <v>618.6299999999992</v>
      </c>
      <c r="U728">
        <v>0</v>
      </c>
      <c r="V728" s="2" t="s">
        <v>2056</v>
      </c>
      <c r="W728" s="2" t="s">
        <v>2057</v>
      </c>
      <c r="X728">
        <v>5155.2650000000003</v>
      </c>
      <c r="Y728">
        <v>5.0999999999999934E-2</v>
      </c>
      <c r="Z728" s="2" t="s">
        <v>2058</v>
      </c>
    </row>
    <row r="729" spans="1:26" x14ac:dyDescent="0.3">
      <c r="A729" s="2" t="s">
        <v>1500</v>
      </c>
      <c r="B729" s="1">
        <v>44390</v>
      </c>
      <c r="C729" s="2" t="s">
        <v>1501</v>
      </c>
      <c r="D729" s="2" t="s">
        <v>72</v>
      </c>
      <c r="E729">
        <v>23668</v>
      </c>
      <c r="F729">
        <v>17.8</v>
      </c>
      <c r="G729">
        <v>36</v>
      </c>
      <c r="H729" s="2" t="s">
        <v>26</v>
      </c>
      <c r="I729" s="2" t="s">
        <v>20</v>
      </c>
      <c r="J729" s="2" t="s">
        <v>32</v>
      </c>
      <c r="K729">
        <v>45549</v>
      </c>
      <c r="L729" s="2" t="s">
        <v>22</v>
      </c>
      <c r="M729">
        <v>0.38</v>
      </c>
      <c r="N729">
        <v>0.94</v>
      </c>
      <c r="O729">
        <v>6421.49</v>
      </c>
      <c r="P729">
        <v>0</v>
      </c>
      <c r="Q729">
        <v>56</v>
      </c>
      <c r="R729">
        <v>12638.712000000001</v>
      </c>
      <c r="S729">
        <v>36306.712</v>
      </c>
      <c r="T729">
        <v>-17246.510000000002</v>
      </c>
      <c r="U729">
        <v>0</v>
      </c>
      <c r="V729" s="2" t="s">
        <v>2059</v>
      </c>
      <c r="W729" s="2" t="s">
        <v>2057</v>
      </c>
      <c r="X729">
        <v>35107.533300000003</v>
      </c>
      <c r="Y729">
        <v>-0.72868472198749379</v>
      </c>
      <c r="Z729" s="2" t="s">
        <v>2058</v>
      </c>
    </row>
    <row r="730" spans="1:26" x14ac:dyDescent="0.3">
      <c r="A730" s="2" t="s">
        <v>1502</v>
      </c>
      <c r="B730" s="1">
        <v>45043</v>
      </c>
      <c r="C730" s="2" t="s">
        <v>1503</v>
      </c>
      <c r="D730" s="2" t="s">
        <v>65</v>
      </c>
      <c r="E730">
        <v>16222</v>
      </c>
      <c r="F730">
        <v>11</v>
      </c>
      <c r="G730">
        <v>60</v>
      </c>
      <c r="H730" s="2" t="s">
        <v>19</v>
      </c>
      <c r="I730" s="2" t="s">
        <v>20</v>
      </c>
      <c r="J730" s="2" t="s">
        <v>32</v>
      </c>
      <c r="K730">
        <v>59963</v>
      </c>
      <c r="L730" s="2" t="s">
        <v>22</v>
      </c>
      <c r="M730">
        <v>0.37</v>
      </c>
      <c r="N730">
        <v>0.7</v>
      </c>
      <c r="O730">
        <v>18006.419999999998</v>
      </c>
      <c r="P730">
        <v>0</v>
      </c>
      <c r="Q730">
        <v>34</v>
      </c>
      <c r="R730">
        <v>8922.1</v>
      </c>
      <c r="S730">
        <v>25144.1</v>
      </c>
      <c r="T730">
        <v>1784.4199999999983</v>
      </c>
      <c r="U730">
        <v>0</v>
      </c>
      <c r="V730" s="2" t="s">
        <v>2056</v>
      </c>
      <c r="W730" s="2" t="s">
        <v>2057</v>
      </c>
      <c r="X730">
        <v>14870.1667</v>
      </c>
      <c r="Y730">
        <v>0.10999999999999989</v>
      </c>
      <c r="Z730" s="2" t="s">
        <v>2061</v>
      </c>
    </row>
    <row r="731" spans="1:26" x14ac:dyDescent="0.3">
      <c r="A731" s="2" t="s">
        <v>1504</v>
      </c>
      <c r="B731" s="1">
        <v>44911</v>
      </c>
      <c r="C731" s="2" t="s">
        <v>1505</v>
      </c>
      <c r="D731" s="2" t="s">
        <v>40</v>
      </c>
      <c r="E731">
        <v>24669</v>
      </c>
      <c r="F731">
        <v>9.8000000000000007</v>
      </c>
      <c r="G731">
        <v>60</v>
      </c>
      <c r="H731" s="2" t="s">
        <v>19</v>
      </c>
      <c r="I731" s="2" t="s">
        <v>20</v>
      </c>
      <c r="J731" s="2" t="s">
        <v>21</v>
      </c>
      <c r="K731">
        <v>121456</v>
      </c>
      <c r="L731" s="2" t="s">
        <v>33</v>
      </c>
      <c r="M731">
        <v>0.42</v>
      </c>
      <c r="N731">
        <v>0.73</v>
      </c>
      <c r="O731">
        <v>27086.560000000001</v>
      </c>
      <c r="P731">
        <v>0</v>
      </c>
      <c r="Q731">
        <v>39</v>
      </c>
      <c r="R731">
        <v>12087.81</v>
      </c>
      <c r="S731">
        <v>36756.81</v>
      </c>
      <c r="T731">
        <v>2417.5600000000013</v>
      </c>
      <c r="U731">
        <v>0</v>
      </c>
      <c r="V731" s="2" t="s">
        <v>2056</v>
      </c>
      <c r="W731" s="2" t="s">
        <v>2057</v>
      </c>
      <c r="X731">
        <v>20146.349999999999</v>
      </c>
      <c r="Y731">
        <v>9.7999918926588075E-2</v>
      </c>
      <c r="Z731" s="2" t="s">
        <v>2058</v>
      </c>
    </row>
    <row r="732" spans="1:26" x14ac:dyDescent="0.3">
      <c r="A732" s="2" t="s">
        <v>1506</v>
      </c>
      <c r="B732" s="1">
        <v>45246</v>
      </c>
      <c r="C732" s="2" t="s">
        <v>1507</v>
      </c>
      <c r="D732" s="2" t="s">
        <v>53</v>
      </c>
      <c r="E732">
        <v>35068</v>
      </c>
      <c r="F732">
        <v>11.2</v>
      </c>
      <c r="G732">
        <v>36</v>
      </c>
      <c r="H732" s="2" t="s">
        <v>19</v>
      </c>
      <c r="I732" s="2" t="s">
        <v>84</v>
      </c>
      <c r="J732" s="2" t="s">
        <v>37</v>
      </c>
      <c r="K732">
        <v>126362</v>
      </c>
      <c r="L732" s="2" t="s">
        <v>29</v>
      </c>
      <c r="M732">
        <v>0.45</v>
      </c>
      <c r="N732">
        <v>0.76</v>
      </c>
      <c r="O732">
        <v>38995.620000000003</v>
      </c>
      <c r="P732">
        <v>0</v>
      </c>
      <c r="Q732">
        <v>28</v>
      </c>
      <c r="R732">
        <v>11782.848</v>
      </c>
      <c r="S732">
        <v>46850.847999999998</v>
      </c>
      <c r="T732">
        <v>3927.6200000000026</v>
      </c>
      <c r="U732">
        <v>0</v>
      </c>
      <c r="V732" s="2" t="s">
        <v>2056</v>
      </c>
      <c r="W732" s="2" t="s">
        <v>2062</v>
      </c>
      <c r="X732">
        <v>32730.133300000001</v>
      </c>
      <c r="Y732">
        <v>0.11200011406410409</v>
      </c>
      <c r="Z732" s="2" t="s">
        <v>2058</v>
      </c>
    </row>
    <row r="733" spans="1:26" x14ac:dyDescent="0.3">
      <c r="A733" s="2" t="s">
        <v>1508</v>
      </c>
      <c r="B733" s="1">
        <v>44369</v>
      </c>
      <c r="C733" s="2" t="s">
        <v>1509</v>
      </c>
      <c r="D733" s="2" t="s">
        <v>53</v>
      </c>
      <c r="E733">
        <v>24253</v>
      </c>
      <c r="F733">
        <v>10.1</v>
      </c>
      <c r="G733">
        <v>60</v>
      </c>
      <c r="H733" s="2" t="s">
        <v>19</v>
      </c>
      <c r="I733" s="2" t="s">
        <v>20</v>
      </c>
      <c r="J733" s="2" t="s">
        <v>28</v>
      </c>
      <c r="K733">
        <v>131607</v>
      </c>
      <c r="L733" s="2" t="s">
        <v>29</v>
      </c>
      <c r="M733">
        <v>0.43</v>
      </c>
      <c r="N733">
        <v>0.92</v>
      </c>
      <c r="O733">
        <v>26702.55</v>
      </c>
      <c r="P733">
        <v>0</v>
      </c>
      <c r="Q733">
        <v>56</v>
      </c>
      <c r="R733">
        <v>12247.764999999999</v>
      </c>
      <c r="S733">
        <v>36500.764999999999</v>
      </c>
      <c r="T733">
        <v>2449.5499999999993</v>
      </c>
      <c r="U733">
        <v>0</v>
      </c>
      <c r="V733" s="2" t="s">
        <v>2056</v>
      </c>
      <c r="W733" s="2" t="s">
        <v>2057</v>
      </c>
      <c r="X733">
        <v>20412.941699999999</v>
      </c>
      <c r="Y733">
        <v>0.10099987630396237</v>
      </c>
      <c r="Z733" s="2" t="s">
        <v>2058</v>
      </c>
    </row>
    <row r="734" spans="1:26" x14ac:dyDescent="0.3">
      <c r="A734" s="2" t="s">
        <v>1510</v>
      </c>
      <c r="B734" s="1">
        <v>44522</v>
      </c>
      <c r="C734" s="2" t="s">
        <v>1511</v>
      </c>
      <c r="D734" s="2" t="s">
        <v>53</v>
      </c>
      <c r="E734">
        <v>10435</v>
      </c>
      <c r="F734">
        <v>5.6</v>
      </c>
      <c r="G734">
        <v>36</v>
      </c>
      <c r="H734" s="2" t="s">
        <v>26</v>
      </c>
      <c r="I734" s="2" t="s">
        <v>27</v>
      </c>
      <c r="J734" s="2" t="s">
        <v>47</v>
      </c>
      <c r="K734">
        <v>82265</v>
      </c>
      <c r="L734" s="2" t="s">
        <v>33</v>
      </c>
      <c r="M734">
        <v>0.11</v>
      </c>
      <c r="N734">
        <v>0.89</v>
      </c>
      <c r="O734">
        <v>1328.43</v>
      </c>
      <c r="P734">
        <v>0</v>
      </c>
      <c r="Q734">
        <v>51</v>
      </c>
      <c r="R734">
        <v>1753.0799999999997</v>
      </c>
      <c r="S734">
        <v>12188.08</v>
      </c>
      <c r="T734">
        <v>-9106.57</v>
      </c>
      <c r="U734">
        <v>0</v>
      </c>
      <c r="V734" s="2" t="s">
        <v>2059</v>
      </c>
      <c r="W734" s="2" t="s">
        <v>2060</v>
      </c>
      <c r="X734">
        <v>4869.6716999999999</v>
      </c>
      <c r="Y734">
        <v>-0.87269477719214184</v>
      </c>
      <c r="Z734" s="2" t="s">
        <v>2058</v>
      </c>
    </row>
    <row r="735" spans="1:26" x14ac:dyDescent="0.3">
      <c r="A735" s="2" t="s">
        <v>1512</v>
      </c>
      <c r="B735" s="1">
        <v>45032</v>
      </c>
      <c r="C735" s="2" t="s">
        <v>1513</v>
      </c>
      <c r="D735" s="2" t="s">
        <v>25</v>
      </c>
      <c r="E735">
        <v>29552</v>
      </c>
      <c r="F735">
        <v>24.4</v>
      </c>
      <c r="G735">
        <v>36</v>
      </c>
      <c r="H735" s="2" t="s">
        <v>26</v>
      </c>
      <c r="I735" s="2" t="s">
        <v>84</v>
      </c>
      <c r="J735" s="2" t="s">
        <v>47</v>
      </c>
      <c r="K735">
        <v>46061</v>
      </c>
      <c r="L735" s="2" t="s">
        <v>29</v>
      </c>
      <c r="M735">
        <v>0.39</v>
      </c>
      <c r="N735">
        <v>0.57999999999999996</v>
      </c>
      <c r="O735">
        <v>5184.05</v>
      </c>
      <c r="P735">
        <v>0</v>
      </c>
      <c r="Q735">
        <v>35</v>
      </c>
      <c r="R735">
        <v>21632.063999999998</v>
      </c>
      <c r="S735">
        <v>51184.063999999998</v>
      </c>
      <c r="T735">
        <v>-24367.95</v>
      </c>
      <c r="U735">
        <v>0</v>
      </c>
      <c r="V735" s="2" t="s">
        <v>2059</v>
      </c>
      <c r="W735" s="2" t="s">
        <v>2062</v>
      </c>
      <c r="X735">
        <v>60089.066700000003</v>
      </c>
      <c r="Y735">
        <v>-0.82457870871683814</v>
      </c>
      <c r="Z735" s="2" t="s">
        <v>2061</v>
      </c>
    </row>
    <row r="736" spans="1:26" x14ac:dyDescent="0.3">
      <c r="A736" s="2" t="s">
        <v>1514</v>
      </c>
      <c r="B736" s="1">
        <v>44920</v>
      </c>
      <c r="C736" s="2" t="s">
        <v>1515</v>
      </c>
      <c r="D736" s="2" t="s">
        <v>25</v>
      </c>
      <c r="E736">
        <v>38384</v>
      </c>
      <c r="F736">
        <v>9.4</v>
      </c>
      <c r="G736">
        <v>60</v>
      </c>
      <c r="H736" s="2" t="s">
        <v>26</v>
      </c>
      <c r="I736" s="2" t="s">
        <v>20</v>
      </c>
      <c r="J736" s="2" t="s">
        <v>37</v>
      </c>
      <c r="K736">
        <v>88226</v>
      </c>
      <c r="L736" s="2" t="s">
        <v>22</v>
      </c>
      <c r="M736">
        <v>0.18</v>
      </c>
      <c r="N736">
        <v>0.7</v>
      </c>
      <c r="O736">
        <v>4663.03</v>
      </c>
      <c r="P736">
        <v>0</v>
      </c>
      <c r="Q736">
        <v>38</v>
      </c>
      <c r="R736">
        <v>18040.480000000003</v>
      </c>
      <c r="S736">
        <v>56424.480000000003</v>
      </c>
      <c r="T736">
        <v>-33720.97</v>
      </c>
      <c r="U736">
        <v>0</v>
      </c>
      <c r="V736" s="2" t="s">
        <v>2059</v>
      </c>
      <c r="W736" s="2" t="s">
        <v>2057</v>
      </c>
      <c r="X736">
        <v>30067.466700000001</v>
      </c>
      <c r="Y736">
        <v>-0.87851630887869947</v>
      </c>
      <c r="Z736" s="2" t="s">
        <v>2061</v>
      </c>
    </row>
    <row r="737" spans="1:26" x14ac:dyDescent="0.3">
      <c r="A737" s="2" t="s">
        <v>1516</v>
      </c>
      <c r="B737" s="1">
        <v>44421</v>
      </c>
      <c r="C737" s="2" t="s">
        <v>1517</v>
      </c>
      <c r="D737" s="2" t="s">
        <v>56</v>
      </c>
      <c r="E737">
        <v>17393</v>
      </c>
      <c r="F737">
        <v>19.7</v>
      </c>
      <c r="G737">
        <v>60</v>
      </c>
      <c r="H737" s="2" t="s">
        <v>26</v>
      </c>
      <c r="I737" s="2" t="s">
        <v>57</v>
      </c>
      <c r="J737" s="2" t="s">
        <v>32</v>
      </c>
      <c r="K737">
        <v>58810</v>
      </c>
      <c r="L737" s="2" t="s">
        <v>22</v>
      </c>
      <c r="M737">
        <v>0.15</v>
      </c>
      <c r="N737">
        <v>0.71</v>
      </c>
      <c r="O737">
        <v>2401.1</v>
      </c>
      <c r="P737">
        <v>0</v>
      </c>
      <c r="Q737">
        <v>55</v>
      </c>
      <c r="R737">
        <v>17132.105</v>
      </c>
      <c r="S737">
        <v>34525.104999999996</v>
      </c>
      <c r="T737">
        <v>-14991.9</v>
      </c>
      <c r="U737">
        <v>0</v>
      </c>
      <c r="V737" s="2" t="s">
        <v>2059</v>
      </c>
      <c r="W737" s="2" t="s">
        <v>2057</v>
      </c>
      <c r="X737">
        <v>28553.508300000001</v>
      </c>
      <c r="Y737">
        <v>-0.86195020985453918</v>
      </c>
      <c r="Z737" s="2" t="s">
        <v>2061</v>
      </c>
    </row>
    <row r="738" spans="1:26" x14ac:dyDescent="0.3">
      <c r="A738" s="2" t="s">
        <v>1518</v>
      </c>
      <c r="B738" s="1">
        <v>44728</v>
      </c>
      <c r="C738" s="2" t="s">
        <v>1519</v>
      </c>
      <c r="D738" s="2" t="s">
        <v>50</v>
      </c>
      <c r="E738">
        <v>11617</v>
      </c>
      <c r="F738">
        <v>20.3</v>
      </c>
      <c r="G738">
        <v>36</v>
      </c>
      <c r="H738" s="2" t="s">
        <v>26</v>
      </c>
      <c r="I738" s="2" t="s">
        <v>41</v>
      </c>
      <c r="J738" s="2" t="s">
        <v>32</v>
      </c>
      <c r="K738">
        <v>90006</v>
      </c>
      <c r="L738" s="2" t="s">
        <v>29</v>
      </c>
      <c r="M738">
        <v>0.36</v>
      </c>
      <c r="N738">
        <v>0.86</v>
      </c>
      <c r="O738">
        <v>5667.24</v>
      </c>
      <c r="P738">
        <v>0</v>
      </c>
      <c r="Q738">
        <v>45</v>
      </c>
      <c r="R738">
        <v>7074.7530000000006</v>
      </c>
      <c r="S738">
        <v>18691.753000000001</v>
      </c>
      <c r="T738">
        <v>-5949.76</v>
      </c>
      <c r="U738">
        <v>0</v>
      </c>
      <c r="V738" s="2" t="s">
        <v>2059</v>
      </c>
      <c r="W738" s="2" t="s">
        <v>2062</v>
      </c>
      <c r="X738">
        <v>19652.091700000001</v>
      </c>
      <c r="Y738">
        <v>-0.51215976586037704</v>
      </c>
      <c r="Z738" s="2" t="s">
        <v>2058</v>
      </c>
    </row>
    <row r="739" spans="1:26" x14ac:dyDescent="0.3">
      <c r="A739" s="2" t="s">
        <v>1520</v>
      </c>
      <c r="B739" s="1">
        <v>44309</v>
      </c>
      <c r="C739" s="2" t="s">
        <v>1521</v>
      </c>
      <c r="D739" s="2" t="s">
        <v>72</v>
      </c>
      <c r="E739">
        <v>39520</v>
      </c>
      <c r="F739">
        <v>23.6</v>
      </c>
      <c r="G739">
        <v>36</v>
      </c>
      <c r="H739" s="2" t="s">
        <v>19</v>
      </c>
      <c r="I739" s="2" t="s">
        <v>84</v>
      </c>
      <c r="J739" s="2" t="s">
        <v>32</v>
      </c>
      <c r="K739">
        <v>143502</v>
      </c>
      <c r="L739" s="2" t="s">
        <v>22</v>
      </c>
      <c r="M739">
        <v>0.23</v>
      </c>
      <c r="N739">
        <v>0.77</v>
      </c>
      <c r="O739">
        <v>48846.720000000001</v>
      </c>
      <c r="P739">
        <v>0</v>
      </c>
      <c r="Q739">
        <v>58</v>
      </c>
      <c r="R739">
        <v>27980.16</v>
      </c>
      <c r="S739">
        <v>67500.160000000003</v>
      </c>
      <c r="T739">
        <v>9326.7200000000012</v>
      </c>
      <c r="U739">
        <v>0</v>
      </c>
      <c r="V739" s="2" t="s">
        <v>2056</v>
      </c>
      <c r="W739" s="2" t="s">
        <v>2062</v>
      </c>
      <c r="X739">
        <v>77722.666700000002</v>
      </c>
      <c r="Y739">
        <v>0.23600000000000004</v>
      </c>
      <c r="Z739" s="2" t="s">
        <v>2061</v>
      </c>
    </row>
    <row r="740" spans="1:26" x14ac:dyDescent="0.3">
      <c r="A740" s="2" t="s">
        <v>1522</v>
      </c>
      <c r="B740" s="1">
        <v>44336</v>
      </c>
      <c r="C740" s="2" t="s">
        <v>1523</v>
      </c>
      <c r="D740" s="2" t="s">
        <v>46</v>
      </c>
      <c r="E740">
        <v>10852</v>
      </c>
      <c r="F740">
        <v>5.6</v>
      </c>
      <c r="G740">
        <v>60</v>
      </c>
      <c r="H740" s="2" t="s">
        <v>19</v>
      </c>
      <c r="I740" s="2" t="s">
        <v>73</v>
      </c>
      <c r="J740" s="2" t="s">
        <v>32</v>
      </c>
      <c r="K740">
        <v>52800</v>
      </c>
      <c r="L740" s="2" t="s">
        <v>22</v>
      </c>
      <c r="M740">
        <v>0.12</v>
      </c>
      <c r="N740">
        <v>0.79</v>
      </c>
      <c r="O740">
        <v>11459.71</v>
      </c>
      <c r="P740">
        <v>0</v>
      </c>
      <c r="Q740">
        <v>57</v>
      </c>
      <c r="R740">
        <v>3038.56</v>
      </c>
      <c r="S740">
        <v>13890.56</v>
      </c>
      <c r="T740">
        <v>607.70999999999913</v>
      </c>
      <c r="U740">
        <v>0</v>
      </c>
      <c r="V740" s="2" t="s">
        <v>2056</v>
      </c>
      <c r="W740" s="2" t="s">
        <v>2064</v>
      </c>
      <c r="X740">
        <v>5064.2667000000001</v>
      </c>
      <c r="Y740">
        <v>5.5999815702174632E-2</v>
      </c>
      <c r="Z740" s="2" t="s">
        <v>2061</v>
      </c>
    </row>
    <row r="741" spans="1:26" x14ac:dyDescent="0.3">
      <c r="A741" s="2" t="s">
        <v>1524</v>
      </c>
      <c r="B741" s="1">
        <v>44755</v>
      </c>
      <c r="C741" s="2" t="s">
        <v>1525</v>
      </c>
      <c r="D741" s="2" t="s">
        <v>18</v>
      </c>
      <c r="E741">
        <v>32401</v>
      </c>
      <c r="F741">
        <v>22.4</v>
      </c>
      <c r="G741">
        <v>36</v>
      </c>
      <c r="H741" s="2" t="s">
        <v>60</v>
      </c>
      <c r="I741" s="2" t="s">
        <v>27</v>
      </c>
      <c r="J741" s="2" t="s">
        <v>32</v>
      </c>
      <c r="K741">
        <v>146192</v>
      </c>
      <c r="L741" s="2" t="s">
        <v>29</v>
      </c>
      <c r="M741">
        <v>0.16</v>
      </c>
      <c r="N741">
        <v>0.95</v>
      </c>
      <c r="O741">
        <v>0</v>
      </c>
      <c r="P741">
        <v>0</v>
      </c>
      <c r="Q741">
        <v>44</v>
      </c>
      <c r="R741">
        <v>21773.471999999998</v>
      </c>
      <c r="S741">
        <v>54174.471999999994</v>
      </c>
      <c r="T741">
        <v>-32401</v>
      </c>
      <c r="U741">
        <v>0</v>
      </c>
      <c r="V741" s="2" t="s">
        <v>2063</v>
      </c>
      <c r="W741" s="2" t="s">
        <v>2060</v>
      </c>
      <c r="X741">
        <v>60481.866699999999</v>
      </c>
      <c r="Y741">
        <v>-1</v>
      </c>
      <c r="Z741" s="2" t="s">
        <v>2058</v>
      </c>
    </row>
    <row r="742" spans="1:26" x14ac:dyDescent="0.3">
      <c r="A742" s="2" t="s">
        <v>1526</v>
      </c>
      <c r="B742" s="1">
        <v>44197</v>
      </c>
      <c r="C742" s="2" t="s">
        <v>1527</v>
      </c>
      <c r="D742" s="2" t="s">
        <v>65</v>
      </c>
      <c r="E742">
        <v>7295</v>
      </c>
      <c r="F742">
        <v>15.5</v>
      </c>
      <c r="G742">
        <v>60</v>
      </c>
      <c r="H742" s="2" t="s">
        <v>19</v>
      </c>
      <c r="I742" s="2" t="s">
        <v>84</v>
      </c>
      <c r="J742" s="2" t="s">
        <v>37</v>
      </c>
      <c r="K742">
        <v>138959</v>
      </c>
      <c r="L742" s="2" t="s">
        <v>33</v>
      </c>
      <c r="M742">
        <v>0.1</v>
      </c>
      <c r="N742">
        <v>0.53</v>
      </c>
      <c r="O742">
        <v>8425.7199999999993</v>
      </c>
      <c r="P742">
        <v>0</v>
      </c>
      <c r="Q742">
        <v>62</v>
      </c>
      <c r="R742">
        <v>5653.625</v>
      </c>
      <c r="S742">
        <v>12948.625</v>
      </c>
      <c r="T742">
        <v>1130.7199999999993</v>
      </c>
      <c r="U742">
        <v>0</v>
      </c>
      <c r="V742" s="2" t="s">
        <v>2056</v>
      </c>
      <c r="W742" s="2" t="s">
        <v>2062</v>
      </c>
      <c r="X742">
        <v>9422.7083000000002</v>
      </c>
      <c r="Y742">
        <v>0.15499931459904034</v>
      </c>
      <c r="Z742" s="2" t="s">
        <v>2061</v>
      </c>
    </row>
    <row r="743" spans="1:26" x14ac:dyDescent="0.3">
      <c r="A743" s="2" t="s">
        <v>1528</v>
      </c>
      <c r="B743" s="1">
        <v>44286</v>
      </c>
      <c r="C743" s="2" t="s">
        <v>1529</v>
      </c>
      <c r="D743" s="2" t="s">
        <v>50</v>
      </c>
      <c r="E743">
        <v>36993</v>
      </c>
      <c r="F743">
        <v>17.7</v>
      </c>
      <c r="G743">
        <v>36</v>
      </c>
      <c r="H743" s="2" t="s">
        <v>26</v>
      </c>
      <c r="I743" s="2" t="s">
        <v>57</v>
      </c>
      <c r="J743" s="2" t="s">
        <v>21</v>
      </c>
      <c r="K743">
        <v>137228</v>
      </c>
      <c r="L743" s="2" t="s">
        <v>29</v>
      </c>
      <c r="M743">
        <v>0.46</v>
      </c>
      <c r="N743">
        <v>0.6</v>
      </c>
      <c r="O743">
        <v>4398.51</v>
      </c>
      <c r="P743">
        <v>0</v>
      </c>
      <c r="Q743">
        <v>59</v>
      </c>
      <c r="R743">
        <v>19643.282999999999</v>
      </c>
      <c r="S743">
        <v>56636.282999999996</v>
      </c>
      <c r="T743">
        <v>-32594.489999999998</v>
      </c>
      <c r="U743">
        <v>0</v>
      </c>
      <c r="V743" s="2" t="s">
        <v>2059</v>
      </c>
      <c r="W743" s="2" t="s">
        <v>2057</v>
      </c>
      <c r="X743">
        <v>54564.675000000003</v>
      </c>
      <c r="Y743">
        <v>-0.88109885654042652</v>
      </c>
      <c r="Z743" s="2" t="s">
        <v>2058</v>
      </c>
    </row>
    <row r="744" spans="1:26" x14ac:dyDescent="0.3">
      <c r="A744" s="2" t="s">
        <v>1530</v>
      </c>
      <c r="B744" s="1">
        <v>44850</v>
      </c>
      <c r="C744" s="2" t="s">
        <v>1531</v>
      </c>
      <c r="D744" s="2" t="s">
        <v>18</v>
      </c>
      <c r="E744">
        <v>35084</v>
      </c>
      <c r="F744">
        <v>17.899999999999999</v>
      </c>
      <c r="G744">
        <v>36</v>
      </c>
      <c r="H744" s="2" t="s">
        <v>19</v>
      </c>
      <c r="I744" s="2" t="s">
        <v>36</v>
      </c>
      <c r="J744" s="2" t="s">
        <v>28</v>
      </c>
      <c r="K744">
        <v>105476</v>
      </c>
      <c r="L744" s="2" t="s">
        <v>29</v>
      </c>
      <c r="M744">
        <v>0.11</v>
      </c>
      <c r="N744">
        <v>0.68</v>
      </c>
      <c r="O744">
        <v>41364.04</v>
      </c>
      <c r="P744">
        <v>0</v>
      </c>
      <c r="Q744">
        <v>41</v>
      </c>
      <c r="R744">
        <v>18840.108</v>
      </c>
      <c r="S744">
        <v>53924.108</v>
      </c>
      <c r="T744">
        <v>6280.0400000000009</v>
      </c>
      <c r="U744">
        <v>0</v>
      </c>
      <c r="V744" s="2" t="s">
        <v>2056</v>
      </c>
      <c r="W744" s="2" t="s">
        <v>2062</v>
      </c>
      <c r="X744">
        <v>52333.633300000001</v>
      </c>
      <c r="Y744">
        <v>0.17900011401208529</v>
      </c>
      <c r="Z744" s="2" t="s">
        <v>2061</v>
      </c>
    </row>
    <row r="745" spans="1:26" x14ac:dyDescent="0.3">
      <c r="A745" s="2" t="s">
        <v>1532</v>
      </c>
      <c r="B745" s="1">
        <v>44516</v>
      </c>
      <c r="C745" s="2" t="s">
        <v>1533</v>
      </c>
      <c r="D745" s="2" t="s">
        <v>46</v>
      </c>
      <c r="E745">
        <v>37451</v>
      </c>
      <c r="F745">
        <v>21.4</v>
      </c>
      <c r="G745">
        <v>60</v>
      </c>
      <c r="H745" s="2" t="s">
        <v>26</v>
      </c>
      <c r="I745" s="2" t="s">
        <v>73</v>
      </c>
      <c r="J745" s="2" t="s">
        <v>32</v>
      </c>
      <c r="K745">
        <v>99460</v>
      </c>
      <c r="L745" s="2" t="s">
        <v>29</v>
      </c>
      <c r="M745">
        <v>0.18</v>
      </c>
      <c r="N745">
        <v>0.66</v>
      </c>
      <c r="O745">
        <v>6410.55</v>
      </c>
      <c r="P745">
        <v>0</v>
      </c>
      <c r="Q745">
        <v>52</v>
      </c>
      <c r="R745">
        <v>40072.57</v>
      </c>
      <c r="S745">
        <v>77523.570000000007</v>
      </c>
      <c r="T745">
        <v>-31040.45</v>
      </c>
      <c r="U745">
        <v>0</v>
      </c>
      <c r="V745" s="2" t="s">
        <v>2059</v>
      </c>
      <c r="W745" s="2" t="s">
        <v>2064</v>
      </c>
      <c r="X745">
        <v>66787.616699999999</v>
      </c>
      <c r="Y745">
        <v>-0.8288283356919709</v>
      </c>
      <c r="Z745" s="2" t="s">
        <v>2061</v>
      </c>
    </row>
    <row r="746" spans="1:26" x14ac:dyDescent="0.3">
      <c r="A746" s="2" t="s">
        <v>1534</v>
      </c>
      <c r="B746" s="1">
        <v>44335</v>
      </c>
      <c r="C746" s="2" t="s">
        <v>1535</v>
      </c>
      <c r="D746" s="2" t="s">
        <v>50</v>
      </c>
      <c r="E746">
        <v>8227</v>
      </c>
      <c r="F746">
        <v>11.7</v>
      </c>
      <c r="G746">
        <v>60</v>
      </c>
      <c r="H746" s="2" t="s">
        <v>26</v>
      </c>
      <c r="I746" s="2" t="s">
        <v>73</v>
      </c>
      <c r="J746" s="2" t="s">
        <v>21</v>
      </c>
      <c r="K746">
        <v>87767</v>
      </c>
      <c r="L746" s="2" t="s">
        <v>29</v>
      </c>
      <c r="M746">
        <v>0.27</v>
      </c>
      <c r="N746">
        <v>0.51</v>
      </c>
      <c r="O746">
        <v>2597.8000000000002</v>
      </c>
      <c r="P746">
        <v>0</v>
      </c>
      <c r="Q746">
        <v>58</v>
      </c>
      <c r="R746">
        <v>4812.7950000000001</v>
      </c>
      <c r="S746">
        <v>13039.795</v>
      </c>
      <c r="T746">
        <v>-5629.2</v>
      </c>
      <c r="U746">
        <v>0</v>
      </c>
      <c r="V746" s="2" t="s">
        <v>2059</v>
      </c>
      <c r="W746" s="2" t="s">
        <v>2064</v>
      </c>
      <c r="X746">
        <v>8021.3249999999998</v>
      </c>
      <c r="Y746">
        <v>-0.68423483651391759</v>
      </c>
      <c r="Z746" s="2" t="s">
        <v>2061</v>
      </c>
    </row>
    <row r="747" spans="1:26" x14ac:dyDescent="0.3">
      <c r="A747" s="2" t="s">
        <v>1536</v>
      </c>
      <c r="B747" s="1">
        <v>45041</v>
      </c>
      <c r="C747" s="2" t="s">
        <v>1537</v>
      </c>
      <c r="D747" s="2" t="s">
        <v>18</v>
      </c>
      <c r="E747">
        <v>32910</v>
      </c>
      <c r="F747">
        <v>19.7</v>
      </c>
      <c r="G747">
        <v>60</v>
      </c>
      <c r="H747" s="2" t="s">
        <v>19</v>
      </c>
      <c r="I747" s="2" t="s">
        <v>41</v>
      </c>
      <c r="J747" s="2" t="s">
        <v>47</v>
      </c>
      <c r="K747">
        <v>58054</v>
      </c>
      <c r="L747" s="2" t="s">
        <v>33</v>
      </c>
      <c r="M747">
        <v>0.24</v>
      </c>
      <c r="N747">
        <v>0.54</v>
      </c>
      <c r="O747">
        <v>39393.269999999997</v>
      </c>
      <c r="P747">
        <v>0</v>
      </c>
      <c r="Q747">
        <v>34</v>
      </c>
      <c r="R747">
        <v>32416.350000000002</v>
      </c>
      <c r="S747">
        <v>65326.350000000006</v>
      </c>
      <c r="T747">
        <v>6483.2699999999968</v>
      </c>
      <c r="U747">
        <v>0</v>
      </c>
      <c r="V747" s="2" t="s">
        <v>2056</v>
      </c>
      <c r="W747" s="2" t="s">
        <v>2062</v>
      </c>
      <c r="X747">
        <v>54027.25</v>
      </c>
      <c r="Y747">
        <v>0.1969999999999999</v>
      </c>
      <c r="Z747" s="2" t="s">
        <v>2061</v>
      </c>
    </row>
    <row r="748" spans="1:26" x14ac:dyDescent="0.3">
      <c r="A748" s="2" t="s">
        <v>1538</v>
      </c>
      <c r="B748" s="1">
        <v>44455</v>
      </c>
      <c r="C748" s="2" t="s">
        <v>1539</v>
      </c>
      <c r="D748" s="2" t="s">
        <v>76</v>
      </c>
      <c r="E748">
        <v>37041</v>
      </c>
      <c r="F748">
        <v>15.6</v>
      </c>
      <c r="G748">
        <v>60</v>
      </c>
      <c r="H748" s="2" t="s">
        <v>19</v>
      </c>
      <c r="I748" s="2" t="s">
        <v>84</v>
      </c>
      <c r="J748" s="2" t="s">
        <v>37</v>
      </c>
      <c r="K748">
        <v>105319</v>
      </c>
      <c r="L748" s="2" t="s">
        <v>33</v>
      </c>
      <c r="M748">
        <v>0.46</v>
      </c>
      <c r="N748">
        <v>0.81</v>
      </c>
      <c r="O748">
        <v>42819.4</v>
      </c>
      <c r="P748">
        <v>0</v>
      </c>
      <c r="Q748">
        <v>54</v>
      </c>
      <c r="R748">
        <v>28891.98</v>
      </c>
      <c r="S748">
        <v>65932.98</v>
      </c>
      <c r="T748">
        <v>5778.4000000000015</v>
      </c>
      <c r="U748">
        <v>0</v>
      </c>
      <c r="V748" s="2" t="s">
        <v>2056</v>
      </c>
      <c r="W748" s="2" t="s">
        <v>2062</v>
      </c>
      <c r="X748">
        <v>48153.3</v>
      </c>
      <c r="Y748">
        <v>0.15600010798844527</v>
      </c>
      <c r="Z748" s="2" t="s">
        <v>2058</v>
      </c>
    </row>
    <row r="749" spans="1:26" x14ac:dyDescent="0.3">
      <c r="A749" s="2" t="s">
        <v>1540</v>
      </c>
      <c r="B749" s="1">
        <v>45098</v>
      </c>
      <c r="C749" s="2" t="s">
        <v>1541</v>
      </c>
      <c r="D749" s="2" t="s">
        <v>25</v>
      </c>
      <c r="E749">
        <v>24384</v>
      </c>
      <c r="F749">
        <v>20.9</v>
      </c>
      <c r="G749">
        <v>60</v>
      </c>
      <c r="H749" s="2" t="s">
        <v>26</v>
      </c>
      <c r="I749" s="2" t="s">
        <v>57</v>
      </c>
      <c r="J749" s="2" t="s">
        <v>21</v>
      </c>
      <c r="K749">
        <v>132789</v>
      </c>
      <c r="L749" s="2" t="s">
        <v>22</v>
      </c>
      <c r="M749">
        <v>0.12</v>
      </c>
      <c r="N749">
        <v>0.9</v>
      </c>
      <c r="O749">
        <v>7914.57</v>
      </c>
      <c r="P749">
        <v>0</v>
      </c>
      <c r="Q749">
        <v>32</v>
      </c>
      <c r="R749">
        <v>25481.279999999999</v>
      </c>
      <c r="S749">
        <v>49865.279999999999</v>
      </c>
      <c r="T749">
        <v>-16469.43</v>
      </c>
      <c r="U749">
        <v>0</v>
      </c>
      <c r="V749" s="2" t="s">
        <v>2059</v>
      </c>
      <c r="W749" s="2" t="s">
        <v>2057</v>
      </c>
      <c r="X749">
        <v>42468.800000000003</v>
      </c>
      <c r="Y749">
        <v>-0.67541953740157479</v>
      </c>
      <c r="Z749" s="2" t="s">
        <v>2058</v>
      </c>
    </row>
    <row r="750" spans="1:26" x14ac:dyDescent="0.3">
      <c r="A750" s="2" t="s">
        <v>1542</v>
      </c>
      <c r="B750" s="1">
        <v>44886</v>
      </c>
      <c r="C750" s="2" t="s">
        <v>1543</v>
      </c>
      <c r="D750" s="2" t="s">
        <v>46</v>
      </c>
      <c r="E750">
        <v>1145</v>
      </c>
      <c r="F750">
        <v>24.8</v>
      </c>
      <c r="G750">
        <v>60</v>
      </c>
      <c r="H750" s="2" t="s">
        <v>19</v>
      </c>
      <c r="I750" s="2" t="s">
        <v>20</v>
      </c>
      <c r="J750" s="2" t="s">
        <v>32</v>
      </c>
      <c r="K750">
        <v>75397</v>
      </c>
      <c r="L750" s="2" t="s">
        <v>22</v>
      </c>
      <c r="M750">
        <v>0.3</v>
      </c>
      <c r="N750">
        <v>0.73</v>
      </c>
      <c r="O750">
        <v>1428.96</v>
      </c>
      <c r="P750">
        <v>0</v>
      </c>
      <c r="Q750">
        <v>39</v>
      </c>
      <c r="R750">
        <v>1419.8</v>
      </c>
      <c r="S750">
        <v>2564.8000000000002</v>
      </c>
      <c r="T750">
        <v>283.96000000000004</v>
      </c>
      <c r="U750">
        <v>0</v>
      </c>
      <c r="V750" s="2" t="s">
        <v>2056</v>
      </c>
      <c r="W750" s="2" t="s">
        <v>2057</v>
      </c>
      <c r="X750">
        <v>2366.3332999999998</v>
      </c>
      <c r="Y750">
        <v>0.24800000000000003</v>
      </c>
      <c r="Z750" s="2" t="s">
        <v>2061</v>
      </c>
    </row>
    <row r="751" spans="1:26" x14ac:dyDescent="0.3">
      <c r="A751" s="2" t="s">
        <v>1544</v>
      </c>
      <c r="B751" s="1">
        <v>44206</v>
      </c>
      <c r="C751" s="2" t="s">
        <v>1545</v>
      </c>
      <c r="D751" s="2" t="s">
        <v>72</v>
      </c>
      <c r="E751">
        <v>38778</v>
      </c>
      <c r="F751">
        <v>9</v>
      </c>
      <c r="G751">
        <v>60</v>
      </c>
      <c r="H751" s="2" t="s">
        <v>19</v>
      </c>
      <c r="I751" s="2" t="s">
        <v>73</v>
      </c>
      <c r="J751" s="2" t="s">
        <v>32</v>
      </c>
      <c r="K751">
        <v>43233</v>
      </c>
      <c r="L751" s="2" t="s">
        <v>29</v>
      </c>
      <c r="M751">
        <v>0.37</v>
      </c>
      <c r="N751">
        <v>0.74</v>
      </c>
      <c r="O751">
        <v>42268.02</v>
      </c>
      <c r="P751">
        <v>0</v>
      </c>
      <c r="Q751">
        <v>62</v>
      </c>
      <c r="R751">
        <v>17450.100000000002</v>
      </c>
      <c r="S751">
        <v>56228.100000000006</v>
      </c>
      <c r="T751">
        <v>3490.0199999999968</v>
      </c>
      <c r="U751">
        <v>0</v>
      </c>
      <c r="V751" s="2" t="s">
        <v>2056</v>
      </c>
      <c r="W751" s="2" t="s">
        <v>2064</v>
      </c>
      <c r="X751">
        <v>29083.5</v>
      </c>
      <c r="Y751">
        <v>8.9999999999999913E-2</v>
      </c>
      <c r="Z751" s="2" t="s">
        <v>2061</v>
      </c>
    </row>
    <row r="752" spans="1:26" x14ac:dyDescent="0.3">
      <c r="A752" s="2" t="s">
        <v>1546</v>
      </c>
      <c r="B752" s="1">
        <v>44457</v>
      </c>
      <c r="C752" s="2" t="s">
        <v>1547</v>
      </c>
      <c r="D752" s="2" t="s">
        <v>40</v>
      </c>
      <c r="E752">
        <v>17035</v>
      </c>
      <c r="F752">
        <v>24.9</v>
      </c>
      <c r="G752">
        <v>36</v>
      </c>
      <c r="H752" s="2" t="s">
        <v>26</v>
      </c>
      <c r="I752" s="2" t="s">
        <v>27</v>
      </c>
      <c r="J752" s="2" t="s">
        <v>32</v>
      </c>
      <c r="K752">
        <v>141205</v>
      </c>
      <c r="L752" s="2" t="s">
        <v>22</v>
      </c>
      <c r="M752">
        <v>0.47</v>
      </c>
      <c r="N752">
        <v>0.61</v>
      </c>
      <c r="O752">
        <v>2032.08</v>
      </c>
      <c r="P752">
        <v>0</v>
      </c>
      <c r="Q752">
        <v>54</v>
      </c>
      <c r="R752">
        <v>12725.144999999999</v>
      </c>
      <c r="S752">
        <v>29760.144999999997</v>
      </c>
      <c r="T752">
        <v>-15002.92</v>
      </c>
      <c r="U752">
        <v>0</v>
      </c>
      <c r="V752" s="2" t="s">
        <v>2059</v>
      </c>
      <c r="W752" s="2" t="s">
        <v>2060</v>
      </c>
      <c r="X752">
        <v>35347.625</v>
      </c>
      <c r="Y752">
        <v>-0.88071147637217495</v>
      </c>
      <c r="Z752" s="2" t="s">
        <v>2058</v>
      </c>
    </row>
    <row r="753" spans="1:26" x14ac:dyDescent="0.3">
      <c r="A753" s="2" t="s">
        <v>1548</v>
      </c>
      <c r="B753" s="1">
        <v>44368</v>
      </c>
      <c r="C753" s="2" t="s">
        <v>1549</v>
      </c>
      <c r="D753" s="2" t="s">
        <v>76</v>
      </c>
      <c r="E753">
        <v>4040</v>
      </c>
      <c r="F753">
        <v>6.8</v>
      </c>
      <c r="G753">
        <v>36</v>
      </c>
      <c r="H753" s="2" t="s">
        <v>19</v>
      </c>
      <c r="I753" s="2" t="s">
        <v>27</v>
      </c>
      <c r="J753" s="2" t="s">
        <v>21</v>
      </c>
      <c r="K753">
        <v>120020</v>
      </c>
      <c r="L753" s="2" t="s">
        <v>33</v>
      </c>
      <c r="M753">
        <v>0.35</v>
      </c>
      <c r="N753">
        <v>0.85</v>
      </c>
      <c r="O753">
        <v>4314.72</v>
      </c>
      <c r="P753">
        <v>0</v>
      </c>
      <c r="Q753">
        <v>56</v>
      </c>
      <c r="R753">
        <v>824.1600000000002</v>
      </c>
      <c r="S753">
        <v>4864.16</v>
      </c>
      <c r="T753">
        <v>274.72000000000025</v>
      </c>
      <c r="U753">
        <v>0</v>
      </c>
      <c r="V753" s="2" t="s">
        <v>2056</v>
      </c>
      <c r="W753" s="2" t="s">
        <v>2060</v>
      </c>
      <c r="X753">
        <v>2289.3335999999999</v>
      </c>
      <c r="Y753">
        <v>6.800000000000006E-2</v>
      </c>
      <c r="Z753" s="2" t="s">
        <v>2058</v>
      </c>
    </row>
    <row r="754" spans="1:26" x14ac:dyDescent="0.3">
      <c r="A754" s="2" t="s">
        <v>1550</v>
      </c>
      <c r="B754" s="1">
        <v>45094</v>
      </c>
      <c r="C754" s="2" t="s">
        <v>1551</v>
      </c>
      <c r="D754" s="2" t="s">
        <v>25</v>
      </c>
      <c r="E754">
        <v>27160</v>
      </c>
      <c r="F754">
        <v>5</v>
      </c>
      <c r="G754">
        <v>36</v>
      </c>
      <c r="H754" s="2" t="s">
        <v>81</v>
      </c>
      <c r="I754" s="2" t="s">
        <v>41</v>
      </c>
      <c r="J754" s="2" t="s">
        <v>32</v>
      </c>
      <c r="K754">
        <v>55068</v>
      </c>
      <c r="L754" s="2" t="s">
        <v>22</v>
      </c>
      <c r="M754">
        <v>0.42</v>
      </c>
      <c r="N754">
        <v>0.84</v>
      </c>
      <c r="O754">
        <v>9183.2099999999991</v>
      </c>
      <c r="P754">
        <v>3538.73</v>
      </c>
      <c r="Q754">
        <v>33</v>
      </c>
      <c r="R754">
        <v>4074</v>
      </c>
      <c r="S754">
        <v>31234</v>
      </c>
      <c r="T754">
        <v>-14438.060000000001</v>
      </c>
      <c r="U754">
        <v>1</v>
      </c>
      <c r="V754" s="2" t="s">
        <v>2063</v>
      </c>
      <c r="W754" s="2" t="s">
        <v>2062</v>
      </c>
      <c r="X754">
        <v>11316.707200000001</v>
      </c>
      <c r="Y754">
        <v>-0.53159278350515471</v>
      </c>
      <c r="Z754" s="2" t="s">
        <v>2058</v>
      </c>
    </row>
    <row r="755" spans="1:26" x14ac:dyDescent="0.3">
      <c r="A755" s="2" t="s">
        <v>1552</v>
      </c>
      <c r="B755" s="1">
        <v>44209</v>
      </c>
      <c r="C755" s="2" t="s">
        <v>1553</v>
      </c>
      <c r="D755" s="2" t="s">
        <v>53</v>
      </c>
      <c r="E755">
        <v>18633</v>
      </c>
      <c r="F755">
        <v>5.9</v>
      </c>
      <c r="G755">
        <v>60</v>
      </c>
      <c r="H755" s="2" t="s">
        <v>19</v>
      </c>
      <c r="I755" s="2" t="s">
        <v>84</v>
      </c>
      <c r="J755" s="2" t="s">
        <v>21</v>
      </c>
      <c r="K755">
        <v>95727</v>
      </c>
      <c r="L755" s="2" t="s">
        <v>22</v>
      </c>
      <c r="M755">
        <v>0.13</v>
      </c>
      <c r="N755">
        <v>0.76</v>
      </c>
      <c r="O755">
        <v>19732.349999999999</v>
      </c>
      <c r="P755">
        <v>0</v>
      </c>
      <c r="Q755">
        <v>62</v>
      </c>
      <c r="R755">
        <v>5496.7350000000006</v>
      </c>
      <c r="S755">
        <v>24129.735000000001</v>
      </c>
      <c r="T755">
        <v>1099.3499999999985</v>
      </c>
      <c r="U755">
        <v>0</v>
      </c>
      <c r="V755" s="2" t="s">
        <v>2056</v>
      </c>
      <c r="W755" s="2" t="s">
        <v>2062</v>
      </c>
      <c r="X755">
        <v>9161.2250000000004</v>
      </c>
      <c r="Y755">
        <v>5.9000161004669059E-2</v>
      </c>
      <c r="Z755" s="2" t="s">
        <v>2061</v>
      </c>
    </row>
    <row r="756" spans="1:26" x14ac:dyDescent="0.3">
      <c r="A756" s="2" t="s">
        <v>1554</v>
      </c>
      <c r="B756" s="1">
        <v>44517</v>
      </c>
      <c r="C756" s="2" t="s">
        <v>1555</v>
      </c>
      <c r="D756" s="2" t="s">
        <v>25</v>
      </c>
      <c r="E756">
        <v>30344</v>
      </c>
      <c r="F756">
        <v>11.8</v>
      </c>
      <c r="G756">
        <v>60</v>
      </c>
      <c r="H756" s="2" t="s">
        <v>19</v>
      </c>
      <c r="I756" s="2" t="s">
        <v>57</v>
      </c>
      <c r="J756" s="2" t="s">
        <v>32</v>
      </c>
      <c r="K756">
        <v>120610</v>
      </c>
      <c r="L756" s="2" t="s">
        <v>22</v>
      </c>
      <c r="M756">
        <v>0.25</v>
      </c>
      <c r="N756">
        <v>0.6</v>
      </c>
      <c r="O756">
        <v>33924.589999999997</v>
      </c>
      <c r="P756">
        <v>0</v>
      </c>
      <c r="Q756">
        <v>52</v>
      </c>
      <c r="R756">
        <v>17902.960000000003</v>
      </c>
      <c r="S756">
        <v>48246.960000000006</v>
      </c>
      <c r="T756">
        <v>3580.5899999999965</v>
      </c>
      <c r="U756">
        <v>0</v>
      </c>
      <c r="V756" s="2" t="s">
        <v>2056</v>
      </c>
      <c r="W756" s="2" t="s">
        <v>2057</v>
      </c>
      <c r="X756">
        <v>29838.2667</v>
      </c>
      <c r="Y756">
        <v>0.1179999340891114</v>
      </c>
      <c r="Z756" s="2" t="s">
        <v>2061</v>
      </c>
    </row>
    <row r="757" spans="1:26" x14ac:dyDescent="0.3">
      <c r="A757" s="2" t="s">
        <v>1556</v>
      </c>
      <c r="B757" s="1">
        <v>44525</v>
      </c>
      <c r="C757" s="2" t="s">
        <v>1557</v>
      </c>
      <c r="D757" s="2" t="s">
        <v>50</v>
      </c>
      <c r="E757">
        <v>18014</v>
      </c>
      <c r="F757">
        <v>17.7</v>
      </c>
      <c r="G757">
        <v>60</v>
      </c>
      <c r="H757" s="2" t="s">
        <v>26</v>
      </c>
      <c r="I757" s="2" t="s">
        <v>20</v>
      </c>
      <c r="J757" s="2" t="s">
        <v>47</v>
      </c>
      <c r="K757">
        <v>100453</v>
      </c>
      <c r="L757" s="2" t="s">
        <v>29</v>
      </c>
      <c r="M757">
        <v>0.25</v>
      </c>
      <c r="N757">
        <v>0.54</v>
      </c>
      <c r="O757">
        <v>7265.79</v>
      </c>
      <c r="P757">
        <v>0</v>
      </c>
      <c r="Q757">
        <v>51</v>
      </c>
      <c r="R757">
        <v>15942.39</v>
      </c>
      <c r="S757">
        <v>33956.39</v>
      </c>
      <c r="T757">
        <v>-10748.21</v>
      </c>
      <c r="U757">
        <v>0</v>
      </c>
      <c r="V757" s="2" t="s">
        <v>2059</v>
      </c>
      <c r="W757" s="2" t="s">
        <v>2057</v>
      </c>
      <c r="X757">
        <v>26570.65</v>
      </c>
      <c r="Y757">
        <v>-0.59665870989230596</v>
      </c>
      <c r="Z757" s="2" t="s">
        <v>2061</v>
      </c>
    </row>
    <row r="758" spans="1:26" x14ac:dyDescent="0.3">
      <c r="A758" s="2" t="s">
        <v>1558</v>
      </c>
      <c r="B758" s="1">
        <v>44981</v>
      </c>
      <c r="C758" s="2" t="s">
        <v>1559</v>
      </c>
      <c r="D758" s="2" t="s">
        <v>56</v>
      </c>
      <c r="E758">
        <v>15996</v>
      </c>
      <c r="F758">
        <v>6.4</v>
      </c>
      <c r="G758">
        <v>36</v>
      </c>
      <c r="H758" s="2" t="s">
        <v>19</v>
      </c>
      <c r="I758" s="2" t="s">
        <v>73</v>
      </c>
      <c r="J758" s="2" t="s">
        <v>47</v>
      </c>
      <c r="K758">
        <v>134135</v>
      </c>
      <c r="L758" s="2" t="s">
        <v>22</v>
      </c>
      <c r="M758">
        <v>0.45</v>
      </c>
      <c r="N758">
        <v>0.53</v>
      </c>
      <c r="O758">
        <v>17019.740000000002</v>
      </c>
      <c r="P758">
        <v>0</v>
      </c>
      <c r="Q758">
        <v>36</v>
      </c>
      <c r="R758">
        <v>3071.2320000000004</v>
      </c>
      <c r="S758">
        <v>19067.232</v>
      </c>
      <c r="T758">
        <v>1023.7400000000016</v>
      </c>
      <c r="U758">
        <v>0</v>
      </c>
      <c r="V758" s="2" t="s">
        <v>2056</v>
      </c>
      <c r="W758" s="2" t="s">
        <v>2064</v>
      </c>
      <c r="X758">
        <v>8531.2018000000007</v>
      </c>
      <c r="Y758">
        <v>6.3999749937484474E-2</v>
      </c>
      <c r="Z758" s="2" t="s">
        <v>2058</v>
      </c>
    </row>
    <row r="759" spans="1:26" x14ac:dyDescent="0.3">
      <c r="A759" s="2" t="s">
        <v>1560</v>
      </c>
      <c r="B759" s="1">
        <v>44973</v>
      </c>
      <c r="C759" s="2" t="s">
        <v>1561</v>
      </c>
      <c r="D759" s="2" t="s">
        <v>76</v>
      </c>
      <c r="E759">
        <v>12695</v>
      </c>
      <c r="F759">
        <v>5.0999999999999996</v>
      </c>
      <c r="G759">
        <v>60</v>
      </c>
      <c r="H759" s="2" t="s">
        <v>19</v>
      </c>
      <c r="I759" s="2" t="s">
        <v>27</v>
      </c>
      <c r="J759" s="2" t="s">
        <v>28</v>
      </c>
      <c r="K759">
        <v>55832</v>
      </c>
      <c r="L759" s="2" t="s">
        <v>33</v>
      </c>
      <c r="M759">
        <v>0.16</v>
      </c>
      <c r="N759">
        <v>0.77</v>
      </c>
      <c r="O759">
        <v>13342.44</v>
      </c>
      <c r="P759">
        <v>0</v>
      </c>
      <c r="Q759">
        <v>37</v>
      </c>
      <c r="R759">
        <v>3237.2249999999999</v>
      </c>
      <c r="S759">
        <v>15932.225</v>
      </c>
      <c r="T759">
        <v>647.44000000000051</v>
      </c>
      <c r="U759">
        <v>0</v>
      </c>
      <c r="V759" s="2" t="s">
        <v>2056</v>
      </c>
      <c r="W759" s="2" t="s">
        <v>2060</v>
      </c>
      <c r="X759">
        <v>5395.375</v>
      </c>
      <c r="Y759">
        <v>5.0999606144151284E-2</v>
      </c>
      <c r="Z759" s="2" t="s">
        <v>2061</v>
      </c>
    </row>
    <row r="760" spans="1:26" x14ac:dyDescent="0.3">
      <c r="A760" s="2" t="s">
        <v>1562</v>
      </c>
      <c r="B760" s="1">
        <v>45107</v>
      </c>
      <c r="C760" s="2" t="s">
        <v>1563</v>
      </c>
      <c r="D760" s="2" t="s">
        <v>53</v>
      </c>
      <c r="E760">
        <v>3852</v>
      </c>
      <c r="F760">
        <v>23.7</v>
      </c>
      <c r="G760">
        <v>60</v>
      </c>
      <c r="H760" s="2" t="s">
        <v>19</v>
      </c>
      <c r="I760" s="2" t="s">
        <v>73</v>
      </c>
      <c r="J760" s="2" t="s">
        <v>32</v>
      </c>
      <c r="K760">
        <v>138464</v>
      </c>
      <c r="L760" s="2" t="s">
        <v>33</v>
      </c>
      <c r="M760">
        <v>0.16</v>
      </c>
      <c r="N760">
        <v>0.87</v>
      </c>
      <c r="O760">
        <v>4764.92</v>
      </c>
      <c r="P760">
        <v>0</v>
      </c>
      <c r="Q760">
        <v>32</v>
      </c>
      <c r="R760">
        <v>4564.62</v>
      </c>
      <c r="S760">
        <v>8416.619999999999</v>
      </c>
      <c r="T760">
        <v>912.92000000000007</v>
      </c>
      <c r="U760">
        <v>0</v>
      </c>
      <c r="V760" s="2" t="s">
        <v>2056</v>
      </c>
      <c r="W760" s="2" t="s">
        <v>2064</v>
      </c>
      <c r="X760">
        <v>7607.7</v>
      </c>
      <c r="Y760">
        <v>0.23699896157840086</v>
      </c>
      <c r="Z760" s="2" t="s">
        <v>2058</v>
      </c>
    </row>
    <row r="761" spans="1:26" x14ac:dyDescent="0.3">
      <c r="A761" s="2" t="s">
        <v>1564</v>
      </c>
      <c r="B761" s="1">
        <v>44514</v>
      </c>
      <c r="C761" s="2" t="s">
        <v>1565</v>
      </c>
      <c r="D761" s="2" t="s">
        <v>50</v>
      </c>
      <c r="E761">
        <v>17014</v>
      </c>
      <c r="F761">
        <v>21.4</v>
      </c>
      <c r="G761">
        <v>36</v>
      </c>
      <c r="H761" s="2" t="s">
        <v>19</v>
      </c>
      <c r="I761" s="2" t="s">
        <v>73</v>
      </c>
      <c r="J761" s="2" t="s">
        <v>32</v>
      </c>
      <c r="K761">
        <v>116242</v>
      </c>
      <c r="L761" s="2" t="s">
        <v>33</v>
      </c>
      <c r="M761">
        <v>0.23</v>
      </c>
      <c r="N761">
        <v>0.89</v>
      </c>
      <c r="O761">
        <v>20655</v>
      </c>
      <c r="P761">
        <v>0</v>
      </c>
      <c r="Q761">
        <v>52</v>
      </c>
      <c r="R761">
        <v>10922.987999999999</v>
      </c>
      <c r="S761">
        <v>27936.987999999998</v>
      </c>
      <c r="T761">
        <v>3641</v>
      </c>
      <c r="U761">
        <v>0</v>
      </c>
      <c r="V761" s="2" t="s">
        <v>2056</v>
      </c>
      <c r="W761" s="2" t="s">
        <v>2064</v>
      </c>
      <c r="X761">
        <v>30341.633300000001</v>
      </c>
      <c r="Y761">
        <v>0.21400023510050548</v>
      </c>
      <c r="Z761" s="2" t="s">
        <v>2058</v>
      </c>
    </row>
    <row r="762" spans="1:26" x14ac:dyDescent="0.3">
      <c r="A762" s="2" t="s">
        <v>1566</v>
      </c>
      <c r="B762" s="1">
        <v>44432</v>
      </c>
      <c r="C762" s="2" t="s">
        <v>1567</v>
      </c>
      <c r="D762" s="2" t="s">
        <v>46</v>
      </c>
      <c r="E762">
        <v>28042</v>
      </c>
      <c r="F762">
        <v>21.2</v>
      </c>
      <c r="G762">
        <v>60</v>
      </c>
      <c r="H762" s="2" t="s">
        <v>19</v>
      </c>
      <c r="I762" s="2" t="s">
        <v>73</v>
      </c>
      <c r="J762" s="2" t="s">
        <v>21</v>
      </c>
      <c r="K762">
        <v>43682</v>
      </c>
      <c r="L762" s="2" t="s">
        <v>33</v>
      </c>
      <c r="M762">
        <v>0.12</v>
      </c>
      <c r="N762">
        <v>0.71</v>
      </c>
      <c r="O762">
        <v>33986.9</v>
      </c>
      <c r="P762">
        <v>0</v>
      </c>
      <c r="Q762">
        <v>54</v>
      </c>
      <c r="R762">
        <v>29724.520000000004</v>
      </c>
      <c r="S762">
        <v>57766.520000000004</v>
      </c>
      <c r="T762">
        <v>5944.9000000000015</v>
      </c>
      <c r="U762">
        <v>0</v>
      </c>
      <c r="V762" s="2" t="s">
        <v>2056</v>
      </c>
      <c r="W762" s="2" t="s">
        <v>2064</v>
      </c>
      <c r="X762">
        <v>49540.866699999999</v>
      </c>
      <c r="Y762">
        <v>0.21199985735682197</v>
      </c>
      <c r="Z762" s="2" t="s">
        <v>2061</v>
      </c>
    </row>
    <row r="763" spans="1:26" x14ac:dyDescent="0.3">
      <c r="A763" s="2" t="s">
        <v>1568</v>
      </c>
      <c r="B763" s="1">
        <v>44530</v>
      </c>
      <c r="C763" s="2" t="s">
        <v>1569</v>
      </c>
      <c r="D763" s="2" t="s">
        <v>72</v>
      </c>
      <c r="E763">
        <v>34755</v>
      </c>
      <c r="F763">
        <v>22.7</v>
      </c>
      <c r="G763">
        <v>36</v>
      </c>
      <c r="H763" s="2" t="s">
        <v>19</v>
      </c>
      <c r="I763" s="2" t="s">
        <v>57</v>
      </c>
      <c r="J763" s="2" t="s">
        <v>21</v>
      </c>
      <c r="K763">
        <v>122298</v>
      </c>
      <c r="L763" s="2" t="s">
        <v>22</v>
      </c>
      <c r="M763">
        <v>0.17</v>
      </c>
      <c r="N763">
        <v>0.85</v>
      </c>
      <c r="O763">
        <v>42644.38</v>
      </c>
      <c r="P763">
        <v>0</v>
      </c>
      <c r="Q763">
        <v>51</v>
      </c>
      <c r="R763">
        <v>23668.154999999999</v>
      </c>
      <c r="S763">
        <v>58423.154999999999</v>
      </c>
      <c r="T763">
        <v>7889.3799999999974</v>
      </c>
      <c r="U763">
        <v>0</v>
      </c>
      <c r="V763" s="2" t="s">
        <v>2056</v>
      </c>
      <c r="W763" s="2" t="s">
        <v>2057</v>
      </c>
      <c r="X763">
        <v>65744.875</v>
      </c>
      <c r="Y763">
        <v>0.22699985613580773</v>
      </c>
      <c r="Z763" s="2" t="s">
        <v>2058</v>
      </c>
    </row>
    <row r="764" spans="1:26" x14ac:dyDescent="0.3">
      <c r="A764" s="2" t="s">
        <v>1570</v>
      </c>
      <c r="B764" s="1">
        <v>44572</v>
      </c>
      <c r="C764" s="2" t="s">
        <v>1571</v>
      </c>
      <c r="D764" s="2" t="s">
        <v>25</v>
      </c>
      <c r="E764">
        <v>24711</v>
      </c>
      <c r="F764">
        <v>19</v>
      </c>
      <c r="G764">
        <v>36</v>
      </c>
      <c r="H764" s="2" t="s">
        <v>19</v>
      </c>
      <c r="I764" s="2" t="s">
        <v>57</v>
      </c>
      <c r="J764" s="2" t="s">
        <v>32</v>
      </c>
      <c r="K764">
        <v>53383</v>
      </c>
      <c r="L764" s="2" t="s">
        <v>29</v>
      </c>
      <c r="M764">
        <v>0.49</v>
      </c>
      <c r="N764">
        <v>0.93</v>
      </c>
      <c r="O764">
        <v>29406.09</v>
      </c>
      <c r="P764">
        <v>0</v>
      </c>
      <c r="Q764">
        <v>50</v>
      </c>
      <c r="R764">
        <v>14085.269999999999</v>
      </c>
      <c r="S764">
        <v>38796.269999999997</v>
      </c>
      <c r="T764">
        <v>4695.09</v>
      </c>
      <c r="U764">
        <v>0</v>
      </c>
      <c r="V764" s="2" t="s">
        <v>2056</v>
      </c>
      <c r="W764" s="2" t="s">
        <v>2057</v>
      </c>
      <c r="X764">
        <v>39125.75</v>
      </c>
      <c r="Y764">
        <v>0.19</v>
      </c>
      <c r="Z764" s="2" t="s">
        <v>2058</v>
      </c>
    </row>
    <row r="765" spans="1:26" x14ac:dyDescent="0.3">
      <c r="A765" s="2" t="s">
        <v>1572</v>
      </c>
      <c r="B765" s="1">
        <v>44784</v>
      </c>
      <c r="C765" s="2" t="s">
        <v>1573</v>
      </c>
      <c r="D765" s="2" t="s">
        <v>46</v>
      </c>
      <c r="E765">
        <v>27122</v>
      </c>
      <c r="F765">
        <v>7.1</v>
      </c>
      <c r="G765">
        <v>60</v>
      </c>
      <c r="H765" s="2" t="s">
        <v>19</v>
      </c>
      <c r="I765" s="2" t="s">
        <v>73</v>
      </c>
      <c r="J765" s="2" t="s">
        <v>28</v>
      </c>
      <c r="K765">
        <v>88160</v>
      </c>
      <c r="L765" s="2" t="s">
        <v>33</v>
      </c>
      <c r="M765">
        <v>0.27</v>
      </c>
      <c r="N765">
        <v>0.62</v>
      </c>
      <c r="O765">
        <v>29047.66</v>
      </c>
      <c r="P765">
        <v>0</v>
      </c>
      <c r="Q765">
        <v>43</v>
      </c>
      <c r="R765">
        <v>9628.31</v>
      </c>
      <c r="S765">
        <v>36750.31</v>
      </c>
      <c r="T765">
        <v>1925.6599999999999</v>
      </c>
      <c r="U765">
        <v>0</v>
      </c>
      <c r="V765" s="2" t="s">
        <v>2056</v>
      </c>
      <c r="W765" s="2" t="s">
        <v>2064</v>
      </c>
      <c r="X765">
        <v>16047.183300000001</v>
      </c>
      <c r="Y765">
        <v>7.0999926259125434E-2</v>
      </c>
      <c r="Z765" s="2" t="s">
        <v>2061</v>
      </c>
    </row>
    <row r="766" spans="1:26" x14ac:dyDescent="0.3">
      <c r="A766" s="2" t="s">
        <v>1574</v>
      </c>
      <c r="B766" s="1">
        <v>44709</v>
      </c>
      <c r="C766" s="2" t="s">
        <v>1575</v>
      </c>
      <c r="D766" s="2" t="s">
        <v>53</v>
      </c>
      <c r="E766">
        <v>10160</v>
      </c>
      <c r="F766">
        <v>13</v>
      </c>
      <c r="G766">
        <v>60</v>
      </c>
      <c r="H766" s="2" t="s">
        <v>26</v>
      </c>
      <c r="I766" s="2" t="s">
        <v>20</v>
      </c>
      <c r="J766" s="2" t="s">
        <v>32</v>
      </c>
      <c r="K766">
        <v>123332</v>
      </c>
      <c r="L766" s="2" t="s">
        <v>33</v>
      </c>
      <c r="M766">
        <v>0.35</v>
      </c>
      <c r="N766">
        <v>0.68</v>
      </c>
      <c r="O766">
        <v>1593.02</v>
      </c>
      <c r="P766">
        <v>0</v>
      </c>
      <c r="Q766">
        <v>45</v>
      </c>
      <c r="R766">
        <v>6604</v>
      </c>
      <c r="S766">
        <v>16764</v>
      </c>
      <c r="T766">
        <v>-8566.98</v>
      </c>
      <c r="U766">
        <v>0</v>
      </c>
      <c r="V766" s="2" t="s">
        <v>2059</v>
      </c>
      <c r="W766" s="2" t="s">
        <v>2057</v>
      </c>
      <c r="X766">
        <v>11006.6667</v>
      </c>
      <c r="Y766">
        <v>-0.84320669291338579</v>
      </c>
      <c r="Z766" s="2" t="s">
        <v>2061</v>
      </c>
    </row>
    <row r="767" spans="1:26" x14ac:dyDescent="0.3">
      <c r="A767" s="2" t="s">
        <v>1576</v>
      </c>
      <c r="B767" s="1">
        <v>45114</v>
      </c>
      <c r="C767" s="2" t="s">
        <v>1577</v>
      </c>
      <c r="D767" s="2" t="s">
        <v>50</v>
      </c>
      <c r="E767">
        <v>28213</v>
      </c>
      <c r="F767">
        <v>19.5</v>
      </c>
      <c r="G767">
        <v>60</v>
      </c>
      <c r="H767" s="2" t="s">
        <v>26</v>
      </c>
      <c r="I767" s="2" t="s">
        <v>57</v>
      </c>
      <c r="J767" s="2" t="s">
        <v>21</v>
      </c>
      <c r="K767">
        <v>53666</v>
      </c>
      <c r="L767" s="2" t="s">
        <v>29</v>
      </c>
      <c r="M767">
        <v>0.39</v>
      </c>
      <c r="N767">
        <v>0.92</v>
      </c>
      <c r="O767">
        <v>5075.51</v>
      </c>
      <c r="P767">
        <v>0</v>
      </c>
      <c r="Q767">
        <v>32</v>
      </c>
      <c r="R767">
        <v>27507.674999999999</v>
      </c>
      <c r="S767">
        <v>55720.675000000003</v>
      </c>
      <c r="T767">
        <v>-23137.489999999998</v>
      </c>
      <c r="U767">
        <v>0</v>
      </c>
      <c r="V767" s="2" t="s">
        <v>2059</v>
      </c>
      <c r="W767" s="2" t="s">
        <v>2057</v>
      </c>
      <c r="X767">
        <v>45846.125</v>
      </c>
      <c r="Y767">
        <v>-0.82010030836848258</v>
      </c>
      <c r="Z767" s="2" t="s">
        <v>2058</v>
      </c>
    </row>
    <row r="768" spans="1:26" x14ac:dyDescent="0.3">
      <c r="A768" s="2" t="s">
        <v>1578</v>
      </c>
      <c r="B768" s="1">
        <v>45069</v>
      </c>
      <c r="C768" s="2" t="s">
        <v>1579</v>
      </c>
      <c r="D768" s="2" t="s">
        <v>56</v>
      </c>
      <c r="E768">
        <v>8421</v>
      </c>
      <c r="F768">
        <v>10.6</v>
      </c>
      <c r="G768">
        <v>36</v>
      </c>
      <c r="H768" s="2" t="s">
        <v>19</v>
      </c>
      <c r="I768" s="2" t="s">
        <v>57</v>
      </c>
      <c r="J768" s="2" t="s">
        <v>32</v>
      </c>
      <c r="K768">
        <v>88817</v>
      </c>
      <c r="L768" s="2" t="s">
        <v>29</v>
      </c>
      <c r="M768">
        <v>0.25</v>
      </c>
      <c r="N768">
        <v>0.65</v>
      </c>
      <c r="O768">
        <v>9313.6299999999992</v>
      </c>
      <c r="P768">
        <v>0</v>
      </c>
      <c r="Q768">
        <v>33</v>
      </c>
      <c r="R768">
        <v>2677.8779999999997</v>
      </c>
      <c r="S768">
        <v>11098.878000000001</v>
      </c>
      <c r="T768">
        <v>892.6299999999992</v>
      </c>
      <c r="U768">
        <v>0</v>
      </c>
      <c r="V768" s="2" t="s">
        <v>2056</v>
      </c>
      <c r="W768" s="2" t="s">
        <v>2057</v>
      </c>
      <c r="X768">
        <v>7438.55</v>
      </c>
      <c r="Y768">
        <v>0.10600047500296868</v>
      </c>
      <c r="Z768" s="2" t="s">
        <v>2061</v>
      </c>
    </row>
    <row r="769" spans="1:26" x14ac:dyDescent="0.3">
      <c r="A769" s="2" t="s">
        <v>1580</v>
      </c>
      <c r="B769" s="1">
        <v>44466</v>
      </c>
      <c r="C769" s="2" t="s">
        <v>1581</v>
      </c>
      <c r="D769" s="2" t="s">
        <v>25</v>
      </c>
      <c r="E769">
        <v>22400</v>
      </c>
      <c r="F769">
        <v>18.7</v>
      </c>
      <c r="G769">
        <v>36</v>
      </c>
      <c r="H769" s="2" t="s">
        <v>26</v>
      </c>
      <c r="I769" s="2" t="s">
        <v>73</v>
      </c>
      <c r="J769" s="2" t="s">
        <v>21</v>
      </c>
      <c r="K769">
        <v>121198</v>
      </c>
      <c r="L769" s="2" t="s">
        <v>33</v>
      </c>
      <c r="M769">
        <v>0.16</v>
      </c>
      <c r="N769">
        <v>0.91</v>
      </c>
      <c r="O769">
        <v>10574.92</v>
      </c>
      <c r="P769">
        <v>0</v>
      </c>
      <c r="Q769">
        <v>53</v>
      </c>
      <c r="R769">
        <v>12566.400000000001</v>
      </c>
      <c r="S769">
        <v>34966.400000000001</v>
      </c>
      <c r="T769">
        <v>-11825.08</v>
      </c>
      <c r="U769">
        <v>0</v>
      </c>
      <c r="V769" s="2" t="s">
        <v>2059</v>
      </c>
      <c r="W769" s="2" t="s">
        <v>2064</v>
      </c>
      <c r="X769">
        <v>34906.666700000002</v>
      </c>
      <c r="Y769">
        <v>-0.52790535714285713</v>
      </c>
      <c r="Z769" s="2" t="s">
        <v>2058</v>
      </c>
    </row>
    <row r="770" spans="1:26" x14ac:dyDescent="0.3">
      <c r="A770" s="2" t="s">
        <v>1582</v>
      </c>
      <c r="B770" s="1">
        <v>44994</v>
      </c>
      <c r="C770" s="2" t="s">
        <v>1583</v>
      </c>
      <c r="D770" s="2" t="s">
        <v>72</v>
      </c>
      <c r="E770">
        <v>34537</v>
      </c>
      <c r="F770">
        <v>5.5</v>
      </c>
      <c r="G770">
        <v>36</v>
      </c>
      <c r="H770" s="2" t="s">
        <v>26</v>
      </c>
      <c r="I770" s="2" t="s">
        <v>20</v>
      </c>
      <c r="J770" s="2" t="s">
        <v>32</v>
      </c>
      <c r="K770">
        <v>140695</v>
      </c>
      <c r="L770" s="2" t="s">
        <v>33</v>
      </c>
      <c r="M770">
        <v>0.18</v>
      </c>
      <c r="N770">
        <v>0.94</v>
      </c>
      <c r="O770">
        <v>14559.15</v>
      </c>
      <c r="P770">
        <v>0</v>
      </c>
      <c r="Q770">
        <v>36</v>
      </c>
      <c r="R770">
        <v>5698.6050000000005</v>
      </c>
      <c r="S770">
        <v>40235.605000000003</v>
      </c>
      <c r="T770">
        <v>-19977.849999999999</v>
      </c>
      <c r="U770">
        <v>0</v>
      </c>
      <c r="V770" s="2" t="s">
        <v>2059</v>
      </c>
      <c r="W770" s="2" t="s">
        <v>2057</v>
      </c>
      <c r="X770">
        <v>15829.478300000001</v>
      </c>
      <c r="Y770">
        <v>-0.5784477516865969</v>
      </c>
      <c r="Z770" s="2" t="s">
        <v>2058</v>
      </c>
    </row>
    <row r="771" spans="1:26" x14ac:dyDescent="0.3">
      <c r="A771" s="2" t="s">
        <v>1584</v>
      </c>
      <c r="B771" s="1">
        <v>44921</v>
      </c>
      <c r="C771" s="2" t="s">
        <v>1585</v>
      </c>
      <c r="D771" s="2" t="s">
        <v>56</v>
      </c>
      <c r="E771">
        <v>18727</v>
      </c>
      <c r="F771">
        <v>11.1</v>
      </c>
      <c r="G771">
        <v>60</v>
      </c>
      <c r="H771" s="2" t="s">
        <v>26</v>
      </c>
      <c r="I771" s="2" t="s">
        <v>84</v>
      </c>
      <c r="J771" s="2" t="s">
        <v>37</v>
      </c>
      <c r="K771">
        <v>64642</v>
      </c>
      <c r="L771" s="2" t="s">
        <v>29</v>
      </c>
      <c r="M771">
        <v>0.23</v>
      </c>
      <c r="N771">
        <v>0.8</v>
      </c>
      <c r="O771">
        <v>6816.79</v>
      </c>
      <c r="P771">
        <v>0</v>
      </c>
      <c r="Q771">
        <v>38</v>
      </c>
      <c r="R771">
        <v>10393.484999999999</v>
      </c>
      <c r="S771">
        <v>29120.485000000001</v>
      </c>
      <c r="T771">
        <v>-11910.21</v>
      </c>
      <c r="U771">
        <v>0</v>
      </c>
      <c r="V771" s="2" t="s">
        <v>2059</v>
      </c>
      <c r="W771" s="2" t="s">
        <v>2062</v>
      </c>
      <c r="X771">
        <v>17322.474999999999</v>
      </c>
      <c r="Y771">
        <v>-0.63599134938858326</v>
      </c>
      <c r="Z771" s="2" t="s">
        <v>2061</v>
      </c>
    </row>
    <row r="772" spans="1:26" x14ac:dyDescent="0.3">
      <c r="A772" s="2" t="s">
        <v>1586</v>
      </c>
      <c r="B772" s="1">
        <v>44201</v>
      </c>
      <c r="C772" s="2" t="s">
        <v>1587</v>
      </c>
      <c r="D772" s="2" t="s">
        <v>18</v>
      </c>
      <c r="E772">
        <v>5358</v>
      </c>
      <c r="F772">
        <v>16</v>
      </c>
      <c r="G772">
        <v>60</v>
      </c>
      <c r="H772" s="2" t="s">
        <v>26</v>
      </c>
      <c r="I772" s="2" t="s">
        <v>73</v>
      </c>
      <c r="J772" s="2" t="s">
        <v>21</v>
      </c>
      <c r="K772">
        <v>71830</v>
      </c>
      <c r="L772" s="2" t="s">
        <v>33</v>
      </c>
      <c r="M772">
        <v>0.35</v>
      </c>
      <c r="N772">
        <v>0.87</v>
      </c>
      <c r="O772">
        <v>466.17</v>
      </c>
      <c r="P772">
        <v>0</v>
      </c>
      <c r="Q772">
        <v>62</v>
      </c>
      <c r="R772">
        <v>4286.3999999999996</v>
      </c>
      <c r="S772">
        <v>9644.4</v>
      </c>
      <c r="T772">
        <v>-4891.83</v>
      </c>
      <c r="U772">
        <v>0</v>
      </c>
      <c r="V772" s="2" t="s">
        <v>2059</v>
      </c>
      <c r="W772" s="2" t="s">
        <v>2064</v>
      </c>
      <c r="X772">
        <v>7144</v>
      </c>
      <c r="Y772">
        <v>-0.91299552071668533</v>
      </c>
      <c r="Z772" s="2" t="s">
        <v>2058</v>
      </c>
    </row>
    <row r="773" spans="1:26" x14ac:dyDescent="0.3">
      <c r="A773" s="2" t="s">
        <v>1588</v>
      </c>
      <c r="B773" s="1">
        <v>45047</v>
      </c>
      <c r="C773" s="2" t="s">
        <v>1589</v>
      </c>
      <c r="D773" s="2" t="s">
        <v>50</v>
      </c>
      <c r="E773">
        <v>29482</v>
      </c>
      <c r="F773">
        <v>17.600000000000001</v>
      </c>
      <c r="G773">
        <v>60</v>
      </c>
      <c r="H773" s="2" t="s">
        <v>19</v>
      </c>
      <c r="I773" s="2" t="s">
        <v>27</v>
      </c>
      <c r="J773" s="2" t="s">
        <v>28</v>
      </c>
      <c r="K773">
        <v>133067</v>
      </c>
      <c r="L773" s="2" t="s">
        <v>33</v>
      </c>
      <c r="M773">
        <v>0.26</v>
      </c>
      <c r="N773">
        <v>0.84</v>
      </c>
      <c r="O773">
        <v>34670.83</v>
      </c>
      <c r="P773">
        <v>0</v>
      </c>
      <c r="Q773">
        <v>34</v>
      </c>
      <c r="R773">
        <v>25944.160000000003</v>
      </c>
      <c r="S773">
        <v>55426.16</v>
      </c>
      <c r="T773">
        <v>5188.8300000000017</v>
      </c>
      <c r="U773">
        <v>0</v>
      </c>
      <c r="V773" s="2" t="s">
        <v>2056</v>
      </c>
      <c r="W773" s="2" t="s">
        <v>2060</v>
      </c>
      <c r="X773">
        <v>43240.2667</v>
      </c>
      <c r="Y773">
        <v>0.17599993216199722</v>
      </c>
      <c r="Z773" s="2" t="s">
        <v>2058</v>
      </c>
    </row>
    <row r="774" spans="1:26" x14ac:dyDescent="0.3">
      <c r="A774" s="2" t="s">
        <v>1590</v>
      </c>
      <c r="B774" s="1">
        <v>44274</v>
      </c>
      <c r="C774" s="2" t="s">
        <v>1591</v>
      </c>
      <c r="D774" s="2" t="s">
        <v>46</v>
      </c>
      <c r="E774">
        <v>33117</v>
      </c>
      <c r="F774">
        <v>16.5</v>
      </c>
      <c r="G774">
        <v>60</v>
      </c>
      <c r="H774" s="2" t="s">
        <v>81</v>
      </c>
      <c r="I774" s="2" t="s">
        <v>27</v>
      </c>
      <c r="J774" s="2" t="s">
        <v>37</v>
      </c>
      <c r="K774">
        <v>40234</v>
      </c>
      <c r="L774" s="2" t="s">
        <v>22</v>
      </c>
      <c r="M774">
        <v>0.1</v>
      </c>
      <c r="N774">
        <v>0.81</v>
      </c>
      <c r="O774">
        <v>7467.2</v>
      </c>
      <c r="P774">
        <v>5237.4799999999996</v>
      </c>
      <c r="Q774">
        <v>60</v>
      </c>
      <c r="R774">
        <v>27321.525000000005</v>
      </c>
      <c r="S774">
        <v>60438.525000000009</v>
      </c>
      <c r="T774">
        <v>-20412.32</v>
      </c>
      <c r="U774">
        <v>1</v>
      </c>
      <c r="V774" s="2" t="s">
        <v>2063</v>
      </c>
      <c r="W774" s="2" t="s">
        <v>2060</v>
      </c>
      <c r="X774">
        <v>45535.875</v>
      </c>
      <c r="Y774">
        <v>-0.61636984026330888</v>
      </c>
      <c r="Z774" s="2" t="s">
        <v>2058</v>
      </c>
    </row>
    <row r="775" spans="1:26" x14ac:dyDescent="0.3">
      <c r="A775" s="2" t="s">
        <v>1592</v>
      </c>
      <c r="B775" s="1">
        <v>44770</v>
      </c>
      <c r="C775" s="2" t="s">
        <v>1593</v>
      </c>
      <c r="D775" s="2" t="s">
        <v>25</v>
      </c>
      <c r="E775">
        <v>24164</v>
      </c>
      <c r="F775">
        <v>19</v>
      </c>
      <c r="G775">
        <v>36</v>
      </c>
      <c r="H775" s="2" t="s">
        <v>19</v>
      </c>
      <c r="I775" s="2" t="s">
        <v>57</v>
      </c>
      <c r="J775" s="2" t="s">
        <v>32</v>
      </c>
      <c r="K775">
        <v>87616</v>
      </c>
      <c r="L775" s="2" t="s">
        <v>29</v>
      </c>
      <c r="M775">
        <v>0.31</v>
      </c>
      <c r="N775">
        <v>0.64</v>
      </c>
      <c r="O775">
        <v>28755.16</v>
      </c>
      <c r="P775">
        <v>0</v>
      </c>
      <c r="Q775">
        <v>43</v>
      </c>
      <c r="R775">
        <v>13773.480000000001</v>
      </c>
      <c r="S775">
        <v>37937.480000000003</v>
      </c>
      <c r="T775">
        <v>4591.16</v>
      </c>
      <c r="U775">
        <v>0</v>
      </c>
      <c r="V775" s="2" t="s">
        <v>2056</v>
      </c>
      <c r="W775" s="2" t="s">
        <v>2057</v>
      </c>
      <c r="X775">
        <v>38259.666700000002</v>
      </c>
      <c r="Y775">
        <v>0.19</v>
      </c>
      <c r="Z775" s="2" t="s">
        <v>2061</v>
      </c>
    </row>
    <row r="776" spans="1:26" x14ac:dyDescent="0.3">
      <c r="A776" s="2" t="s">
        <v>1594</v>
      </c>
      <c r="B776" s="1">
        <v>44328</v>
      </c>
      <c r="C776" s="2" t="s">
        <v>1595</v>
      </c>
      <c r="D776" s="2" t="s">
        <v>25</v>
      </c>
      <c r="E776">
        <v>32910</v>
      </c>
      <c r="F776">
        <v>5.0999999999999996</v>
      </c>
      <c r="G776">
        <v>36</v>
      </c>
      <c r="H776" s="2" t="s">
        <v>19</v>
      </c>
      <c r="I776" s="2" t="s">
        <v>73</v>
      </c>
      <c r="J776" s="2" t="s">
        <v>21</v>
      </c>
      <c r="K776">
        <v>39221</v>
      </c>
      <c r="L776" s="2" t="s">
        <v>22</v>
      </c>
      <c r="M776">
        <v>0.47</v>
      </c>
      <c r="N776">
        <v>0.53</v>
      </c>
      <c r="O776">
        <v>34588.410000000003</v>
      </c>
      <c r="P776">
        <v>0</v>
      </c>
      <c r="Q776">
        <v>58</v>
      </c>
      <c r="R776">
        <v>5035.2300000000005</v>
      </c>
      <c r="S776">
        <v>37945.230000000003</v>
      </c>
      <c r="T776">
        <v>1678.4100000000035</v>
      </c>
      <c r="U776">
        <v>0</v>
      </c>
      <c r="V776" s="2" t="s">
        <v>2056</v>
      </c>
      <c r="W776" s="2" t="s">
        <v>2064</v>
      </c>
      <c r="X776">
        <v>13986.7906</v>
      </c>
      <c r="Y776">
        <v>5.1000000000000108E-2</v>
      </c>
      <c r="Z776" s="2" t="s">
        <v>2058</v>
      </c>
    </row>
    <row r="777" spans="1:26" x14ac:dyDescent="0.3">
      <c r="A777" s="2" t="s">
        <v>1596</v>
      </c>
      <c r="B777" s="1">
        <v>44797</v>
      </c>
      <c r="C777" s="2" t="s">
        <v>1597</v>
      </c>
      <c r="D777" s="2" t="s">
        <v>53</v>
      </c>
      <c r="E777">
        <v>33496</v>
      </c>
      <c r="F777">
        <v>7</v>
      </c>
      <c r="G777">
        <v>36</v>
      </c>
      <c r="H777" s="2" t="s">
        <v>26</v>
      </c>
      <c r="I777" s="2" t="s">
        <v>36</v>
      </c>
      <c r="J777" s="2" t="s">
        <v>37</v>
      </c>
      <c r="K777">
        <v>41410</v>
      </c>
      <c r="L777" s="2" t="s">
        <v>22</v>
      </c>
      <c r="M777">
        <v>0.42</v>
      </c>
      <c r="N777">
        <v>0.65</v>
      </c>
      <c r="O777">
        <v>10105.27</v>
      </c>
      <c r="P777">
        <v>0</v>
      </c>
      <c r="Q777">
        <v>42</v>
      </c>
      <c r="R777">
        <v>7034.16</v>
      </c>
      <c r="S777">
        <v>40530.160000000003</v>
      </c>
      <c r="T777">
        <v>-23390.73</v>
      </c>
      <c r="U777">
        <v>0</v>
      </c>
      <c r="V777" s="2" t="s">
        <v>2059</v>
      </c>
      <c r="W777" s="2" t="s">
        <v>2062</v>
      </c>
      <c r="X777">
        <v>19539.334599999998</v>
      </c>
      <c r="Y777">
        <v>-0.69831412705994744</v>
      </c>
      <c r="Z777" s="2" t="s">
        <v>2058</v>
      </c>
    </row>
    <row r="778" spans="1:26" x14ac:dyDescent="0.3">
      <c r="A778" s="2" t="s">
        <v>1598</v>
      </c>
      <c r="B778" s="1">
        <v>45262</v>
      </c>
      <c r="C778" s="2" t="s">
        <v>1599</v>
      </c>
      <c r="D778" s="2" t="s">
        <v>72</v>
      </c>
      <c r="E778">
        <v>30371</v>
      </c>
      <c r="F778">
        <v>22.4</v>
      </c>
      <c r="G778">
        <v>36</v>
      </c>
      <c r="H778" s="2" t="s">
        <v>19</v>
      </c>
      <c r="I778" s="2" t="s">
        <v>27</v>
      </c>
      <c r="J778" s="2" t="s">
        <v>28</v>
      </c>
      <c r="K778">
        <v>110055</v>
      </c>
      <c r="L778" s="2" t="s">
        <v>29</v>
      </c>
      <c r="M778">
        <v>0.43</v>
      </c>
      <c r="N778">
        <v>0.8</v>
      </c>
      <c r="O778">
        <v>37174.1</v>
      </c>
      <c r="P778">
        <v>0</v>
      </c>
      <c r="Q778">
        <v>27</v>
      </c>
      <c r="R778">
        <v>20409.311999999998</v>
      </c>
      <c r="S778">
        <v>50780.311999999998</v>
      </c>
      <c r="T778">
        <v>6803.0999999999985</v>
      </c>
      <c r="U778">
        <v>0</v>
      </c>
      <c r="V778" s="2" t="s">
        <v>2056</v>
      </c>
      <c r="W778" s="2" t="s">
        <v>2060</v>
      </c>
      <c r="X778">
        <v>56692.533300000003</v>
      </c>
      <c r="Y778">
        <v>0.22399986829541335</v>
      </c>
      <c r="Z778" s="2" t="s">
        <v>2058</v>
      </c>
    </row>
    <row r="779" spans="1:26" x14ac:dyDescent="0.3">
      <c r="A779" s="2" t="s">
        <v>1600</v>
      </c>
      <c r="B779" s="1">
        <v>44285</v>
      </c>
      <c r="C779" s="2" t="s">
        <v>1601</v>
      </c>
      <c r="D779" s="2" t="s">
        <v>40</v>
      </c>
      <c r="E779">
        <v>39467</v>
      </c>
      <c r="F779">
        <v>18.600000000000001</v>
      </c>
      <c r="G779">
        <v>60</v>
      </c>
      <c r="H779" s="2" t="s">
        <v>19</v>
      </c>
      <c r="I779" s="2" t="s">
        <v>41</v>
      </c>
      <c r="J779" s="2" t="s">
        <v>21</v>
      </c>
      <c r="K779">
        <v>91413</v>
      </c>
      <c r="L779" s="2" t="s">
        <v>22</v>
      </c>
      <c r="M779">
        <v>0.42</v>
      </c>
      <c r="N779">
        <v>0.55000000000000004</v>
      </c>
      <c r="O779">
        <v>46807.86</v>
      </c>
      <c r="P779">
        <v>0</v>
      </c>
      <c r="Q779">
        <v>59</v>
      </c>
      <c r="R779">
        <v>36704.310000000005</v>
      </c>
      <c r="S779">
        <v>76171.31</v>
      </c>
      <c r="T779">
        <v>7340.8600000000006</v>
      </c>
      <c r="U779">
        <v>0</v>
      </c>
      <c r="V779" s="2" t="s">
        <v>2056</v>
      </c>
      <c r="W779" s="2" t="s">
        <v>2062</v>
      </c>
      <c r="X779">
        <v>61173.85</v>
      </c>
      <c r="Y779">
        <v>0.18599994932475233</v>
      </c>
      <c r="Z779" s="2" t="s">
        <v>2058</v>
      </c>
    </row>
    <row r="780" spans="1:26" x14ac:dyDescent="0.3">
      <c r="A780" s="2" t="s">
        <v>1602</v>
      </c>
      <c r="B780" s="1">
        <v>44598</v>
      </c>
      <c r="C780" s="2" t="s">
        <v>1603</v>
      </c>
      <c r="D780" s="2" t="s">
        <v>18</v>
      </c>
      <c r="E780">
        <v>18625</v>
      </c>
      <c r="F780">
        <v>7.3</v>
      </c>
      <c r="G780">
        <v>60</v>
      </c>
      <c r="H780" s="2" t="s">
        <v>26</v>
      </c>
      <c r="I780" s="2" t="s">
        <v>27</v>
      </c>
      <c r="J780" s="2" t="s">
        <v>37</v>
      </c>
      <c r="K780">
        <v>31051</v>
      </c>
      <c r="L780" s="2" t="s">
        <v>33</v>
      </c>
      <c r="M780">
        <v>0.23</v>
      </c>
      <c r="N780">
        <v>0.51</v>
      </c>
      <c r="O780">
        <v>2501.9899999999998</v>
      </c>
      <c r="P780">
        <v>0</v>
      </c>
      <c r="Q780">
        <v>49</v>
      </c>
      <c r="R780">
        <v>6798.125</v>
      </c>
      <c r="S780">
        <v>25423.125</v>
      </c>
      <c r="T780">
        <v>-16123.01</v>
      </c>
      <c r="U780">
        <v>0</v>
      </c>
      <c r="V780" s="2" t="s">
        <v>2059</v>
      </c>
      <c r="W780" s="2" t="s">
        <v>2060</v>
      </c>
      <c r="X780">
        <v>11330.2083</v>
      </c>
      <c r="Y780">
        <v>-0.86566496644295299</v>
      </c>
      <c r="Z780" s="2" t="s">
        <v>2061</v>
      </c>
    </row>
    <row r="781" spans="1:26" x14ac:dyDescent="0.3">
      <c r="A781" s="2" t="s">
        <v>1604</v>
      </c>
      <c r="B781" s="1">
        <v>44492</v>
      </c>
      <c r="C781" s="2" t="s">
        <v>1605</v>
      </c>
      <c r="D781" s="2" t="s">
        <v>56</v>
      </c>
      <c r="E781">
        <v>34893</v>
      </c>
      <c r="F781">
        <v>21.8</v>
      </c>
      <c r="G781">
        <v>60</v>
      </c>
      <c r="H781" s="2" t="s">
        <v>26</v>
      </c>
      <c r="I781" s="2" t="s">
        <v>20</v>
      </c>
      <c r="J781" s="2" t="s">
        <v>37</v>
      </c>
      <c r="K781">
        <v>140529</v>
      </c>
      <c r="L781" s="2" t="s">
        <v>22</v>
      </c>
      <c r="M781">
        <v>0.41</v>
      </c>
      <c r="N781">
        <v>0.56000000000000005</v>
      </c>
      <c r="O781">
        <v>8782.64</v>
      </c>
      <c r="P781">
        <v>0</v>
      </c>
      <c r="Q781">
        <v>52</v>
      </c>
      <c r="R781">
        <v>38033.370000000003</v>
      </c>
      <c r="S781">
        <v>72926.37</v>
      </c>
      <c r="T781">
        <v>-26110.36</v>
      </c>
      <c r="U781">
        <v>0</v>
      </c>
      <c r="V781" s="2" t="s">
        <v>2059</v>
      </c>
      <c r="W781" s="2" t="s">
        <v>2057</v>
      </c>
      <c r="X781">
        <v>63388.95</v>
      </c>
      <c r="Y781">
        <v>-0.7482979394147824</v>
      </c>
      <c r="Z781" s="2" t="s">
        <v>2058</v>
      </c>
    </row>
    <row r="782" spans="1:26" x14ac:dyDescent="0.3">
      <c r="A782" s="2" t="s">
        <v>1606</v>
      </c>
      <c r="B782" s="1">
        <v>44812</v>
      </c>
      <c r="C782" s="2" t="s">
        <v>1607</v>
      </c>
      <c r="D782" s="2" t="s">
        <v>76</v>
      </c>
      <c r="E782">
        <v>11793</v>
      </c>
      <c r="F782">
        <v>9.8000000000000007</v>
      </c>
      <c r="G782">
        <v>36</v>
      </c>
      <c r="H782" s="2" t="s">
        <v>26</v>
      </c>
      <c r="I782" s="2" t="s">
        <v>20</v>
      </c>
      <c r="J782" s="2" t="s">
        <v>37</v>
      </c>
      <c r="K782">
        <v>105301</v>
      </c>
      <c r="L782" s="2" t="s">
        <v>29</v>
      </c>
      <c r="M782">
        <v>0.16</v>
      </c>
      <c r="N782">
        <v>0.82</v>
      </c>
      <c r="O782">
        <v>3779.2</v>
      </c>
      <c r="P782">
        <v>0</v>
      </c>
      <c r="Q782">
        <v>42</v>
      </c>
      <c r="R782">
        <v>3467.1420000000003</v>
      </c>
      <c r="S782">
        <v>15260.142</v>
      </c>
      <c r="T782">
        <v>-8013.8</v>
      </c>
      <c r="U782">
        <v>0</v>
      </c>
      <c r="V782" s="2" t="s">
        <v>2059</v>
      </c>
      <c r="W782" s="2" t="s">
        <v>2057</v>
      </c>
      <c r="X782">
        <v>9630.9500000000007</v>
      </c>
      <c r="Y782">
        <v>-0.67953870940388372</v>
      </c>
      <c r="Z782" s="2" t="s">
        <v>2058</v>
      </c>
    </row>
    <row r="783" spans="1:26" x14ac:dyDescent="0.3">
      <c r="A783" s="2" t="s">
        <v>1608</v>
      </c>
      <c r="B783" s="1">
        <v>44996</v>
      </c>
      <c r="C783" s="2" t="s">
        <v>1609</v>
      </c>
      <c r="D783" s="2" t="s">
        <v>76</v>
      </c>
      <c r="E783">
        <v>32007</v>
      </c>
      <c r="F783">
        <v>14.6</v>
      </c>
      <c r="G783">
        <v>36</v>
      </c>
      <c r="H783" s="2" t="s">
        <v>26</v>
      </c>
      <c r="I783" s="2" t="s">
        <v>73</v>
      </c>
      <c r="J783" s="2" t="s">
        <v>47</v>
      </c>
      <c r="K783">
        <v>106918</v>
      </c>
      <c r="L783" s="2" t="s">
        <v>33</v>
      </c>
      <c r="M783">
        <v>0.36</v>
      </c>
      <c r="N783">
        <v>0.94</v>
      </c>
      <c r="O783">
        <v>6315.61</v>
      </c>
      <c r="P783">
        <v>0</v>
      </c>
      <c r="Q783">
        <v>36</v>
      </c>
      <c r="R783">
        <v>14019.065999999999</v>
      </c>
      <c r="S783">
        <v>46026.065999999999</v>
      </c>
      <c r="T783">
        <v>-25691.39</v>
      </c>
      <c r="U783">
        <v>0</v>
      </c>
      <c r="V783" s="2" t="s">
        <v>2059</v>
      </c>
      <c r="W783" s="2" t="s">
        <v>2064</v>
      </c>
      <c r="X783">
        <v>38941.85</v>
      </c>
      <c r="Y783">
        <v>-0.80268035117318082</v>
      </c>
      <c r="Z783" s="2" t="s">
        <v>2058</v>
      </c>
    </row>
    <row r="784" spans="1:26" x14ac:dyDescent="0.3">
      <c r="A784" s="2" t="s">
        <v>1610</v>
      </c>
      <c r="B784" s="1">
        <v>44618</v>
      </c>
      <c r="C784" s="2" t="s">
        <v>1611</v>
      </c>
      <c r="D784" s="2" t="s">
        <v>25</v>
      </c>
      <c r="E784">
        <v>26766</v>
      </c>
      <c r="F784">
        <v>7.9</v>
      </c>
      <c r="G784">
        <v>60</v>
      </c>
      <c r="H784" s="2" t="s">
        <v>19</v>
      </c>
      <c r="I784" s="2" t="s">
        <v>57</v>
      </c>
      <c r="J784" s="2" t="s">
        <v>32</v>
      </c>
      <c r="K784">
        <v>108116</v>
      </c>
      <c r="L784" s="2" t="s">
        <v>33</v>
      </c>
      <c r="M784">
        <v>0.36</v>
      </c>
      <c r="N784">
        <v>0.94</v>
      </c>
      <c r="O784">
        <v>28880.51</v>
      </c>
      <c r="P784">
        <v>0</v>
      </c>
      <c r="Q784">
        <v>48</v>
      </c>
      <c r="R784">
        <v>10572.570000000002</v>
      </c>
      <c r="S784">
        <v>37338.57</v>
      </c>
      <c r="T784">
        <v>2114.5099999999984</v>
      </c>
      <c r="U784">
        <v>0</v>
      </c>
      <c r="V784" s="2" t="s">
        <v>2056</v>
      </c>
      <c r="W784" s="2" t="s">
        <v>2057</v>
      </c>
      <c r="X784">
        <v>17620.95</v>
      </c>
      <c r="Y784">
        <v>7.8999850556676326E-2</v>
      </c>
      <c r="Z784" s="2" t="s">
        <v>2058</v>
      </c>
    </row>
    <row r="785" spans="1:26" x14ac:dyDescent="0.3">
      <c r="A785" s="2" t="s">
        <v>1612</v>
      </c>
      <c r="B785" s="1">
        <v>45243</v>
      </c>
      <c r="C785" s="2" t="s">
        <v>1613</v>
      </c>
      <c r="D785" s="2" t="s">
        <v>53</v>
      </c>
      <c r="E785">
        <v>13323</v>
      </c>
      <c r="F785">
        <v>19.2</v>
      </c>
      <c r="G785">
        <v>60</v>
      </c>
      <c r="H785" s="2" t="s">
        <v>19</v>
      </c>
      <c r="I785" s="2" t="s">
        <v>57</v>
      </c>
      <c r="J785" s="2" t="s">
        <v>21</v>
      </c>
      <c r="K785">
        <v>86563</v>
      </c>
      <c r="L785" s="2" t="s">
        <v>33</v>
      </c>
      <c r="M785">
        <v>0.11</v>
      </c>
      <c r="N785">
        <v>0.72</v>
      </c>
      <c r="O785">
        <v>15881.02</v>
      </c>
      <c r="P785">
        <v>0</v>
      </c>
      <c r="Q785">
        <v>28</v>
      </c>
      <c r="R785">
        <v>12790.079999999996</v>
      </c>
      <c r="S785">
        <v>26113.079999999994</v>
      </c>
      <c r="T785">
        <v>2558.0200000000004</v>
      </c>
      <c r="U785">
        <v>0</v>
      </c>
      <c r="V785" s="2" t="s">
        <v>2056</v>
      </c>
      <c r="W785" s="2" t="s">
        <v>2057</v>
      </c>
      <c r="X785">
        <v>21316.799999999999</v>
      </c>
      <c r="Y785">
        <v>0.19200030023268036</v>
      </c>
      <c r="Z785" s="2" t="s">
        <v>2061</v>
      </c>
    </row>
    <row r="786" spans="1:26" x14ac:dyDescent="0.3">
      <c r="A786" s="2" t="s">
        <v>1614</v>
      </c>
      <c r="B786" s="1">
        <v>44771</v>
      </c>
      <c r="C786" s="2" t="s">
        <v>1615</v>
      </c>
      <c r="D786" s="2" t="s">
        <v>65</v>
      </c>
      <c r="E786">
        <v>8843</v>
      </c>
      <c r="F786">
        <v>18.3</v>
      </c>
      <c r="G786">
        <v>36</v>
      </c>
      <c r="H786" s="2" t="s">
        <v>26</v>
      </c>
      <c r="I786" s="2" t="s">
        <v>84</v>
      </c>
      <c r="J786" s="2" t="s">
        <v>21</v>
      </c>
      <c r="K786">
        <v>127859</v>
      </c>
      <c r="L786" s="2" t="s">
        <v>33</v>
      </c>
      <c r="M786">
        <v>0.42</v>
      </c>
      <c r="N786">
        <v>0.89</v>
      </c>
      <c r="O786">
        <v>3549.8</v>
      </c>
      <c r="P786">
        <v>0</v>
      </c>
      <c r="Q786">
        <v>43</v>
      </c>
      <c r="R786">
        <v>4854.8069999999998</v>
      </c>
      <c r="S786">
        <v>13697.807000000001</v>
      </c>
      <c r="T786">
        <v>-5293.2</v>
      </c>
      <c r="U786">
        <v>0</v>
      </c>
      <c r="V786" s="2" t="s">
        <v>2059</v>
      </c>
      <c r="W786" s="2" t="s">
        <v>2062</v>
      </c>
      <c r="X786">
        <v>13485.575000000001</v>
      </c>
      <c r="Y786">
        <v>-0.59857514418183877</v>
      </c>
      <c r="Z786" s="2" t="s">
        <v>2058</v>
      </c>
    </row>
    <row r="787" spans="1:26" x14ac:dyDescent="0.3">
      <c r="A787" s="2" t="s">
        <v>1616</v>
      </c>
      <c r="B787" s="1">
        <v>44339</v>
      </c>
      <c r="C787" s="2" t="s">
        <v>1617</v>
      </c>
      <c r="D787" s="2" t="s">
        <v>25</v>
      </c>
      <c r="E787">
        <v>15210</v>
      </c>
      <c r="F787">
        <v>9.1999999999999993</v>
      </c>
      <c r="G787">
        <v>60</v>
      </c>
      <c r="H787" s="2" t="s">
        <v>19</v>
      </c>
      <c r="I787" s="2" t="s">
        <v>57</v>
      </c>
      <c r="J787" s="2" t="s">
        <v>21</v>
      </c>
      <c r="K787">
        <v>74757</v>
      </c>
      <c r="L787" s="2" t="s">
        <v>22</v>
      </c>
      <c r="M787">
        <v>0.46</v>
      </c>
      <c r="N787">
        <v>0.83</v>
      </c>
      <c r="O787">
        <v>16609.32</v>
      </c>
      <c r="P787">
        <v>0</v>
      </c>
      <c r="Q787">
        <v>57</v>
      </c>
      <c r="R787">
        <v>6996.5999999999995</v>
      </c>
      <c r="S787">
        <v>22206.6</v>
      </c>
      <c r="T787">
        <v>1399.3199999999997</v>
      </c>
      <c r="U787">
        <v>0</v>
      </c>
      <c r="V787" s="2" t="s">
        <v>2056</v>
      </c>
      <c r="W787" s="2" t="s">
        <v>2057</v>
      </c>
      <c r="X787">
        <v>11661</v>
      </c>
      <c r="Y787">
        <v>9.1999999999999985E-2</v>
      </c>
      <c r="Z787" s="2" t="s">
        <v>2058</v>
      </c>
    </row>
    <row r="788" spans="1:26" x14ac:dyDescent="0.3">
      <c r="A788" s="2" t="s">
        <v>1618</v>
      </c>
      <c r="B788" s="1">
        <v>45189</v>
      </c>
      <c r="C788" s="2" t="s">
        <v>1619</v>
      </c>
      <c r="D788" s="2" t="s">
        <v>76</v>
      </c>
      <c r="E788">
        <v>17456</v>
      </c>
      <c r="F788">
        <v>22.3</v>
      </c>
      <c r="G788">
        <v>36</v>
      </c>
      <c r="H788" s="2" t="s">
        <v>26</v>
      </c>
      <c r="I788" s="2" t="s">
        <v>57</v>
      </c>
      <c r="J788" s="2" t="s">
        <v>37</v>
      </c>
      <c r="K788">
        <v>107475</v>
      </c>
      <c r="L788" s="2" t="s">
        <v>22</v>
      </c>
      <c r="M788">
        <v>0.21</v>
      </c>
      <c r="N788">
        <v>0.73</v>
      </c>
      <c r="O788">
        <v>7474.7</v>
      </c>
      <c r="P788">
        <v>0</v>
      </c>
      <c r="Q788">
        <v>29</v>
      </c>
      <c r="R788">
        <v>11678.064</v>
      </c>
      <c r="S788">
        <v>29134.063999999998</v>
      </c>
      <c r="T788">
        <v>-9981.2999999999993</v>
      </c>
      <c r="U788">
        <v>0</v>
      </c>
      <c r="V788" s="2" t="s">
        <v>2059</v>
      </c>
      <c r="W788" s="2" t="s">
        <v>2057</v>
      </c>
      <c r="X788">
        <v>32439.066699999999</v>
      </c>
      <c r="Y788">
        <v>-0.57179766269477539</v>
      </c>
      <c r="Z788" s="2" t="s">
        <v>2061</v>
      </c>
    </row>
    <row r="789" spans="1:26" x14ac:dyDescent="0.3">
      <c r="A789" s="2" t="s">
        <v>1620</v>
      </c>
      <c r="B789" s="1">
        <v>44861</v>
      </c>
      <c r="C789" s="2" t="s">
        <v>1621</v>
      </c>
      <c r="D789" s="2" t="s">
        <v>76</v>
      </c>
      <c r="E789">
        <v>32367</v>
      </c>
      <c r="F789">
        <v>13</v>
      </c>
      <c r="G789">
        <v>36</v>
      </c>
      <c r="H789" s="2" t="s">
        <v>19</v>
      </c>
      <c r="I789" s="2" t="s">
        <v>84</v>
      </c>
      <c r="J789" s="2" t="s">
        <v>32</v>
      </c>
      <c r="K789">
        <v>81257</v>
      </c>
      <c r="L789" s="2" t="s">
        <v>33</v>
      </c>
      <c r="M789">
        <v>0.42</v>
      </c>
      <c r="N789">
        <v>0.76</v>
      </c>
      <c r="O789">
        <v>36574.71</v>
      </c>
      <c r="P789">
        <v>0</v>
      </c>
      <c r="Q789">
        <v>40</v>
      </c>
      <c r="R789">
        <v>12623.13</v>
      </c>
      <c r="S789">
        <v>44990.13</v>
      </c>
      <c r="T789">
        <v>4207.7099999999991</v>
      </c>
      <c r="U789">
        <v>0</v>
      </c>
      <c r="V789" s="2" t="s">
        <v>2056</v>
      </c>
      <c r="W789" s="2" t="s">
        <v>2062</v>
      </c>
      <c r="X789">
        <v>35064.25</v>
      </c>
      <c r="Y789">
        <v>0.12999999999999998</v>
      </c>
      <c r="Z789" s="2" t="s">
        <v>2058</v>
      </c>
    </row>
    <row r="790" spans="1:26" x14ac:dyDescent="0.3">
      <c r="A790" s="2" t="s">
        <v>1622</v>
      </c>
      <c r="B790" s="1">
        <v>44341</v>
      </c>
      <c r="C790" s="2" t="s">
        <v>1623</v>
      </c>
      <c r="D790" s="2" t="s">
        <v>18</v>
      </c>
      <c r="E790">
        <v>11106</v>
      </c>
      <c r="F790">
        <v>10.9</v>
      </c>
      <c r="G790">
        <v>36</v>
      </c>
      <c r="H790" s="2" t="s">
        <v>19</v>
      </c>
      <c r="I790" s="2" t="s">
        <v>84</v>
      </c>
      <c r="J790" s="2" t="s">
        <v>28</v>
      </c>
      <c r="K790">
        <v>125500</v>
      </c>
      <c r="L790" s="2" t="s">
        <v>29</v>
      </c>
      <c r="M790">
        <v>0.13</v>
      </c>
      <c r="N790">
        <v>0.56000000000000005</v>
      </c>
      <c r="O790">
        <v>12316.55</v>
      </c>
      <c r="P790">
        <v>0</v>
      </c>
      <c r="Q790">
        <v>57</v>
      </c>
      <c r="R790">
        <v>3631.6620000000003</v>
      </c>
      <c r="S790">
        <v>14737.662</v>
      </c>
      <c r="T790">
        <v>1210.5499999999993</v>
      </c>
      <c r="U790">
        <v>0</v>
      </c>
      <c r="V790" s="2" t="s">
        <v>2056</v>
      </c>
      <c r="W790" s="2" t="s">
        <v>2062</v>
      </c>
      <c r="X790">
        <v>10087.950000000001</v>
      </c>
      <c r="Y790">
        <v>0.10899963983432372</v>
      </c>
      <c r="Z790" s="2" t="s">
        <v>2061</v>
      </c>
    </row>
    <row r="791" spans="1:26" x14ac:dyDescent="0.3">
      <c r="A791" s="2" t="s">
        <v>1624</v>
      </c>
      <c r="B791" s="1">
        <v>45203</v>
      </c>
      <c r="C791" s="2" t="s">
        <v>1625</v>
      </c>
      <c r="D791" s="2" t="s">
        <v>46</v>
      </c>
      <c r="E791">
        <v>38957</v>
      </c>
      <c r="F791">
        <v>8</v>
      </c>
      <c r="G791">
        <v>60</v>
      </c>
      <c r="H791" s="2" t="s">
        <v>19</v>
      </c>
      <c r="I791" s="2" t="s">
        <v>57</v>
      </c>
      <c r="J791" s="2" t="s">
        <v>21</v>
      </c>
      <c r="K791">
        <v>30307</v>
      </c>
      <c r="L791" s="2" t="s">
        <v>33</v>
      </c>
      <c r="M791">
        <v>0.34</v>
      </c>
      <c r="N791">
        <v>0.92</v>
      </c>
      <c r="O791">
        <v>42073.56</v>
      </c>
      <c r="P791">
        <v>0</v>
      </c>
      <c r="Q791">
        <v>29</v>
      </c>
      <c r="R791">
        <v>15582.800000000001</v>
      </c>
      <c r="S791">
        <v>54539.8</v>
      </c>
      <c r="T791">
        <v>3116.5599999999977</v>
      </c>
      <c r="U791">
        <v>0</v>
      </c>
      <c r="V791" s="2" t="s">
        <v>2056</v>
      </c>
      <c r="W791" s="2" t="s">
        <v>2057</v>
      </c>
      <c r="X791">
        <v>25971.333299999998</v>
      </c>
      <c r="Y791">
        <v>7.9999999999999946E-2</v>
      </c>
      <c r="Z791" s="2" t="s">
        <v>2058</v>
      </c>
    </row>
    <row r="792" spans="1:26" x14ac:dyDescent="0.3">
      <c r="A792" s="2" t="s">
        <v>1626</v>
      </c>
      <c r="B792" s="1">
        <v>44699</v>
      </c>
      <c r="C792" s="2" t="s">
        <v>1627</v>
      </c>
      <c r="D792" s="2" t="s">
        <v>65</v>
      </c>
      <c r="E792">
        <v>3472</v>
      </c>
      <c r="F792">
        <v>10.3</v>
      </c>
      <c r="G792">
        <v>60</v>
      </c>
      <c r="H792" s="2" t="s">
        <v>26</v>
      </c>
      <c r="I792" s="2" t="s">
        <v>84</v>
      </c>
      <c r="J792" s="2" t="s">
        <v>32</v>
      </c>
      <c r="K792">
        <v>86889</v>
      </c>
      <c r="L792" s="2" t="s">
        <v>22</v>
      </c>
      <c r="M792">
        <v>0.28999999999999998</v>
      </c>
      <c r="N792">
        <v>0.66</v>
      </c>
      <c r="O792">
        <v>679.21</v>
      </c>
      <c r="P792">
        <v>0</v>
      </c>
      <c r="Q792">
        <v>46</v>
      </c>
      <c r="R792">
        <v>1788.0800000000002</v>
      </c>
      <c r="S792">
        <v>5260.08</v>
      </c>
      <c r="T792">
        <v>-2792.79</v>
      </c>
      <c r="U792">
        <v>0</v>
      </c>
      <c r="V792" s="2" t="s">
        <v>2059</v>
      </c>
      <c r="W792" s="2" t="s">
        <v>2062</v>
      </c>
      <c r="X792">
        <v>2980.1333</v>
      </c>
      <c r="Y792">
        <v>-0.80437499999999995</v>
      </c>
      <c r="Z792" s="2" t="s">
        <v>2061</v>
      </c>
    </row>
    <row r="793" spans="1:26" x14ac:dyDescent="0.3">
      <c r="A793" s="2" t="s">
        <v>1628</v>
      </c>
      <c r="B793" s="1">
        <v>45017</v>
      </c>
      <c r="C793" s="2" t="s">
        <v>1629</v>
      </c>
      <c r="D793" s="2" t="s">
        <v>25</v>
      </c>
      <c r="E793">
        <v>7704</v>
      </c>
      <c r="F793">
        <v>5.4</v>
      </c>
      <c r="G793">
        <v>36</v>
      </c>
      <c r="H793" s="2" t="s">
        <v>19</v>
      </c>
      <c r="I793" s="2" t="s">
        <v>84</v>
      </c>
      <c r="J793" s="2" t="s">
        <v>32</v>
      </c>
      <c r="K793">
        <v>98895</v>
      </c>
      <c r="L793" s="2" t="s">
        <v>33</v>
      </c>
      <c r="M793">
        <v>0.32</v>
      </c>
      <c r="N793">
        <v>0.7</v>
      </c>
      <c r="O793">
        <v>8120.02</v>
      </c>
      <c r="P793">
        <v>0</v>
      </c>
      <c r="Q793">
        <v>35</v>
      </c>
      <c r="R793">
        <v>1248.0480000000002</v>
      </c>
      <c r="S793">
        <v>8952.0480000000007</v>
      </c>
      <c r="T793">
        <v>416.02000000000044</v>
      </c>
      <c r="U793">
        <v>0</v>
      </c>
      <c r="V793" s="2" t="s">
        <v>2056</v>
      </c>
      <c r="W793" s="2" t="s">
        <v>2062</v>
      </c>
      <c r="X793">
        <v>3466.8054000000002</v>
      </c>
      <c r="Y793">
        <v>5.4000519210799638E-2</v>
      </c>
      <c r="Z793" s="2" t="s">
        <v>2061</v>
      </c>
    </row>
    <row r="794" spans="1:26" x14ac:dyDescent="0.3">
      <c r="A794" s="2" t="s">
        <v>1630</v>
      </c>
      <c r="B794" s="1">
        <v>44300</v>
      </c>
      <c r="C794" s="2" t="s">
        <v>1631</v>
      </c>
      <c r="D794" s="2" t="s">
        <v>18</v>
      </c>
      <c r="E794">
        <v>4713</v>
      </c>
      <c r="F794">
        <v>16.7</v>
      </c>
      <c r="G794">
        <v>60</v>
      </c>
      <c r="H794" s="2" t="s">
        <v>19</v>
      </c>
      <c r="I794" s="2" t="s">
        <v>57</v>
      </c>
      <c r="J794" s="2" t="s">
        <v>47</v>
      </c>
      <c r="K794">
        <v>125184</v>
      </c>
      <c r="L794" s="2" t="s">
        <v>22</v>
      </c>
      <c r="M794">
        <v>0.47</v>
      </c>
      <c r="N794">
        <v>0.8</v>
      </c>
      <c r="O794">
        <v>5500.07</v>
      </c>
      <c r="P794">
        <v>0</v>
      </c>
      <c r="Q794">
        <v>59</v>
      </c>
      <c r="R794">
        <v>3935.3549999999996</v>
      </c>
      <c r="S794">
        <v>8648.3549999999996</v>
      </c>
      <c r="T794">
        <v>787.06999999999971</v>
      </c>
      <c r="U794">
        <v>0</v>
      </c>
      <c r="V794" s="2" t="s">
        <v>2056</v>
      </c>
      <c r="W794" s="2" t="s">
        <v>2057</v>
      </c>
      <c r="X794">
        <v>6558.9250000000002</v>
      </c>
      <c r="Y794">
        <v>0.16699978782092079</v>
      </c>
      <c r="Z794" s="2" t="s">
        <v>2058</v>
      </c>
    </row>
    <row r="795" spans="1:26" x14ac:dyDescent="0.3">
      <c r="A795" s="2" t="s">
        <v>1632</v>
      </c>
      <c r="B795" s="1">
        <v>45259</v>
      </c>
      <c r="C795" s="2" t="s">
        <v>1633</v>
      </c>
      <c r="D795" s="2" t="s">
        <v>53</v>
      </c>
      <c r="E795">
        <v>6051</v>
      </c>
      <c r="F795">
        <v>21.8</v>
      </c>
      <c r="G795">
        <v>36</v>
      </c>
      <c r="H795" s="2" t="s">
        <v>19</v>
      </c>
      <c r="I795" s="2" t="s">
        <v>20</v>
      </c>
      <c r="J795" s="2" t="s">
        <v>21</v>
      </c>
      <c r="K795">
        <v>65944</v>
      </c>
      <c r="L795" s="2" t="s">
        <v>33</v>
      </c>
      <c r="M795">
        <v>0.45</v>
      </c>
      <c r="N795">
        <v>0.65</v>
      </c>
      <c r="O795">
        <v>7370.12</v>
      </c>
      <c r="P795">
        <v>0</v>
      </c>
      <c r="Q795">
        <v>27</v>
      </c>
      <c r="R795">
        <v>3957.3540000000007</v>
      </c>
      <c r="S795">
        <v>10008.354000000001</v>
      </c>
      <c r="T795">
        <v>1319.12</v>
      </c>
      <c r="U795">
        <v>0</v>
      </c>
      <c r="V795" s="2" t="s">
        <v>2056</v>
      </c>
      <c r="W795" s="2" t="s">
        <v>2057</v>
      </c>
      <c r="X795">
        <v>10992.65</v>
      </c>
      <c r="Y795">
        <v>0.21800033052388032</v>
      </c>
      <c r="Z795" s="2" t="s">
        <v>2058</v>
      </c>
    </row>
    <row r="796" spans="1:26" x14ac:dyDescent="0.3">
      <c r="A796" s="2" t="s">
        <v>1634</v>
      </c>
      <c r="B796" s="1">
        <v>44394</v>
      </c>
      <c r="C796" s="2" t="s">
        <v>1635</v>
      </c>
      <c r="D796" s="2" t="s">
        <v>18</v>
      </c>
      <c r="E796">
        <v>11756</v>
      </c>
      <c r="F796">
        <v>16</v>
      </c>
      <c r="G796">
        <v>36</v>
      </c>
      <c r="H796" s="2" t="s">
        <v>19</v>
      </c>
      <c r="I796" s="2" t="s">
        <v>20</v>
      </c>
      <c r="J796" s="2" t="s">
        <v>37</v>
      </c>
      <c r="K796">
        <v>129555</v>
      </c>
      <c r="L796" s="2" t="s">
        <v>29</v>
      </c>
      <c r="M796">
        <v>0.41</v>
      </c>
      <c r="N796">
        <v>0.61</v>
      </c>
      <c r="O796">
        <v>13636.96</v>
      </c>
      <c r="P796">
        <v>0</v>
      </c>
      <c r="Q796">
        <v>56</v>
      </c>
      <c r="R796">
        <v>5642.88</v>
      </c>
      <c r="S796">
        <v>17398.88</v>
      </c>
      <c r="T796">
        <v>1880.9599999999991</v>
      </c>
      <c r="U796">
        <v>0</v>
      </c>
      <c r="V796" s="2" t="s">
        <v>2056</v>
      </c>
      <c r="W796" s="2" t="s">
        <v>2057</v>
      </c>
      <c r="X796">
        <v>15674.6667</v>
      </c>
      <c r="Y796">
        <v>0.15999999999999992</v>
      </c>
      <c r="Z796" s="2" t="s">
        <v>2058</v>
      </c>
    </row>
    <row r="797" spans="1:26" x14ac:dyDescent="0.3">
      <c r="A797" s="2" t="s">
        <v>1636</v>
      </c>
      <c r="B797" s="1">
        <v>44775</v>
      </c>
      <c r="C797" s="2" t="s">
        <v>1637</v>
      </c>
      <c r="D797" s="2" t="s">
        <v>25</v>
      </c>
      <c r="E797">
        <v>3475</v>
      </c>
      <c r="F797">
        <v>9.4</v>
      </c>
      <c r="G797">
        <v>36</v>
      </c>
      <c r="H797" s="2" t="s">
        <v>19</v>
      </c>
      <c r="I797" s="2" t="s">
        <v>73</v>
      </c>
      <c r="J797" s="2" t="s">
        <v>32</v>
      </c>
      <c r="K797">
        <v>68134</v>
      </c>
      <c r="L797" s="2" t="s">
        <v>33</v>
      </c>
      <c r="M797">
        <v>0.21</v>
      </c>
      <c r="N797">
        <v>0.78</v>
      </c>
      <c r="O797">
        <v>3801.65</v>
      </c>
      <c r="P797">
        <v>0</v>
      </c>
      <c r="Q797">
        <v>43</v>
      </c>
      <c r="R797">
        <v>979.94999999999993</v>
      </c>
      <c r="S797">
        <v>4454.95</v>
      </c>
      <c r="T797">
        <v>326.65000000000009</v>
      </c>
      <c r="U797">
        <v>0</v>
      </c>
      <c r="V797" s="2" t="s">
        <v>2056</v>
      </c>
      <c r="W797" s="2" t="s">
        <v>2064</v>
      </c>
      <c r="X797">
        <v>2722.0832999999998</v>
      </c>
      <c r="Y797">
        <v>9.4000000000000028E-2</v>
      </c>
      <c r="Z797" s="2" t="s">
        <v>2061</v>
      </c>
    </row>
    <row r="798" spans="1:26" x14ac:dyDescent="0.3">
      <c r="A798" s="2" t="s">
        <v>1638</v>
      </c>
      <c r="B798" s="1">
        <v>44587</v>
      </c>
      <c r="C798" s="2" t="s">
        <v>1639</v>
      </c>
      <c r="D798" s="2" t="s">
        <v>50</v>
      </c>
      <c r="E798">
        <v>37378</v>
      </c>
      <c r="F798">
        <v>5.7</v>
      </c>
      <c r="G798">
        <v>36</v>
      </c>
      <c r="H798" s="2" t="s">
        <v>19</v>
      </c>
      <c r="I798" s="2" t="s">
        <v>57</v>
      </c>
      <c r="J798" s="2" t="s">
        <v>32</v>
      </c>
      <c r="K798">
        <v>57323</v>
      </c>
      <c r="L798" s="2" t="s">
        <v>29</v>
      </c>
      <c r="M798">
        <v>0.46</v>
      </c>
      <c r="N798">
        <v>0.51</v>
      </c>
      <c r="O798">
        <v>39508.550000000003</v>
      </c>
      <c r="P798">
        <v>0</v>
      </c>
      <c r="Q798">
        <v>49</v>
      </c>
      <c r="R798">
        <v>6391.6380000000017</v>
      </c>
      <c r="S798">
        <v>43769.637999999999</v>
      </c>
      <c r="T798">
        <v>2130.5500000000029</v>
      </c>
      <c r="U798">
        <v>0</v>
      </c>
      <c r="V798" s="2" t="s">
        <v>2056</v>
      </c>
      <c r="W798" s="2" t="s">
        <v>2057</v>
      </c>
      <c r="X798">
        <v>17754.564900000001</v>
      </c>
      <c r="Y798">
        <v>5.7000107014821631E-2</v>
      </c>
      <c r="Z798" s="2" t="s">
        <v>2058</v>
      </c>
    </row>
    <row r="799" spans="1:26" x14ac:dyDescent="0.3">
      <c r="A799" s="2" t="s">
        <v>1640</v>
      </c>
      <c r="B799" s="1">
        <v>44750</v>
      </c>
      <c r="C799" s="2" t="s">
        <v>1641</v>
      </c>
      <c r="D799" s="2" t="s">
        <v>40</v>
      </c>
      <c r="E799">
        <v>5255</v>
      </c>
      <c r="F799">
        <v>9.3000000000000007</v>
      </c>
      <c r="G799">
        <v>60</v>
      </c>
      <c r="H799" s="2" t="s">
        <v>19</v>
      </c>
      <c r="I799" s="2" t="s">
        <v>41</v>
      </c>
      <c r="J799" s="2" t="s">
        <v>28</v>
      </c>
      <c r="K799">
        <v>146205</v>
      </c>
      <c r="L799" s="2" t="s">
        <v>29</v>
      </c>
      <c r="M799">
        <v>0.14000000000000001</v>
      </c>
      <c r="N799">
        <v>0.82</v>
      </c>
      <c r="O799">
        <v>5743.72</v>
      </c>
      <c r="P799">
        <v>0</v>
      </c>
      <c r="Q799">
        <v>44</v>
      </c>
      <c r="R799">
        <v>2443.5750000000003</v>
      </c>
      <c r="S799">
        <v>7698.5750000000007</v>
      </c>
      <c r="T799">
        <v>488.72000000000025</v>
      </c>
      <c r="U799">
        <v>0</v>
      </c>
      <c r="V799" s="2" t="s">
        <v>2056</v>
      </c>
      <c r="W799" s="2" t="s">
        <v>2062</v>
      </c>
      <c r="X799">
        <v>4072.625</v>
      </c>
      <c r="Y799">
        <v>9.3000951474785973E-2</v>
      </c>
      <c r="Z799" s="2" t="s">
        <v>2058</v>
      </c>
    </row>
    <row r="800" spans="1:26" x14ac:dyDescent="0.3">
      <c r="A800" s="2" t="s">
        <v>1642</v>
      </c>
      <c r="B800" s="1">
        <v>45235</v>
      </c>
      <c r="C800" s="2" t="s">
        <v>1643</v>
      </c>
      <c r="D800" s="2" t="s">
        <v>25</v>
      </c>
      <c r="E800">
        <v>15484</v>
      </c>
      <c r="F800">
        <v>13.3</v>
      </c>
      <c r="G800">
        <v>36</v>
      </c>
      <c r="H800" s="2" t="s">
        <v>19</v>
      </c>
      <c r="I800" s="2" t="s">
        <v>27</v>
      </c>
      <c r="J800" s="2" t="s">
        <v>47</v>
      </c>
      <c r="K800">
        <v>101762</v>
      </c>
      <c r="L800" s="2" t="s">
        <v>33</v>
      </c>
      <c r="M800">
        <v>0.44</v>
      </c>
      <c r="N800">
        <v>0.73</v>
      </c>
      <c r="O800">
        <v>17543.37</v>
      </c>
      <c r="P800">
        <v>0</v>
      </c>
      <c r="Q800">
        <v>28</v>
      </c>
      <c r="R800">
        <v>6178.1160000000009</v>
      </c>
      <c r="S800">
        <v>21662.116000000002</v>
      </c>
      <c r="T800">
        <v>2059.369999999999</v>
      </c>
      <c r="U800">
        <v>0</v>
      </c>
      <c r="V800" s="2" t="s">
        <v>2056</v>
      </c>
      <c r="W800" s="2" t="s">
        <v>2060</v>
      </c>
      <c r="X800">
        <v>17161.433300000001</v>
      </c>
      <c r="Y800">
        <v>0.13299987083440964</v>
      </c>
      <c r="Z800" s="2" t="s">
        <v>2058</v>
      </c>
    </row>
    <row r="801" spans="1:26" x14ac:dyDescent="0.3">
      <c r="A801" s="2" t="s">
        <v>1644</v>
      </c>
      <c r="B801" s="1">
        <v>44674</v>
      </c>
      <c r="C801" s="2" t="s">
        <v>1645</v>
      </c>
      <c r="D801" s="2" t="s">
        <v>72</v>
      </c>
      <c r="E801">
        <v>35503</v>
      </c>
      <c r="F801">
        <v>20.2</v>
      </c>
      <c r="G801">
        <v>36</v>
      </c>
      <c r="H801" s="2" t="s">
        <v>19</v>
      </c>
      <c r="I801" s="2" t="s">
        <v>27</v>
      </c>
      <c r="J801" s="2" t="s">
        <v>32</v>
      </c>
      <c r="K801">
        <v>117225</v>
      </c>
      <c r="L801" s="2" t="s">
        <v>29</v>
      </c>
      <c r="M801">
        <v>0.23</v>
      </c>
      <c r="N801">
        <v>0.77</v>
      </c>
      <c r="O801">
        <v>42674.61</v>
      </c>
      <c r="P801">
        <v>0</v>
      </c>
      <c r="Q801">
        <v>46</v>
      </c>
      <c r="R801">
        <v>21514.817999999999</v>
      </c>
      <c r="S801">
        <v>57017.817999999999</v>
      </c>
      <c r="T801">
        <v>7171.6100000000006</v>
      </c>
      <c r="U801">
        <v>0</v>
      </c>
      <c r="V801" s="2" t="s">
        <v>2056</v>
      </c>
      <c r="W801" s="2" t="s">
        <v>2060</v>
      </c>
      <c r="X801">
        <v>59763.383300000001</v>
      </c>
      <c r="Y801">
        <v>0.20200011266653523</v>
      </c>
      <c r="Z801" s="2" t="s">
        <v>2061</v>
      </c>
    </row>
    <row r="802" spans="1:26" x14ac:dyDescent="0.3">
      <c r="A802" s="2" t="s">
        <v>1646</v>
      </c>
      <c r="B802" s="1">
        <v>45119</v>
      </c>
      <c r="C802" s="2" t="s">
        <v>1647</v>
      </c>
      <c r="D802" s="2" t="s">
        <v>76</v>
      </c>
      <c r="E802">
        <v>9258</v>
      </c>
      <c r="F802">
        <v>8.8000000000000007</v>
      </c>
      <c r="G802">
        <v>60</v>
      </c>
      <c r="H802" s="2" t="s">
        <v>26</v>
      </c>
      <c r="I802" s="2" t="s">
        <v>36</v>
      </c>
      <c r="J802" s="2" t="s">
        <v>32</v>
      </c>
      <c r="K802">
        <v>126507</v>
      </c>
      <c r="L802" s="2" t="s">
        <v>29</v>
      </c>
      <c r="M802">
        <v>0.12</v>
      </c>
      <c r="N802">
        <v>0.78</v>
      </c>
      <c r="O802">
        <v>3956.83</v>
      </c>
      <c r="P802">
        <v>0</v>
      </c>
      <c r="Q802">
        <v>32</v>
      </c>
      <c r="R802">
        <v>4073.5200000000004</v>
      </c>
      <c r="S802">
        <v>13331.52</v>
      </c>
      <c r="T802">
        <v>-5301.17</v>
      </c>
      <c r="U802">
        <v>0</v>
      </c>
      <c r="V802" s="2" t="s">
        <v>2059</v>
      </c>
      <c r="W802" s="2" t="s">
        <v>2062</v>
      </c>
      <c r="X802">
        <v>6789.2</v>
      </c>
      <c r="Y802">
        <v>-0.57260423417584794</v>
      </c>
      <c r="Z802" s="2" t="s">
        <v>2061</v>
      </c>
    </row>
    <row r="803" spans="1:26" x14ac:dyDescent="0.3">
      <c r="A803" s="2" t="s">
        <v>1648</v>
      </c>
      <c r="B803" s="1">
        <v>44616</v>
      </c>
      <c r="C803" s="2" t="s">
        <v>1649</v>
      </c>
      <c r="D803" s="2" t="s">
        <v>65</v>
      </c>
      <c r="E803">
        <v>36196</v>
      </c>
      <c r="F803">
        <v>19.399999999999999</v>
      </c>
      <c r="G803">
        <v>36</v>
      </c>
      <c r="H803" s="2" t="s">
        <v>81</v>
      </c>
      <c r="I803" s="2" t="s">
        <v>36</v>
      </c>
      <c r="J803" s="2" t="s">
        <v>37</v>
      </c>
      <c r="K803">
        <v>55954</v>
      </c>
      <c r="L803" s="2" t="s">
        <v>22</v>
      </c>
      <c r="M803">
        <v>0.37</v>
      </c>
      <c r="N803">
        <v>0.74</v>
      </c>
      <c r="O803">
        <v>4744.32</v>
      </c>
      <c r="P803">
        <v>13544.73</v>
      </c>
      <c r="Q803">
        <v>48</v>
      </c>
      <c r="R803">
        <v>21066.071999999996</v>
      </c>
      <c r="S803">
        <v>57262.072</v>
      </c>
      <c r="T803">
        <v>-17906.95</v>
      </c>
      <c r="U803">
        <v>1</v>
      </c>
      <c r="V803" s="2" t="s">
        <v>2063</v>
      </c>
      <c r="W803" s="2" t="s">
        <v>2062</v>
      </c>
      <c r="X803">
        <v>58516.866699999999</v>
      </c>
      <c r="Y803">
        <v>-0.49472179246325565</v>
      </c>
      <c r="Z803" s="2" t="s">
        <v>2061</v>
      </c>
    </row>
    <row r="804" spans="1:26" x14ac:dyDescent="0.3">
      <c r="A804" s="2" t="s">
        <v>1650</v>
      </c>
      <c r="B804" s="1">
        <v>44353</v>
      </c>
      <c r="C804" s="2" t="s">
        <v>1651</v>
      </c>
      <c r="D804" s="2" t="s">
        <v>65</v>
      </c>
      <c r="E804">
        <v>9533</v>
      </c>
      <c r="F804">
        <v>22.3</v>
      </c>
      <c r="G804">
        <v>36</v>
      </c>
      <c r="H804" s="2" t="s">
        <v>19</v>
      </c>
      <c r="I804" s="2" t="s">
        <v>57</v>
      </c>
      <c r="J804" s="2" t="s">
        <v>37</v>
      </c>
      <c r="K804">
        <v>85021</v>
      </c>
      <c r="L804" s="2" t="s">
        <v>22</v>
      </c>
      <c r="M804">
        <v>0.19</v>
      </c>
      <c r="N804">
        <v>0.76</v>
      </c>
      <c r="O804">
        <v>11658.86</v>
      </c>
      <c r="P804">
        <v>0</v>
      </c>
      <c r="Q804">
        <v>57</v>
      </c>
      <c r="R804">
        <v>6377.5770000000002</v>
      </c>
      <c r="S804">
        <v>15910.577000000001</v>
      </c>
      <c r="T804">
        <v>2125.8600000000006</v>
      </c>
      <c r="U804">
        <v>0</v>
      </c>
      <c r="V804" s="2" t="s">
        <v>2056</v>
      </c>
      <c r="W804" s="2" t="s">
        <v>2057</v>
      </c>
      <c r="X804">
        <v>17715.491699999999</v>
      </c>
      <c r="Y804">
        <v>0.22300010489877276</v>
      </c>
      <c r="Z804" s="2" t="s">
        <v>2061</v>
      </c>
    </row>
    <row r="805" spans="1:26" x14ac:dyDescent="0.3">
      <c r="A805" s="2" t="s">
        <v>1652</v>
      </c>
      <c r="B805" s="1">
        <v>44746</v>
      </c>
      <c r="C805" s="2" t="s">
        <v>1653</v>
      </c>
      <c r="D805" s="2" t="s">
        <v>46</v>
      </c>
      <c r="E805">
        <v>33581</v>
      </c>
      <c r="F805">
        <v>14.1</v>
      </c>
      <c r="G805">
        <v>60</v>
      </c>
      <c r="H805" s="2" t="s">
        <v>19</v>
      </c>
      <c r="I805" s="2" t="s">
        <v>20</v>
      </c>
      <c r="J805" s="2" t="s">
        <v>28</v>
      </c>
      <c r="K805">
        <v>119959</v>
      </c>
      <c r="L805" s="2" t="s">
        <v>29</v>
      </c>
      <c r="M805">
        <v>0.2</v>
      </c>
      <c r="N805">
        <v>0.81</v>
      </c>
      <c r="O805">
        <v>38315.919999999998</v>
      </c>
      <c r="P805">
        <v>0</v>
      </c>
      <c r="Q805">
        <v>44</v>
      </c>
      <c r="R805">
        <v>23674.604999999996</v>
      </c>
      <c r="S805">
        <v>57255.604999999996</v>
      </c>
      <c r="T805">
        <v>4734.9199999999983</v>
      </c>
      <c r="U805">
        <v>0</v>
      </c>
      <c r="V805" s="2" t="s">
        <v>2056</v>
      </c>
      <c r="W805" s="2" t="s">
        <v>2057</v>
      </c>
      <c r="X805">
        <v>39457.675000000003</v>
      </c>
      <c r="Y805">
        <v>0.14099997022125602</v>
      </c>
      <c r="Z805" s="2" t="s">
        <v>2058</v>
      </c>
    </row>
    <row r="806" spans="1:26" x14ac:dyDescent="0.3">
      <c r="A806" s="2" t="s">
        <v>1654</v>
      </c>
      <c r="B806" s="1">
        <v>45217</v>
      </c>
      <c r="C806" s="2" t="s">
        <v>1655</v>
      </c>
      <c r="D806" s="2" t="s">
        <v>40</v>
      </c>
      <c r="E806">
        <v>6249</v>
      </c>
      <c r="F806">
        <v>21.4</v>
      </c>
      <c r="G806">
        <v>60</v>
      </c>
      <c r="H806" s="2" t="s">
        <v>19</v>
      </c>
      <c r="I806" s="2" t="s">
        <v>27</v>
      </c>
      <c r="J806" s="2" t="s">
        <v>28</v>
      </c>
      <c r="K806">
        <v>125927</v>
      </c>
      <c r="L806" s="2" t="s">
        <v>33</v>
      </c>
      <c r="M806">
        <v>0.22</v>
      </c>
      <c r="N806">
        <v>0.84</v>
      </c>
      <c r="O806">
        <v>7586.29</v>
      </c>
      <c r="P806">
        <v>0</v>
      </c>
      <c r="Q806">
        <v>29</v>
      </c>
      <c r="R806">
        <v>6686.4299999999994</v>
      </c>
      <c r="S806">
        <v>12935.43</v>
      </c>
      <c r="T806">
        <v>1337.29</v>
      </c>
      <c r="U806">
        <v>0</v>
      </c>
      <c r="V806" s="2" t="s">
        <v>2056</v>
      </c>
      <c r="W806" s="2" t="s">
        <v>2060</v>
      </c>
      <c r="X806">
        <v>11144.05</v>
      </c>
      <c r="Y806">
        <v>0.21400064010241637</v>
      </c>
      <c r="Z806" s="2" t="s">
        <v>2058</v>
      </c>
    </row>
    <row r="807" spans="1:26" x14ac:dyDescent="0.3">
      <c r="A807" s="2" t="s">
        <v>1656</v>
      </c>
      <c r="B807" s="1">
        <v>45193</v>
      </c>
      <c r="C807" s="2" t="s">
        <v>1657</v>
      </c>
      <c r="D807" s="2" t="s">
        <v>72</v>
      </c>
      <c r="E807">
        <v>20201</v>
      </c>
      <c r="F807">
        <v>16.100000000000001</v>
      </c>
      <c r="G807">
        <v>60</v>
      </c>
      <c r="H807" s="2" t="s">
        <v>26</v>
      </c>
      <c r="I807" s="2" t="s">
        <v>57</v>
      </c>
      <c r="J807" s="2" t="s">
        <v>28</v>
      </c>
      <c r="K807">
        <v>109866</v>
      </c>
      <c r="L807" s="2" t="s">
        <v>29</v>
      </c>
      <c r="M807">
        <v>0.13</v>
      </c>
      <c r="N807">
        <v>0.83</v>
      </c>
      <c r="O807">
        <v>8625.3799999999992</v>
      </c>
      <c r="P807">
        <v>0</v>
      </c>
      <c r="Q807">
        <v>29</v>
      </c>
      <c r="R807">
        <v>16261.805000000002</v>
      </c>
      <c r="S807">
        <v>36462.805</v>
      </c>
      <c r="T807">
        <v>-11575.62</v>
      </c>
      <c r="U807">
        <v>0</v>
      </c>
      <c r="V807" s="2" t="s">
        <v>2059</v>
      </c>
      <c r="W807" s="2" t="s">
        <v>2057</v>
      </c>
      <c r="X807">
        <v>27103.008300000001</v>
      </c>
      <c r="Y807">
        <v>-0.57302212761744475</v>
      </c>
      <c r="Z807" s="2" t="s">
        <v>2058</v>
      </c>
    </row>
    <row r="808" spans="1:26" x14ac:dyDescent="0.3">
      <c r="A808" s="2" t="s">
        <v>1658</v>
      </c>
      <c r="B808" s="1">
        <v>45147</v>
      </c>
      <c r="C808" s="2" t="s">
        <v>1659</v>
      </c>
      <c r="D808" s="2" t="s">
        <v>76</v>
      </c>
      <c r="E808">
        <v>10686</v>
      </c>
      <c r="F808">
        <v>17.7</v>
      </c>
      <c r="G808">
        <v>36</v>
      </c>
      <c r="H808" s="2" t="s">
        <v>19</v>
      </c>
      <c r="I808" s="2" t="s">
        <v>73</v>
      </c>
      <c r="J808" s="2" t="s">
        <v>37</v>
      </c>
      <c r="K808">
        <v>100427</v>
      </c>
      <c r="L808" s="2" t="s">
        <v>33</v>
      </c>
      <c r="M808">
        <v>0.17</v>
      </c>
      <c r="N808">
        <v>0.89</v>
      </c>
      <c r="O808">
        <v>12577.42</v>
      </c>
      <c r="P808">
        <v>0</v>
      </c>
      <c r="Q808">
        <v>31</v>
      </c>
      <c r="R808">
        <v>5674.2659999999996</v>
      </c>
      <c r="S808">
        <v>16360.266</v>
      </c>
      <c r="T808">
        <v>1891.42</v>
      </c>
      <c r="U808">
        <v>0</v>
      </c>
      <c r="V808" s="2" t="s">
        <v>2056</v>
      </c>
      <c r="W808" s="2" t="s">
        <v>2064</v>
      </c>
      <c r="X808">
        <v>15761.85</v>
      </c>
      <c r="Y808">
        <v>0.17699981283922891</v>
      </c>
      <c r="Z808" s="2" t="s">
        <v>2058</v>
      </c>
    </row>
    <row r="809" spans="1:26" x14ac:dyDescent="0.3">
      <c r="A809" s="2" t="s">
        <v>1660</v>
      </c>
      <c r="B809" s="1">
        <v>44485</v>
      </c>
      <c r="C809" s="2" t="s">
        <v>1661</v>
      </c>
      <c r="D809" s="2" t="s">
        <v>65</v>
      </c>
      <c r="E809">
        <v>33007</v>
      </c>
      <c r="F809">
        <v>15.5</v>
      </c>
      <c r="G809">
        <v>60</v>
      </c>
      <c r="H809" s="2" t="s">
        <v>19</v>
      </c>
      <c r="I809" s="2" t="s">
        <v>27</v>
      </c>
      <c r="J809" s="2" t="s">
        <v>37</v>
      </c>
      <c r="K809">
        <v>34992</v>
      </c>
      <c r="L809" s="2" t="s">
        <v>22</v>
      </c>
      <c r="M809">
        <v>0.1</v>
      </c>
      <c r="N809">
        <v>0.59</v>
      </c>
      <c r="O809">
        <v>38123.08</v>
      </c>
      <c r="P809">
        <v>0</v>
      </c>
      <c r="Q809">
        <v>53</v>
      </c>
      <c r="R809">
        <v>25580.424999999999</v>
      </c>
      <c r="S809">
        <v>58587.425000000003</v>
      </c>
      <c r="T809">
        <v>5116.0800000000017</v>
      </c>
      <c r="U809">
        <v>0</v>
      </c>
      <c r="V809" s="2" t="s">
        <v>2056</v>
      </c>
      <c r="W809" s="2" t="s">
        <v>2060</v>
      </c>
      <c r="X809">
        <v>42634.041700000002</v>
      </c>
      <c r="Y809">
        <v>0.15499984851698129</v>
      </c>
      <c r="Z809" s="2" t="s">
        <v>2061</v>
      </c>
    </row>
    <row r="810" spans="1:26" x14ac:dyDescent="0.3">
      <c r="A810" s="2" t="s">
        <v>1662</v>
      </c>
      <c r="B810" s="1">
        <v>44392</v>
      </c>
      <c r="C810" s="2" t="s">
        <v>1663</v>
      </c>
      <c r="D810" s="2" t="s">
        <v>72</v>
      </c>
      <c r="E810">
        <v>1661</v>
      </c>
      <c r="F810">
        <v>14.3</v>
      </c>
      <c r="G810">
        <v>60</v>
      </c>
      <c r="H810" s="2" t="s">
        <v>26</v>
      </c>
      <c r="I810" s="2" t="s">
        <v>36</v>
      </c>
      <c r="J810" s="2" t="s">
        <v>47</v>
      </c>
      <c r="K810">
        <v>31961</v>
      </c>
      <c r="L810" s="2" t="s">
        <v>33</v>
      </c>
      <c r="M810">
        <v>0.28000000000000003</v>
      </c>
      <c r="N810">
        <v>0.68</v>
      </c>
      <c r="O810">
        <v>197.22</v>
      </c>
      <c r="P810">
        <v>0</v>
      </c>
      <c r="Q810">
        <v>56</v>
      </c>
      <c r="R810">
        <v>1187.615</v>
      </c>
      <c r="S810">
        <v>2848.6149999999998</v>
      </c>
      <c r="T810">
        <v>-1463.78</v>
      </c>
      <c r="U810">
        <v>0</v>
      </c>
      <c r="V810" s="2" t="s">
        <v>2059</v>
      </c>
      <c r="W810" s="2" t="s">
        <v>2062</v>
      </c>
      <c r="X810">
        <v>1979.3583000000001</v>
      </c>
      <c r="Y810">
        <v>-0.88126429861529199</v>
      </c>
      <c r="Z810" s="2" t="s">
        <v>2061</v>
      </c>
    </row>
    <row r="811" spans="1:26" x14ac:dyDescent="0.3">
      <c r="A811" s="2" t="s">
        <v>1664</v>
      </c>
      <c r="B811" s="1">
        <v>44794</v>
      </c>
      <c r="C811" s="2" t="s">
        <v>1665</v>
      </c>
      <c r="D811" s="2" t="s">
        <v>18</v>
      </c>
      <c r="E811">
        <v>31137</v>
      </c>
      <c r="F811">
        <v>9.6999999999999993</v>
      </c>
      <c r="G811">
        <v>36</v>
      </c>
      <c r="H811" s="2" t="s">
        <v>19</v>
      </c>
      <c r="I811" s="2" t="s">
        <v>57</v>
      </c>
      <c r="J811" s="2" t="s">
        <v>21</v>
      </c>
      <c r="K811">
        <v>42497</v>
      </c>
      <c r="L811" s="2" t="s">
        <v>29</v>
      </c>
      <c r="M811">
        <v>0.13</v>
      </c>
      <c r="N811">
        <v>0.93</v>
      </c>
      <c r="O811">
        <v>34157.29</v>
      </c>
      <c r="P811">
        <v>0</v>
      </c>
      <c r="Q811">
        <v>42</v>
      </c>
      <c r="R811">
        <v>9060.8670000000002</v>
      </c>
      <c r="S811">
        <v>40197.866999999998</v>
      </c>
      <c r="T811">
        <v>3020.2900000000009</v>
      </c>
      <c r="U811">
        <v>0</v>
      </c>
      <c r="V811" s="2" t="s">
        <v>2056</v>
      </c>
      <c r="W811" s="2" t="s">
        <v>2057</v>
      </c>
      <c r="X811">
        <v>25169.075000000001</v>
      </c>
      <c r="Y811">
        <v>9.7000032116131965E-2</v>
      </c>
      <c r="Z811" s="2" t="s">
        <v>2058</v>
      </c>
    </row>
    <row r="812" spans="1:26" x14ac:dyDescent="0.3">
      <c r="A812" s="2" t="s">
        <v>1666</v>
      </c>
      <c r="B812" s="1">
        <v>44713</v>
      </c>
      <c r="C812" s="2" t="s">
        <v>1667</v>
      </c>
      <c r="D812" s="2" t="s">
        <v>46</v>
      </c>
      <c r="E812">
        <v>11526</v>
      </c>
      <c r="F812">
        <v>11.1</v>
      </c>
      <c r="G812">
        <v>36</v>
      </c>
      <c r="H812" s="2" t="s">
        <v>26</v>
      </c>
      <c r="I812" s="2" t="s">
        <v>84</v>
      </c>
      <c r="J812" s="2" t="s">
        <v>21</v>
      </c>
      <c r="K812">
        <v>147551</v>
      </c>
      <c r="L812" s="2" t="s">
        <v>29</v>
      </c>
      <c r="M812">
        <v>0.37</v>
      </c>
      <c r="N812">
        <v>0.68</v>
      </c>
      <c r="O812">
        <v>1006.42</v>
      </c>
      <c r="P812">
        <v>0</v>
      </c>
      <c r="Q812">
        <v>45</v>
      </c>
      <c r="R812">
        <v>3838.1579999999999</v>
      </c>
      <c r="S812">
        <v>15364.157999999999</v>
      </c>
      <c r="T812">
        <v>-10519.58</v>
      </c>
      <c r="U812">
        <v>0</v>
      </c>
      <c r="V812" s="2" t="s">
        <v>2059</v>
      </c>
      <c r="W812" s="2" t="s">
        <v>2062</v>
      </c>
      <c r="X812">
        <v>10661.55</v>
      </c>
      <c r="Y812">
        <v>-0.91268263057435361</v>
      </c>
      <c r="Z812" s="2" t="s">
        <v>2061</v>
      </c>
    </row>
    <row r="813" spans="1:26" x14ac:dyDescent="0.3">
      <c r="A813" s="2" t="s">
        <v>1668</v>
      </c>
      <c r="B813" s="1">
        <v>45061</v>
      </c>
      <c r="C813" s="2" t="s">
        <v>1669</v>
      </c>
      <c r="D813" s="2" t="s">
        <v>25</v>
      </c>
      <c r="E813">
        <v>4374</v>
      </c>
      <c r="F813">
        <v>10.8</v>
      </c>
      <c r="G813">
        <v>36</v>
      </c>
      <c r="H813" s="2" t="s">
        <v>19</v>
      </c>
      <c r="I813" s="2" t="s">
        <v>57</v>
      </c>
      <c r="J813" s="2" t="s">
        <v>47</v>
      </c>
      <c r="K813">
        <v>62551</v>
      </c>
      <c r="L813" s="2" t="s">
        <v>29</v>
      </c>
      <c r="M813">
        <v>0.19</v>
      </c>
      <c r="N813">
        <v>0.56000000000000005</v>
      </c>
      <c r="O813">
        <v>4846.3900000000003</v>
      </c>
      <c r="P813">
        <v>0</v>
      </c>
      <c r="Q813">
        <v>34</v>
      </c>
      <c r="R813">
        <v>1417.1760000000002</v>
      </c>
      <c r="S813">
        <v>5791.1760000000004</v>
      </c>
      <c r="T813">
        <v>472.39000000000033</v>
      </c>
      <c r="U813">
        <v>0</v>
      </c>
      <c r="V813" s="2" t="s">
        <v>2056</v>
      </c>
      <c r="W813" s="2" t="s">
        <v>2057</v>
      </c>
      <c r="X813">
        <v>3936.6</v>
      </c>
      <c r="Y813">
        <v>0.10799954275262924</v>
      </c>
      <c r="Z813" s="2" t="s">
        <v>2061</v>
      </c>
    </row>
    <row r="814" spans="1:26" x14ac:dyDescent="0.3">
      <c r="A814" s="2" t="s">
        <v>1670</v>
      </c>
      <c r="B814" s="1">
        <v>45002</v>
      </c>
      <c r="C814" s="2" t="s">
        <v>1671</v>
      </c>
      <c r="D814" s="2" t="s">
        <v>25</v>
      </c>
      <c r="E814">
        <v>26592</v>
      </c>
      <c r="F814">
        <v>16.3</v>
      </c>
      <c r="G814">
        <v>36</v>
      </c>
      <c r="H814" s="2" t="s">
        <v>26</v>
      </c>
      <c r="I814" s="2" t="s">
        <v>27</v>
      </c>
      <c r="J814" s="2" t="s">
        <v>21</v>
      </c>
      <c r="K814">
        <v>106384</v>
      </c>
      <c r="L814" s="2" t="s">
        <v>29</v>
      </c>
      <c r="M814">
        <v>0.48</v>
      </c>
      <c r="N814">
        <v>0.74</v>
      </c>
      <c r="O814">
        <v>9009.34</v>
      </c>
      <c r="P814">
        <v>0</v>
      </c>
      <c r="Q814">
        <v>36</v>
      </c>
      <c r="R814">
        <v>13003.487999999999</v>
      </c>
      <c r="S814">
        <v>39595.487999999998</v>
      </c>
      <c r="T814">
        <v>-17582.66</v>
      </c>
      <c r="U814">
        <v>0</v>
      </c>
      <c r="V814" s="2" t="s">
        <v>2059</v>
      </c>
      <c r="W814" s="2" t="s">
        <v>2060</v>
      </c>
      <c r="X814">
        <v>36120.800000000003</v>
      </c>
      <c r="Y814">
        <v>-0.6612011131167268</v>
      </c>
      <c r="Z814" s="2" t="s">
        <v>2058</v>
      </c>
    </row>
    <row r="815" spans="1:26" x14ac:dyDescent="0.3">
      <c r="A815" s="2" t="s">
        <v>1672</v>
      </c>
      <c r="B815" s="1">
        <v>45011</v>
      </c>
      <c r="C815" s="2" t="s">
        <v>1673</v>
      </c>
      <c r="D815" s="2" t="s">
        <v>50</v>
      </c>
      <c r="E815">
        <v>29982</v>
      </c>
      <c r="F815">
        <v>7.4</v>
      </c>
      <c r="G815">
        <v>36</v>
      </c>
      <c r="H815" s="2" t="s">
        <v>19</v>
      </c>
      <c r="I815" s="2" t="s">
        <v>20</v>
      </c>
      <c r="J815" s="2" t="s">
        <v>37</v>
      </c>
      <c r="K815">
        <v>85755</v>
      </c>
      <c r="L815" s="2" t="s">
        <v>29</v>
      </c>
      <c r="M815">
        <v>0.45</v>
      </c>
      <c r="N815">
        <v>0.55000000000000004</v>
      </c>
      <c r="O815">
        <v>32200.67</v>
      </c>
      <c r="P815">
        <v>0</v>
      </c>
      <c r="Q815">
        <v>35</v>
      </c>
      <c r="R815">
        <v>6656.0040000000008</v>
      </c>
      <c r="S815">
        <v>36638.004000000001</v>
      </c>
      <c r="T815">
        <v>2218.6699999999983</v>
      </c>
      <c r="U815">
        <v>0</v>
      </c>
      <c r="V815" s="2" t="s">
        <v>2056</v>
      </c>
      <c r="W815" s="2" t="s">
        <v>2057</v>
      </c>
      <c r="X815">
        <v>18488.900600000001</v>
      </c>
      <c r="Y815">
        <v>7.4000066706690626E-2</v>
      </c>
      <c r="Z815" s="2" t="s">
        <v>2058</v>
      </c>
    </row>
    <row r="816" spans="1:26" x14ac:dyDescent="0.3">
      <c r="A816" s="2" t="s">
        <v>1674</v>
      </c>
      <c r="B816" s="1">
        <v>44424</v>
      </c>
      <c r="C816" s="2" t="s">
        <v>1675</v>
      </c>
      <c r="D816" s="2" t="s">
        <v>76</v>
      </c>
      <c r="E816">
        <v>1207</v>
      </c>
      <c r="F816">
        <v>23.3</v>
      </c>
      <c r="G816">
        <v>60</v>
      </c>
      <c r="H816" s="2" t="s">
        <v>81</v>
      </c>
      <c r="I816" s="2" t="s">
        <v>84</v>
      </c>
      <c r="J816" s="2" t="s">
        <v>21</v>
      </c>
      <c r="K816">
        <v>43255</v>
      </c>
      <c r="L816" s="2" t="s">
        <v>33</v>
      </c>
      <c r="M816">
        <v>0.22</v>
      </c>
      <c r="N816">
        <v>0.59</v>
      </c>
      <c r="O816">
        <v>291.58999999999997</v>
      </c>
      <c r="P816">
        <v>508.63</v>
      </c>
      <c r="Q816">
        <v>55</v>
      </c>
      <c r="R816">
        <v>1406.155</v>
      </c>
      <c r="S816">
        <v>2613.1549999999997</v>
      </c>
      <c r="T816">
        <v>-406.78</v>
      </c>
      <c r="U816">
        <v>1</v>
      </c>
      <c r="V816" s="2" t="s">
        <v>2063</v>
      </c>
      <c r="W816" s="2" t="s">
        <v>2062</v>
      </c>
      <c r="X816">
        <v>2343.5916999999999</v>
      </c>
      <c r="Y816">
        <v>-0.33701739850869922</v>
      </c>
      <c r="Z816" s="2" t="s">
        <v>2061</v>
      </c>
    </row>
    <row r="817" spans="1:26" x14ac:dyDescent="0.3">
      <c r="A817" s="2" t="s">
        <v>1676</v>
      </c>
      <c r="B817" s="1">
        <v>44412</v>
      </c>
      <c r="C817" s="2" t="s">
        <v>1677</v>
      </c>
      <c r="D817" s="2" t="s">
        <v>72</v>
      </c>
      <c r="E817">
        <v>36433</v>
      </c>
      <c r="F817">
        <v>19.399999999999999</v>
      </c>
      <c r="G817">
        <v>60</v>
      </c>
      <c r="H817" s="2" t="s">
        <v>26</v>
      </c>
      <c r="I817" s="2" t="s">
        <v>20</v>
      </c>
      <c r="J817" s="2" t="s">
        <v>37</v>
      </c>
      <c r="K817">
        <v>34567</v>
      </c>
      <c r="L817" s="2" t="s">
        <v>29</v>
      </c>
      <c r="M817">
        <v>0.41</v>
      </c>
      <c r="N817">
        <v>0.95</v>
      </c>
      <c r="O817">
        <v>16706.38</v>
      </c>
      <c r="P817">
        <v>0</v>
      </c>
      <c r="Q817">
        <v>55</v>
      </c>
      <c r="R817">
        <v>35340.01</v>
      </c>
      <c r="S817">
        <v>71773.010000000009</v>
      </c>
      <c r="T817">
        <v>-19726.62</v>
      </c>
      <c r="U817">
        <v>0</v>
      </c>
      <c r="V817" s="2" t="s">
        <v>2059</v>
      </c>
      <c r="W817" s="2" t="s">
        <v>2057</v>
      </c>
      <c r="X817">
        <v>58900.0167</v>
      </c>
      <c r="Y817">
        <v>-0.54144923558312519</v>
      </c>
      <c r="Z817" s="2" t="s">
        <v>2058</v>
      </c>
    </row>
    <row r="818" spans="1:26" x14ac:dyDescent="0.3">
      <c r="A818" s="2" t="s">
        <v>1678</v>
      </c>
      <c r="B818" s="1">
        <v>45144</v>
      </c>
      <c r="C818" s="2" t="s">
        <v>1679</v>
      </c>
      <c r="D818" s="2" t="s">
        <v>56</v>
      </c>
      <c r="E818">
        <v>24197</v>
      </c>
      <c r="F818">
        <v>13</v>
      </c>
      <c r="G818">
        <v>60</v>
      </c>
      <c r="H818" s="2" t="s">
        <v>19</v>
      </c>
      <c r="I818" s="2" t="s">
        <v>27</v>
      </c>
      <c r="J818" s="2" t="s">
        <v>47</v>
      </c>
      <c r="K818">
        <v>78847</v>
      </c>
      <c r="L818" s="2" t="s">
        <v>22</v>
      </c>
      <c r="M818">
        <v>0.42</v>
      </c>
      <c r="N818">
        <v>0.74</v>
      </c>
      <c r="O818">
        <v>27342.61</v>
      </c>
      <c r="P818">
        <v>0</v>
      </c>
      <c r="Q818">
        <v>31</v>
      </c>
      <c r="R818">
        <v>15728.050000000001</v>
      </c>
      <c r="S818">
        <v>39925.050000000003</v>
      </c>
      <c r="T818">
        <v>3145.6100000000006</v>
      </c>
      <c r="U818">
        <v>0</v>
      </c>
      <c r="V818" s="2" t="s">
        <v>2056</v>
      </c>
      <c r="W818" s="2" t="s">
        <v>2060</v>
      </c>
      <c r="X818">
        <v>26213.416700000002</v>
      </c>
      <c r="Y818">
        <v>0.13000000000000003</v>
      </c>
      <c r="Z818" s="2" t="s">
        <v>2058</v>
      </c>
    </row>
    <row r="819" spans="1:26" x14ac:dyDescent="0.3">
      <c r="A819" s="2" t="s">
        <v>1680</v>
      </c>
      <c r="B819" s="1">
        <v>44211</v>
      </c>
      <c r="C819" s="2" t="s">
        <v>1681</v>
      </c>
      <c r="D819" s="2" t="s">
        <v>65</v>
      </c>
      <c r="E819">
        <v>34400</v>
      </c>
      <c r="F819">
        <v>8.1999999999999993</v>
      </c>
      <c r="G819">
        <v>36</v>
      </c>
      <c r="H819" s="2" t="s">
        <v>19</v>
      </c>
      <c r="I819" s="2" t="s">
        <v>20</v>
      </c>
      <c r="J819" s="2" t="s">
        <v>28</v>
      </c>
      <c r="K819">
        <v>134817</v>
      </c>
      <c r="L819" s="2" t="s">
        <v>29</v>
      </c>
      <c r="M819">
        <v>0.49</v>
      </c>
      <c r="N819">
        <v>0.63</v>
      </c>
      <c r="O819">
        <v>37220.800000000003</v>
      </c>
      <c r="P819">
        <v>0</v>
      </c>
      <c r="Q819">
        <v>62</v>
      </c>
      <c r="R819">
        <v>8462.4</v>
      </c>
      <c r="S819">
        <v>42862.400000000001</v>
      </c>
      <c r="T819">
        <v>2820.8000000000029</v>
      </c>
      <c r="U819">
        <v>0</v>
      </c>
      <c r="V819" s="2" t="s">
        <v>2056</v>
      </c>
      <c r="W819" s="2" t="s">
        <v>2057</v>
      </c>
      <c r="X819">
        <v>23506.666799999999</v>
      </c>
      <c r="Y819">
        <v>8.2000000000000087E-2</v>
      </c>
      <c r="Z819" s="2" t="s">
        <v>2058</v>
      </c>
    </row>
    <row r="820" spans="1:26" x14ac:dyDescent="0.3">
      <c r="A820" s="2" t="s">
        <v>1682</v>
      </c>
      <c r="B820" s="1">
        <v>44243</v>
      </c>
      <c r="C820" s="2" t="s">
        <v>1683</v>
      </c>
      <c r="D820" s="2" t="s">
        <v>53</v>
      </c>
      <c r="E820">
        <v>4083</v>
      </c>
      <c r="F820">
        <v>22.6</v>
      </c>
      <c r="G820">
        <v>36</v>
      </c>
      <c r="H820" s="2" t="s">
        <v>19</v>
      </c>
      <c r="I820" s="2" t="s">
        <v>57</v>
      </c>
      <c r="J820" s="2" t="s">
        <v>47</v>
      </c>
      <c r="K820">
        <v>78003</v>
      </c>
      <c r="L820" s="2" t="s">
        <v>33</v>
      </c>
      <c r="M820">
        <v>0.34</v>
      </c>
      <c r="N820">
        <v>0.95</v>
      </c>
      <c r="O820">
        <v>5005.76</v>
      </c>
      <c r="P820">
        <v>0</v>
      </c>
      <c r="Q820">
        <v>61</v>
      </c>
      <c r="R820">
        <v>2768.2739999999999</v>
      </c>
      <c r="S820">
        <v>6851.2739999999994</v>
      </c>
      <c r="T820">
        <v>922.76000000000022</v>
      </c>
      <c r="U820">
        <v>0</v>
      </c>
      <c r="V820" s="2" t="s">
        <v>2056</v>
      </c>
      <c r="W820" s="2" t="s">
        <v>2057</v>
      </c>
      <c r="X820">
        <v>7689.65</v>
      </c>
      <c r="Y820">
        <v>0.22600048983590504</v>
      </c>
      <c r="Z820" s="2" t="s">
        <v>2058</v>
      </c>
    </row>
    <row r="821" spans="1:26" x14ac:dyDescent="0.3">
      <c r="A821" s="2" t="s">
        <v>1684</v>
      </c>
      <c r="B821" s="1">
        <v>44520</v>
      </c>
      <c r="C821" s="2" t="s">
        <v>1685</v>
      </c>
      <c r="D821" s="2" t="s">
        <v>53</v>
      </c>
      <c r="E821">
        <v>30328</v>
      </c>
      <c r="F821">
        <v>21.5</v>
      </c>
      <c r="G821">
        <v>36</v>
      </c>
      <c r="H821" s="2" t="s">
        <v>26</v>
      </c>
      <c r="I821" s="2" t="s">
        <v>73</v>
      </c>
      <c r="J821" s="2" t="s">
        <v>21</v>
      </c>
      <c r="K821">
        <v>50389</v>
      </c>
      <c r="L821" s="2" t="s">
        <v>29</v>
      </c>
      <c r="M821">
        <v>0.13</v>
      </c>
      <c r="N821">
        <v>0.93</v>
      </c>
      <c r="O821">
        <v>6473.06</v>
      </c>
      <c r="P821">
        <v>0</v>
      </c>
      <c r="Q821">
        <v>51</v>
      </c>
      <c r="R821">
        <v>19561.560000000001</v>
      </c>
      <c r="S821">
        <v>49889.56</v>
      </c>
      <c r="T821">
        <v>-23854.94</v>
      </c>
      <c r="U821">
        <v>0</v>
      </c>
      <c r="V821" s="2" t="s">
        <v>2059</v>
      </c>
      <c r="W821" s="2" t="s">
        <v>2064</v>
      </c>
      <c r="X821">
        <v>54337.666700000002</v>
      </c>
      <c r="Y821">
        <v>-0.78656489053020306</v>
      </c>
      <c r="Z821" s="2" t="s">
        <v>2058</v>
      </c>
    </row>
    <row r="822" spans="1:26" x14ac:dyDescent="0.3">
      <c r="A822" s="2" t="s">
        <v>1686</v>
      </c>
      <c r="B822" s="1">
        <v>45040</v>
      </c>
      <c r="C822" s="2" t="s">
        <v>1687</v>
      </c>
      <c r="D822" s="2" t="s">
        <v>25</v>
      </c>
      <c r="E822">
        <v>21103</v>
      </c>
      <c r="F822">
        <v>19.399999999999999</v>
      </c>
      <c r="G822">
        <v>60</v>
      </c>
      <c r="H822" s="2" t="s">
        <v>26</v>
      </c>
      <c r="I822" s="2" t="s">
        <v>57</v>
      </c>
      <c r="J822" s="2" t="s">
        <v>37</v>
      </c>
      <c r="K822">
        <v>74523</v>
      </c>
      <c r="L822" s="2" t="s">
        <v>29</v>
      </c>
      <c r="M822">
        <v>0.36</v>
      </c>
      <c r="N822">
        <v>0.7</v>
      </c>
      <c r="O822">
        <v>3782.05</v>
      </c>
      <c r="P822">
        <v>0</v>
      </c>
      <c r="Q822">
        <v>34</v>
      </c>
      <c r="R822">
        <v>20469.91</v>
      </c>
      <c r="S822">
        <v>41572.910000000003</v>
      </c>
      <c r="T822">
        <v>-17320.95</v>
      </c>
      <c r="U822">
        <v>0</v>
      </c>
      <c r="V822" s="2" t="s">
        <v>2059</v>
      </c>
      <c r="W822" s="2" t="s">
        <v>2057</v>
      </c>
      <c r="X822">
        <v>34116.5167</v>
      </c>
      <c r="Y822">
        <v>-0.82078140548737155</v>
      </c>
      <c r="Z822" s="2" t="s">
        <v>2061</v>
      </c>
    </row>
    <row r="823" spans="1:26" x14ac:dyDescent="0.3">
      <c r="A823" s="2" t="s">
        <v>1688</v>
      </c>
      <c r="B823" s="1">
        <v>44326</v>
      </c>
      <c r="C823" s="2" t="s">
        <v>1689</v>
      </c>
      <c r="D823" s="2" t="s">
        <v>56</v>
      </c>
      <c r="E823">
        <v>11754</v>
      </c>
      <c r="F823">
        <v>10.4</v>
      </c>
      <c r="G823">
        <v>60</v>
      </c>
      <c r="H823" s="2" t="s">
        <v>19</v>
      </c>
      <c r="I823" s="2" t="s">
        <v>20</v>
      </c>
      <c r="J823" s="2" t="s">
        <v>21</v>
      </c>
      <c r="K823">
        <v>91576</v>
      </c>
      <c r="L823" s="2" t="s">
        <v>33</v>
      </c>
      <c r="M823">
        <v>0.35</v>
      </c>
      <c r="N823">
        <v>0.62</v>
      </c>
      <c r="O823">
        <v>12976.42</v>
      </c>
      <c r="P823">
        <v>0</v>
      </c>
      <c r="Q823">
        <v>58</v>
      </c>
      <c r="R823">
        <v>6112.0800000000008</v>
      </c>
      <c r="S823">
        <v>17866.080000000002</v>
      </c>
      <c r="T823">
        <v>1222.42</v>
      </c>
      <c r="U823">
        <v>0</v>
      </c>
      <c r="V823" s="2" t="s">
        <v>2056</v>
      </c>
      <c r="W823" s="2" t="s">
        <v>2057</v>
      </c>
      <c r="X823">
        <v>10186.799999999999</v>
      </c>
      <c r="Y823">
        <v>0.10400034030968182</v>
      </c>
      <c r="Z823" s="2" t="s">
        <v>2061</v>
      </c>
    </row>
    <row r="824" spans="1:26" x14ac:dyDescent="0.3">
      <c r="A824" s="2" t="s">
        <v>1690</v>
      </c>
      <c r="B824" s="1">
        <v>44291</v>
      </c>
      <c r="C824" s="2" t="s">
        <v>1691</v>
      </c>
      <c r="D824" s="2" t="s">
        <v>53</v>
      </c>
      <c r="E824">
        <v>35447</v>
      </c>
      <c r="F824">
        <v>13</v>
      </c>
      <c r="G824">
        <v>36</v>
      </c>
      <c r="H824" s="2" t="s">
        <v>81</v>
      </c>
      <c r="I824" s="2" t="s">
        <v>57</v>
      </c>
      <c r="J824" s="2" t="s">
        <v>21</v>
      </c>
      <c r="K824">
        <v>73919</v>
      </c>
      <c r="L824" s="2" t="s">
        <v>29</v>
      </c>
      <c r="M824">
        <v>0.36</v>
      </c>
      <c r="N824">
        <v>0.88</v>
      </c>
      <c r="O824">
        <v>8869.57</v>
      </c>
      <c r="P824">
        <v>8023.15</v>
      </c>
      <c r="Q824">
        <v>59</v>
      </c>
      <c r="R824">
        <v>13824.33</v>
      </c>
      <c r="S824">
        <v>49271.33</v>
      </c>
      <c r="T824">
        <v>-18554.28</v>
      </c>
      <c r="U824">
        <v>1</v>
      </c>
      <c r="V824" s="2" t="s">
        <v>2063</v>
      </c>
      <c r="W824" s="2" t="s">
        <v>2057</v>
      </c>
      <c r="X824">
        <v>38400.916700000002</v>
      </c>
      <c r="Y824">
        <v>-0.5234372443366152</v>
      </c>
      <c r="Z824" s="2" t="s">
        <v>2058</v>
      </c>
    </row>
    <row r="825" spans="1:26" x14ac:dyDescent="0.3">
      <c r="A825" s="2" t="s">
        <v>1692</v>
      </c>
      <c r="B825" s="1">
        <v>44823</v>
      </c>
      <c r="C825" s="2" t="s">
        <v>1693</v>
      </c>
      <c r="D825" s="2" t="s">
        <v>40</v>
      </c>
      <c r="E825">
        <v>16901</v>
      </c>
      <c r="F825">
        <v>7.1</v>
      </c>
      <c r="G825">
        <v>60</v>
      </c>
      <c r="H825" s="2" t="s">
        <v>19</v>
      </c>
      <c r="I825" s="2" t="s">
        <v>27</v>
      </c>
      <c r="J825" s="2" t="s">
        <v>28</v>
      </c>
      <c r="K825">
        <v>112103</v>
      </c>
      <c r="L825" s="2" t="s">
        <v>33</v>
      </c>
      <c r="M825">
        <v>0.22</v>
      </c>
      <c r="N825">
        <v>0.82</v>
      </c>
      <c r="O825">
        <v>18100.97</v>
      </c>
      <c r="P825">
        <v>0</v>
      </c>
      <c r="Q825">
        <v>42</v>
      </c>
      <c r="R825">
        <v>5999.8549999999996</v>
      </c>
      <c r="S825">
        <v>22900.855</v>
      </c>
      <c r="T825">
        <v>1199.9700000000012</v>
      </c>
      <c r="U825">
        <v>0</v>
      </c>
      <c r="V825" s="2" t="s">
        <v>2056</v>
      </c>
      <c r="W825" s="2" t="s">
        <v>2060</v>
      </c>
      <c r="X825">
        <v>9999.7582999999995</v>
      </c>
      <c r="Y825">
        <v>7.0999940831903502E-2</v>
      </c>
      <c r="Z825" s="2" t="s">
        <v>2058</v>
      </c>
    </row>
    <row r="826" spans="1:26" x14ac:dyDescent="0.3">
      <c r="A826" s="2" t="s">
        <v>1694</v>
      </c>
      <c r="B826" s="1">
        <v>44951</v>
      </c>
      <c r="C826" s="2" t="s">
        <v>1695</v>
      </c>
      <c r="D826" s="2" t="s">
        <v>40</v>
      </c>
      <c r="E826">
        <v>34004</v>
      </c>
      <c r="F826">
        <v>8.8000000000000007</v>
      </c>
      <c r="G826">
        <v>36</v>
      </c>
      <c r="H826" s="2" t="s">
        <v>19</v>
      </c>
      <c r="I826" s="2" t="s">
        <v>27</v>
      </c>
      <c r="J826" s="2" t="s">
        <v>21</v>
      </c>
      <c r="K826">
        <v>33358</v>
      </c>
      <c r="L826" s="2" t="s">
        <v>29</v>
      </c>
      <c r="M826">
        <v>0.44</v>
      </c>
      <c r="N826">
        <v>0.81</v>
      </c>
      <c r="O826">
        <v>36996.35</v>
      </c>
      <c r="P826">
        <v>0</v>
      </c>
      <c r="Q826">
        <v>37</v>
      </c>
      <c r="R826">
        <v>8977.0560000000005</v>
      </c>
      <c r="S826">
        <v>42981.055999999997</v>
      </c>
      <c r="T826">
        <v>2992.3499999999985</v>
      </c>
      <c r="U826">
        <v>0</v>
      </c>
      <c r="V826" s="2" t="s">
        <v>2056</v>
      </c>
      <c r="W826" s="2" t="s">
        <v>2060</v>
      </c>
      <c r="X826">
        <v>24936.2667</v>
      </c>
      <c r="Y826">
        <v>8.7999941183390148E-2</v>
      </c>
      <c r="Z826" s="2" t="s">
        <v>2058</v>
      </c>
    </row>
    <row r="827" spans="1:26" x14ac:dyDescent="0.3">
      <c r="A827" s="2" t="s">
        <v>1696</v>
      </c>
      <c r="B827" s="1">
        <v>44990</v>
      </c>
      <c r="C827" s="2" t="s">
        <v>1697</v>
      </c>
      <c r="D827" s="2" t="s">
        <v>76</v>
      </c>
      <c r="E827">
        <v>8446</v>
      </c>
      <c r="F827">
        <v>20.7</v>
      </c>
      <c r="G827">
        <v>60</v>
      </c>
      <c r="H827" s="2" t="s">
        <v>81</v>
      </c>
      <c r="I827" s="2" t="s">
        <v>20</v>
      </c>
      <c r="J827" s="2" t="s">
        <v>28</v>
      </c>
      <c r="K827">
        <v>118535</v>
      </c>
      <c r="L827" s="2" t="s">
        <v>22</v>
      </c>
      <c r="M827">
        <v>0.48</v>
      </c>
      <c r="N827">
        <v>0.9</v>
      </c>
      <c r="O827">
        <v>1999.88</v>
      </c>
      <c r="P827">
        <v>1314.2</v>
      </c>
      <c r="Q827">
        <v>36</v>
      </c>
      <c r="R827">
        <v>8741.6099999999988</v>
      </c>
      <c r="S827">
        <v>17187.61</v>
      </c>
      <c r="T827">
        <v>-5131.92</v>
      </c>
      <c r="U827">
        <v>1</v>
      </c>
      <c r="V827" s="2" t="s">
        <v>2063</v>
      </c>
      <c r="W827" s="2" t="s">
        <v>2057</v>
      </c>
      <c r="X827">
        <v>14569.35</v>
      </c>
      <c r="Y827">
        <v>-0.60761543926118877</v>
      </c>
      <c r="Z827" s="2" t="s">
        <v>2058</v>
      </c>
    </row>
    <row r="828" spans="1:26" x14ac:dyDescent="0.3">
      <c r="A828" s="2" t="s">
        <v>1698</v>
      </c>
      <c r="B828" s="1">
        <v>44265</v>
      </c>
      <c r="C828" s="2" t="s">
        <v>1699</v>
      </c>
      <c r="D828" s="2" t="s">
        <v>56</v>
      </c>
      <c r="E828">
        <v>38211</v>
      </c>
      <c r="F828">
        <v>19.3</v>
      </c>
      <c r="G828">
        <v>60</v>
      </c>
      <c r="H828" s="2" t="s">
        <v>26</v>
      </c>
      <c r="I828" s="2" t="s">
        <v>27</v>
      </c>
      <c r="J828" s="2" t="s">
        <v>37</v>
      </c>
      <c r="K828">
        <v>137894</v>
      </c>
      <c r="L828" s="2" t="s">
        <v>29</v>
      </c>
      <c r="M828">
        <v>0.19</v>
      </c>
      <c r="N828">
        <v>0.81</v>
      </c>
      <c r="O828">
        <v>7832.97</v>
      </c>
      <c r="P828">
        <v>0</v>
      </c>
      <c r="Q828">
        <v>60</v>
      </c>
      <c r="R828">
        <v>36873.615000000005</v>
      </c>
      <c r="S828">
        <v>75084.615000000005</v>
      </c>
      <c r="T828">
        <v>-30378.03</v>
      </c>
      <c r="U828">
        <v>0</v>
      </c>
      <c r="V828" s="2" t="s">
        <v>2059</v>
      </c>
      <c r="W828" s="2" t="s">
        <v>2060</v>
      </c>
      <c r="X828">
        <v>61456.025000000001</v>
      </c>
      <c r="Y828">
        <v>-0.79500745858522415</v>
      </c>
      <c r="Z828" s="2" t="s">
        <v>2058</v>
      </c>
    </row>
    <row r="829" spans="1:26" x14ac:dyDescent="0.3">
      <c r="A829" s="2" t="s">
        <v>1700</v>
      </c>
      <c r="B829" s="1">
        <v>44207</v>
      </c>
      <c r="C829" s="2" t="s">
        <v>1701</v>
      </c>
      <c r="D829" s="2" t="s">
        <v>40</v>
      </c>
      <c r="E829">
        <v>30301</v>
      </c>
      <c r="F829">
        <v>16.899999999999999</v>
      </c>
      <c r="G829">
        <v>60</v>
      </c>
      <c r="H829" s="2" t="s">
        <v>19</v>
      </c>
      <c r="I829" s="2" t="s">
        <v>20</v>
      </c>
      <c r="J829" s="2" t="s">
        <v>37</v>
      </c>
      <c r="K829">
        <v>106524</v>
      </c>
      <c r="L829" s="2" t="s">
        <v>33</v>
      </c>
      <c r="M829">
        <v>0.14000000000000001</v>
      </c>
      <c r="N829">
        <v>0.63</v>
      </c>
      <c r="O829">
        <v>35421.870000000003</v>
      </c>
      <c r="P829">
        <v>0</v>
      </c>
      <c r="Q829">
        <v>62</v>
      </c>
      <c r="R829">
        <v>25604.344999999998</v>
      </c>
      <c r="S829">
        <v>55905.345000000001</v>
      </c>
      <c r="T829">
        <v>5120.8700000000026</v>
      </c>
      <c r="U829">
        <v>0</v>
      </c>
      <c r="V829" s="2" t="s">
        <v>2056</v>
      </c>
      <c r="W829" s="2" t="s">
        <v>2057</v>
      </c>
      <c r="X829">
        <v>42673.908300000003</v>
      </c>
      <c r="Y829">
        <v>0.16900003300221123</v>
      </c>
      <c r="Z829" s="2" t="s">
        <v>2061</v>
      </c>
    </row>
    <row r="830" spans="1:26" x14ac:dyDescent="0.3">
      <c r="A830" s="2" t="s">
        <v>1702</v>
      </c>
      <c r="B830" s="1">
        <v>45068</v>
      </c>
      <c r="C830" s="2" t="s">
        <v>1703</v>
      </c>
      <c r="D830" s="2" t="s">
        <v>40</v>
      </c>
      <c r="E830">
        <v>27116</v>
      </c>
      <c r="F830">
        <v>22.9</v>
      </c>
      <c r="G830">
        <v>36</v>
      </c>
      <c r="H830" s="2" t="s">
        <v>26</v>
      </c>
      <c r="I830" s="2" t="s">
        <v>73</v>
      </c>
      <c r="J830" s="2" t="s">
        <v>28</v>
      </c>
      <c r="K830">
        <v>135982</v>
      </c>
      <c r="L830" s="2" t="s">
        <v>22</v>
      </c>
      <c r="M830">
        <v>0.18</v>
      </c>
      <c r="N830">
        <v>0.81</v>
      </c>
      <c r="O830">
        <v>9820.9699999999993</v>
      </c>
      <c r="P830">
        <v>0</v>
      </c>
      <c r="Q830">
        <v>33</v>
      </c>
      <c r="R830">
        <v>18628.691999999999</v>
      </c>
      <c r="S830">
        <v>45744.691999999995</v>
      </c>
      <c r="T830">
        <v>-17295.03</v>
      </c>
      <c r="U830">
        <v>0</v>
      </c>
      <c r="V830" s="2" t="s">
        <v>2059</v>
      </c>
      <c r="W830" s="2" t="s">
        <v>2064</v>
      </c>
      <c r="X830">
        <v>51746.366699999999</v>
      </c>
      <c r="Y830">
        <v>-0.63781641835078917</v>
      </c>
      <c r="Z830" s="2" t="s">
        <v>2058</v>
      </c>
    </row>
    <row r="831" spans="1:26" x14ac:dyDescent="0.3">
      <c r="A831" s="2" t="s">
        <v>1704</v>
      </c>
      <c r="B831" s="1">
        <v>44746</v>
      </c>
      <c r="C831" s="2" t="s">
        <v>1705</v>
      </c>
      <c r="D831" s="2" t="s">
        <v>25</v>
      </c>
      <c r="E831">
        <v>19752</v>
      </c>
      <c r="F831">
        <v>16.7</v>
      </c>
      <c r="G831">
        <v>60</v>
      </c>
      <c r="H831" s="2" t="s">
        <v>60</v>
      </c>
      <c r="I831" s="2" t="s">
        <v>57</v>
      </c>
      <c r="J831" s="2" t="s">
        <v>47</v>
      </c>
      <c r="K831">
        <v>127057</v>
      </c>
      <c r="L831" s="2" t="s">
        <v>33</v>
      </c>
      <c r="M831">
        <v>0.43</v>
      </c>
      <c r="N831">
        <v>0.64</v>
      </c>
      <c r="O831">
        <v>0</v>
      </c>
      <c r="P831">
        <v>0</v>
      </c>
      <c r="Q831">
        <v>44</v>
      </c>
      <c r="R831">
        <v>16492.919999999998</v>
      </c>
      <c r="S831">
        <v>36244.92</v>
      </c>
      <c r="T831">
        <v>-19752</v>
      </c>
      <c r="U831">
        <v>0</v>
      </c>
      <c r="V831" s="2" t="s">
        <v>2063</v>
      </c>
      <c r="W831" s="2" t="s">
        <v>2057</v>
      </c>
      <c r="X831">
        <v>27488.2</v>
      </c>
      <c r="Y831">
        <v>-1</v>
      </c>
      <c r="Z831" s="2" t="s">
        <v>2058</v>
      </c>
    </row>
    <row r="832" spans="1:26" x14ac:dyDescent="0.3">
      <c r="A832" s="2" t="s">
        <v>1706</v>
      </c>
      <c r="B832" s="1">
        <v>44908</v>
      </c>
      <c r="C832" s="2" t="s">
        <v>1707</v>
      </c>
      <c r="D832" s="2" t="s">
        <v>53</v>
      </c>
      <c r="E832">
        <v>33376</v>
      </c>
      <c r="F832">
        <v>14.3</v>
      </c>
      <c r="G832">
        <v>60</v>
      </c>
      <c r="H832" s="2" t="s">
        <v>26</v>
      </c>
      <c r="I832" s="2" t="s">
        <v>73</v>
      </c>
      <c r="J832" s="2" t="s">
        <v>37</v>
      </c>
      <c r="K832">
        <v>35698</v>
      </c>
      <c r="L832" s="2" t="s">
        <v>29</v>
      </c>
      <c r="M832">
        <v>0.37</v>
      </c>
      <c r="N832">
        <v>0.84</v>
      </c>
      <c r="O832">
        <v>13076.81</v>
      </c>
      <c r="P832">
        <v>0</v>
      </c>
      <c r="Q832">
        <v>39</v>
      </c>
      <c r="R832">
        <v>23863.84</v>
      </c>
      <c r="S832">
        <v>57239.839999999997</v>
      </c>
      <c r="T832">
        <v>-20299.190000000002</v>
      </c>
      <c r="U832">
        <v>0</v>
      </c>
      <c r="V832" s="2" t="s">
        <v>2059</v>
      </c>
      <c r="W832" s="2" t="s">
        <v>2064</v>
      </c>
      <c r="X832">
        <v>39773.066700000003</v>
      </c>
      <c r="Y832">
        <v>-0.60819720757430495</v>
      </c>
      <c r="Z832" s="2" t="s">
        <v>2058</v>
      </c>
    </row>
    <row r="833" spans="1:26" x14ac:dyDescent="0.3">
      <c r="A833" s="2" t="s">
        <v>1708</v>
      </c>
      <c r="B833" s="1">
        <v>44219</v>
      </c>
      <c r="C833" s="2" t="s">
        <v>1709</v>
      </c>
      <c r="D833" s="2" t="s">
        <v>76</v>
      </c>
      <c r="E833">
        <v>17669</v>
      </c>
      <c r="F833">
        <v>11.8</v>
      </c>
      <c r="G833">
        <v>36</v>
      </c>
      <c r="H833" s="2" t="s">
        <v>26</v>
      </c>
      <c r="I833" s="2" t="s">
        <v>57</v>
      </c>
      <c r="J833" s="2" t="s">
        <v>47</v>
      </c>
      <c r="K833">
        <v>96809</v>
      </c>
      <c r="L833" s="2" t="s">
        <v>22</v>
      </c>
      <c r="M833">
        <v>0.35</v>
      </c>
      <c r="N833">
        <v>0.78</v>
      </c>
      <c r="O833">
        <v>7665.57</v>
      </c>
      <c r="P833">
        <v>0</v>
      </c>
      <c r="Q833">
        <v>61</v>
      </c>
      <c r="R833">
        <v>6254.826</v>
      </c>
      <c r="S833">
        <v>23923.826000000001</v>
      </c>
      <c r="T833">
        <v>-10003.43</v>
      </c>
      <c r="U833">
        <v>0</v>
      </c>
      <c r="V833" s="2" t="s">
        <v>2059</v>
      </c>
      <c r="W833" s="2" t="s">
        <v>2057</v>
      </c>
      <c r="X833">
        <v>17374.5167</v>
      </c>
      <c r="Y833">
        <v>-0.56615711132491942</v>
      </c>
      <c r="Z833" s="2" t="s">
        <v>2061</v>
      </c>
    </row>
    <row r="834" spans="1:26" x14ac:dyDescent="0.3">
      <c r="A834" s="2" t="s">
        <v>1710</v>
      </c>
      <c r="B834" s="1">
        <v>45011</v>
      </c>
      <c r="C834" s="2" t="s">
        <v>1711</v>
      </c>
      <c r="D834" s="2" t="s">
        <v>72</v>
      </c>
      <c r="E834">
        <v>33916</v>
      </c>
      <c r="F834">
        <v>23.8</v>
      </c>
      <c r="G834">
        <v>60</v>
      </c>
      <c r="H834" s="2" t="s">
        <v>26</v>
      </c>
      <c r="I834" s="2" t="s">
        <v>41</v>
      </c>
      <c r="J834" s="2" t="s">
        <v>37</v>
      </c>
      <c r="K834">
        <v>123079</v>
      </c>
      <c r="L834" s="2" t="s">
        <v>33</v>
      </c>
      <c r="M834">
        <v>0.26</v>
      </c>
      <c r="N834">
        <v>0.53</v>
      </c>
      <c r="O834">
        <v>16543.73</v>
      </c>
      <c r="P834">
        <v>0</v>
      </c>
      <c r="Q834">
        <v>35</v>
      </c>
      <c r="R834">
        <v>40360.04</v>
      </c>
      <c r="S834">
        <v>74276.040000000008</v>
      </c>
      <c r="T834">
        <v>-17372.27</v>
      </c>
      <c r="U834">
        <v>0</v>
      </c>
      <c r="V834" s="2" t="s">
        <v>2059</v>
      </c>
      <c r="W834" s="2" t="s">
        <v>2062</v>
      </c>
      <c r="X834">
        <v>67266.733300000007</v>
      </c>
      <c r="Y834">
        <v>-0.51221458898455008</v>
      </c>
      <c r="Z834" s="2" t="s">
        <v>2061</v>
      </c>
    </row>
    <row r="835" spans="1:26" x14ac:dyDescent="0.3">
      <c r="A835" s="2" t="s">
        <v>1712</v>
      </c>
      <c r="B835" s="1">
        <v>44542</v>
      </c>
      <c r="C835" s="2" t="s">
        <v>1713</v>
      </c>
      <c r="D835" s="2" t="s">
        <v>18</v>
      </c>
      <c r="E835">
        <v>14395</v>
      </c>
      <c r="F835">
        <v>6.7</v>
      </c>
      <c r="G835">
        <v>36</v>
      </c>
      <c r="H835" s="2" t="s">
        <v>19</v>
      </c>
      <c r="I835" s="2" t="s">
        <v>57</v>
      </c>
      <c r="J835" s="2" t="s">
        <v>37</v>
      </c>
      <c r="K835">
        <v>85805</v>
      </c>
      <c r="L835" s="2" t="s">
        <v>22</v>
      </c>
      <c r="M835">
        <v>0.33</v>
      </c>
      <c r="N835">
        <v>0.73</v>
      </c>
      <c r="O835">
        <v>15359.46</v>
      </c>
      <c r="P835">
        <v>0</v>
      </c>
      <c r="Q835">
        <v>51</v>
      </c>
      <c r="R835">
        <v>2893.395</v>
      </c>
      <c r="S835">
        <v>17288.395</v>
      </c>
      <c r="T835">
        <v>964.45999999999913</v>
      </c>
      <c r="U835">
        <v>0</v>
      </c>
      <c r="V835" s="2" t="s">
        <v>2056</v>
      </c>
      <c r="W835" s="2" t="s">
        <v>2057</v>
      </c>
      <c r="X835">
        <v>8037.2093000000004</v>
      </c>
      <c r="Y835">
        <v>6.6999652657172573E-2</v>
      </c>
      <c r="Z835" s="2" t="s">
        <v>2061</v>
      </c>
    </row>
    <row r="836" spans="1:26" x14ac:dyDescent="0.3">
      <c r="A836" s="2" t="s">
        <v>1714</v>
      </c>
      <c r="B836" s="1">
        <v>44498</v>
      </c>
      <c r="C836" s="2" t="s">
        <v>1715</v>
      </c>
      <c r="D836" s="2" t="s">
        <v>65</v>
      </c>
      <c r="E836">
        <v>21421</v>
      </c>
      <c r="F836">
        <v>23.6</v>
      </c>
      <c r="G836">
        <v>36</v>
      </c>
      <c r="H836" s="2" t="s">
        <v>26</v>
      </c>
      <c r="I836" s="2" t="s">
        <v>20</v>
      </c>
      <c r="J836" s="2" t="s">
        <v>32</v>
      </c>
      <c r="K836">
        <v>61349</v>
      </c>
      <c r="L836" s="2" t="s">
        <v>22</v>
      </c>
      <c r="M836">
        <v>0.22</v>
      </c>
      <c r="N836">
        <v>0.65</v>
      </c>
      <c r="O836">
        <v>3641.47</v>
      </c>
      <c r="P836">
        <v>0</v>
      </c>
      <c r="Q836">
        <v>52</v>
      </c>
      <c r="R836">
        <v>15166.068000000001</v>
      </c>
      <c r="S836">
        <v>36587.067999999999</v>
      </c>
      <c r="T836">
        <v>-17779.53</v>
      </c>
      <c r="U836">
        <v>0</v>
      </c>
      <c r="V836" s="2" t="s">
        <v>2059</v>
      </c>
      <c r="W836" s="2" t="s">
        <v>2057</v>
      </c>
      <c r="X836">
        <v>42127.966699999997</v>
      </c>
      <c r="Y836">
        <v>-0.83000466831613828</v>
      </c>
      <c r="Z836" s="2" t="s">
        <v>2061</v>
      </c>
    </row>
    <row r="837" spans="1:26" x14ac:dyDescent="0.3">
      <c r="A837" s="2" t="s">
        <v>1716</v>
      </c>
      <c r="B837" s="1">
        <v>44559</v>
      </c>
      <c r="C837" s="2" t="s">
        <v>1717</v>
      </c>
      <c r="D837" s="2" t="s">
        <v>65</v>
      </c>
      <c r="E837">
        <v>27342</v>
      </c>
      <c r="F837">
        <v>21.5</v>
      </c>
      <c r="G837">
        <v>36</v>
      </c>
      <c r="H837" s="2" t="s">
        <v>19</v>
      </c>
      <c r="I837" s="2" t="s">
        <v>57</v>
      </c>
      <c r="J837" s="2" t="s">
        <v>21</v>
      </c>
      <c r="K837">
        <v>106777</v>
      </c>
      <c r="L837" s="2" t="s">
        <v>33</v>
      </c>
      <c r="M837">
        <v>0.28999999999999998</v>
      </c>
      <c r="N837">
        <v>0.65</v>
      </c>
      <c r="O837">
        <v>33220.53</v>
      </c>
      <c r="P837">
        <v>0</v>
      </c>
      <c r="Q837">
        <v>50</v>
      </c>
      <c r="R837">
        <v>17635.59</v>
      </c>
      <c r="S837">
        <v>44977.59</v>
      </c>
      <c r="T837">
        <v>5878.5299999999988</v>
      </c>
      <c r="U837">
        <v>0</v>
      </c>
      <c r="V837" s="2" t="s">
        <v>2056</v>
      </c>
      <c r="W837" s="2" t="s">
        <v>2057</v>
      </c>
      <c r="X837">
        <v>48987.75</v>
      </c>
      <c r="Y837">
        <v>0.21499999999999997</v>
      </c>
      <c r="Z837" s="2" t="s">
        <v>2061</v>
      </c>
    </row>
    <row r="838" spans="1:26" x14ac:dyDescent="0.3">
      <c r="A838" s="2" t="s">
        <v>1718</v>
      </c>
      <c r="B838" s="1">
        <v>44592</v>
      </c>
      <c r="C838" s="2" t="s">
        <v>1719</v>
      </c>
      <c r="D838" s="2" t="s">
        <v>46</v>
      </c>
      <c r="E838">
        <v>5895</v>
      </c>
      <c r="F838">
        <v>7.6</v>
      </c>
      <c r="G838">
        <v>36</v>
      </c>
      <c r="H838" s="2" t="s">
        <v>81</v>
      </c>
      <c r="I838" s="2" t="s">
        <v>36</v>
      </c>
      <c r="J838" s="2" t="s">
        <v>21</v>
      </c>
      <c r="K838">
        <v>80248</v>
      </c>
      <c r="L838" s="2" t="s">
        <v>22</v>
      </c>
      <c r="M838">
        <v>0.42</v>
      </c>
      <c r="N838">
        <v>0.77</v>
      </c>
      <c r="O838">
        <v>1855.91</v>
      </c>
      <c r="P838">
        <v>1714.08</v>
      </c>
      <c r="Q838">
        <v>49</v>
      </c>
      <c r="R838">
        <v>1344.06</v>
      </c>
      <c r="S838">
        <v>7239.0599999999995</v>
      </c>
      <c r="T838">
        <v>-2325.0100000000002</v>
      </c>
      <c r="U838">
        <v>1</v>
      </c>
      <c r="V838" s="2" t="s">
        <v>2063</v>
      </c>
      <c r="W838" s="2" t="s">
        <v>2062</v>
      </c>
      <c r="X838">
        <v>3733.5001000000002</v>
      </c>
      <c r="Y838">
        <v>-0.39440373197625112</v>
      </c>
      <c r="Z838" s="2" t="s">
        <v>2058</v>
      </c>
    </row>
    <row r="839" spans="1:26" x14ac:dyDescent="0.3">
      <c r="A839" s="2" t="s">
        <v>1720</v>
      </c>
      <c r="B839" s="1">
        <v>44414</v>
      </c>
      <c r="C839" s="2" t="s">
        <v>1721</v>
      </c>
      <c r="D839" s="2" t="s">
        <v>18</v>
      </c>
      <c r="E839">
        <v>12023</v>
      </c>
      <c r="F839">
        <v>16.3</v>
      </c>
      <c r="G839">
        <v>36</v>
      </c>
      <c r="H839" s="2" t="s">
        <v>19</v>
      </c>
      <c r="I839" s="2" t="s">
        <v>27</v>
      </c>
      <c r="J839" s="2" t="s">
        <v>47</v>
      </c>
      <c r="K839">
        <v>105033</v>
      </c>
      <c r="L839" s="2" t="s">
        <v>33</v>
      </c>
      <c r="M839">
        <v>0.49</v>
      </c>
      <c r="N839">
        <v>0.65</v>
      </c>
      <c r="O839">
        <v>13982.75</v>
      </c>
      <c r="P839">
        <v>0</v>
      </c>
      <c r="Q839">
        <v>55</v>
      </c>
      <c r="R839">
        <v>5879.2470000000003</v>
      </c>
      <c r="S839">
        <v>17902.246999999999</v>
      </c>
      <c r="T839">
        <v>1959.75</v>
      </c>
      <c r="U839">
        <v>0</v>
      </c>
      <c r="V839" s="2" t="s">
        <v>2056</v>
      </c>
      <c r="W839" s="2" t="s">
        <v>2060</v>
      </c>
      <c r="X839">
        <v>16331.2417</v>
      </c>
      <c r="Y839">
        <v>0.16300008317391665</v>
      </c>
      <c r="Z839" s="2" t="s">
        <v>2058</v>
      </c>
    </row>
    <row r="840" spans="1:26" x14ac:dyDescent="0.3">
      <c r="A840" s="2" t="s">
        <v>1722</v>
      </c>
      <c r="B840" s="1">
        <v>44337</v>
      </c>
      <c r="C840" s="2" t="s">
        <v>1723</v>
      </c>
      <c r="D840" s="2" t="s">
        <v>18</v>
      </c>
      <c r="E840">
        <v>11699</v>
      </c>
      <c r="F840">
        <v>22.3</v>
      </c>
      <c r="G840">
        <v>60</v>
      </c>
      <c r="H840" s="2" t="s">
        <v>26</v>
      </c>
      <c r="I840" s="2" t="s">
        <v>27</v>
      </c>
      <c r="J840" s="2" t="s">
        <v>21</v>
      </c>
      <c r="K840">
        <v>137411</v>
      </c>
      <c r="L840" s="2" t="s">
        <v>22</v>
      </c>
      <c r="M840">
        <v>0.47</v>
      </c>
      <c r="N840">
        <v>0.85</v>
      </c>
      <c r="O840">
        <v>2660.54</v>
      </c>
      <c r="P840">
        <v>0</v>
      </c>
      <c r="Q840">
        <v>57</v>
      </c>
      <c r="R840">
        <v>13044.385</v>
      </c>
      <c r="S840">
        <v>24743.385000000002</v>
      </c>
      <c r="T840">
        <v>-9038.4599999999991</v>
      </c>
      <c r="U840">
        <v>0</v>
      </c>
      <c r="V840" s="2" t="s">
        <v>2059</v>
      </c>
      <c r="W840" s="2" t="s">
        <v>2060</v>
      </c>
      <c r="X840">
        <v>21740.6417</v>
      </c>
      <c r="Y840">
        <v>-0.77258398153688346</v>
      </c>
      <c r="Z840" s="2" t="s">
        <v>2058</v>
      </c>
    </row>
    <row r="841" spans="1:26" x14ac:dyDescent="0.3">
      <c r="A841" s="2" t="s">
        <v>1724</v>
      </c>
      <c r="B841" s="1">
        <v>45154</v>
      </c>
      <c r="C841" s="2" t="s">
        <v>1725</v>
      </c>
      <c r="D841" s="2" t="s">
        <v>65</v>
      </c>
      <c r="E841">
        <v>10715</v>
      </c>
      <c r="F841">
        <v>16.399999999999999</v>
      </c>
      <c r="G841">
        <v>36</v>
      </c>
      <c r="H841" s="2" t="s">
        <v>19</v>
      </c>
      <c r="I841" s="2" t="s">
        <v>36</v>
      </c>
      <c r="J841" s="2" t="s">
        <v>47</v>
      </c>
      <c r="K841">
        <v>128239</v>
      </c>
      <c r="L841" s="2" t="s">
        <v>22</v>
      </c>
      <c r="M841">
        <v>0.47</v>
      </c>
      <c r="N841">
        <v>0.53</v>
      </c>
      <c r="O841">
        <v>12472.26</v>
      </c>
      <c r="P841">
        <v>0</v>
      </c>
      <c r="Q841">
        <v>31</v>
      </c>
      <c r="R841">
        <v>5271.78</v>
      </c>
      <c r="S841">
        <v>15986.779999999999</v>
      </c>
      <c r="T841">
        <v>1757.2600000000002</v>
      </c>
      <c r="U841">
        <v>0</v>
      </c>
      <c r="V841" s="2" t="s">
        <v>2056</v>
      </c>
      <c r="W841" s="2" t="s">
        <v>2062</v>
      </c>
      <c r="X841">
        <v>14643.8333</v>
      </c>
      <c r="Y841">
        <v>0.16400000000000001</v>
      </c>
      <c r="Z841" s="2" t="s">
        <v>2058</v>
      </c>
    </row>
    <row r="842" spans="1:26" x14ac:dyDescent="0.3">
      <c r="A842" s="2" t="s">
        <v>1726</v>
      </c>
      <c r="B842" s="1">
        <v>45181</v>
      </c>
      <c r="C842" s="2" t="s">
        <v>1727</v>
      </c>
      <c r="D842" s="2" t="s">
        <v>65</v>
      </c>
      <c r="E842">
        <v>20169</v>
      </c>
      <c r="F842">
        <v>23.1</v>
      </c>
      <c r="G842">
        <v>36</v>
      </c>
      <c r="H842" s="2" t="s">
        <v>19</v>
      </c>
      <c r="I842" s="2" t="s">
        <v>36</v>
      </c>
      <c r="J842" s="2" t="s">
        <v>37</v>
      </c>
      <c r="K842">
        <v>74041</v>
      </c>
      <c r="L842" s="2" t="s">
        <v>22</v>
      </c>
      <c r="M842">
        <v>0.26</v>
      </c>
      <c r="N842">
        <v>0.8</v>
      </c>
      <c r="O842">
        <v>24828.04</v>
      </c>
      <c r="P842">
        <v>0</v>
      </c>
      <c r="Q842">
        <v>30</v>
      </c>
      <c r="R842">
        <v>13977.117000000004</v>
      </c>
      <c r="S842">
        <v>34146.117000000006</v>
      </c>
      <c r="T842">
        <v>4659.0400000000009</v>
      </c>
      <c r="U842">
        <v>0</v>
      </c>
      <c r="V842" s="2" t="s">
        <v>2056</v>
      </c>
      <c r="W842" s="2" t="s">
        <v>2062</v>
      </c>
      <c r="X842">
        <v>38825.324999999997</v>
      </c>
      <c r="Y842">
        <v>0.23100004958104026</v>
      </c>
      <c r="Z842" s="2" t="s">
        <v>2061</v>
      </c>
    </row>
    <row r="843" spans="1:26" x14ac:dyDescent="0.3">
      <c r="A843" s="2" t="s">
        <v>1728</v>
      </c>
      <c r="B843" s="1">
        <v>45189</v>
      </c>
      <c r="C843" s="2" t="s">
        <v>1729</v>
      </c>
      <c r="D843" s="2" t="s">
        <v>72</v>
      </c>
      <c r="E843">
        <v>17163</v>
      </c>
      <c r="F843">
        <v>23.9</v>
      </c>
      <c r="G843">
        <v>36</v>
      </c>
      <c r="H843" s="2" t="s">
        <v>19</v>
      </c>
      <c r="I843" s="2" t="s">
        <v>27</v>
      </c>
      <c r="J843" s="2" t="s">
        <v>32</v>
      </c>
      <c r="K843">
        <v>61954</v>
      </c>
      <c r="L843" s="2" t="s">
        <v>29</v>
      </c>
      <c r="M843">
        <v>0.28999999999999998</v>
      </c>
      <c r="N843">
        <v>0.86</v>
      </c>
      <c r="O843">
        <v>21264.959999999999</v>
      </c>
      <c r="P843">
        <v>0</v>
      </c>
      <c r="Q843">
        <v>29</v>
      </c>
      <c r="R843">
        <v>12305.870999999999</v>
      </c>
      <c r="S843">
        <v>29468.870999999999</v>
      </c>
      <c r="T843">
        <v>4101.9599999999991</v>
      </c>
      <c r="U843">
        <v>0</v>
      </c>
      <c r="V843" s="2" t="s">
        <v>2056</v>
      </c>
      <c r="W843" s="2" t="s">
        <v>2060</v>
      </c>
      <c r="X843">
        <v>34182.974999999999</v>
      </c>
      <c r="Y843">
        <v>0.23900017479461627</v>
      </c>
      <c r="Z843" s="2" t="s">
        <v>2058</v>
      </c>
    </row>
    <row r="844" spans="1:26" x14ac:dyDescent="0.3">
      <c r="A844" s="2" t="s">
        <v>1730</v>
      </c>
      <c r="B844" s="1">
        <v>45024</v>
      </c>
      <c r="C844" s="2" t="s">
        <v>1731</v>
      </c>
      <c r="D844" s="2" t="s">
        <v>56</v>
      </c>
      <c r="E844">
        <v>6782</v>
      </c>
      <c r="F844">
        <v>13.4</v>
      </c>
      <c r="G844">
        <v>36</v>
      </c>
      <c r="H844" s="2" t="s">
        <v>60</v>
      </c>
      <c r="I844" s="2" t="s">
        <v>20</v>
      </c>
      <c r="J844" s="2" t="s">
        <v>32</v>
      </c>
      <c r="K844">
        <v>38002</v>
      </c>
      <c r="L844" s="2" t="s">
        <v>29</v>
      </c>
      <c r="M844">
        <v>0.38</v>
      </c>
      <c r="N844">
        <v>0.8</v>
      </c>
      <c r="O844">
        <v>0</v>
      </c>
      <c r="P844">
        <v>0</v>
      </c>
      <c r="Q844">
        <v>35</v>
      </c>
      <c r="R844">
        <v>2726.364</v>
      </c>
      <c r="S844">
        <v>9508.3639999999996</v>
      </c>
      <c r="T844">
        <v>-6782</v>
      </c>
      <c r="U844">
        <v>0</v>
      </c>
      <c r="V844" s="2" t="s">
        <v>2063</v>
      </c>
      <c r="W844" s="2" t="s">
        <v>2057</v>
      </c>
      <c r="X844">
        <v>7573.2332999999999</v>
      </c>
      <c r="Y844">
        <v>-1</v>
      </c>
      <c r="Z844" s="2" t="s">
        <v>2061</v>
      </c>
    </row>
    <row r="845" spans="1:26" x14ac:dyDescent="0.3">
      <c r="A845" s="2" t="s">
        <v>1732</v>
      </c>
      <c r="B845" s="1">
        <v>44879</v>
      </c>
      <c r="C845" s="2" t="s">
        <v>1733</v>
      </c>
      <c r="D845" s="2" t="s">
        <v>56</v>
      </c>
      <c r="E845">
        <v>23641</v>
      </c>
      <c r="F845">
        <v>12.5</v>
      </c>
      <c r="G845">
        <v>60</v>
      </c>
      <c r="H845" s="2" t="s">
        <v>60</v>
      </c>
      <c r="I845" s="2" t="s">
        <v>84</v>
      </c>
      <c r="J845" s="2" t="s">
        <v>37</v>
      </c>
      <c r="K845">
        <v>99783</v>
      </c>
      <c r="L845" s="2" t="s">
        <v>33</v>
      </c>
      <c r="M845">
        <v>0.47</v>
      </c>
      <c r="N845">
        <v>0.72</v>
      </c>
      <c r="O845">
        <v>0</v>
      </c>
      <c r="P845">
        <v>0</v>
      </c>
      <c r="Q845">
        <v>40</v>
      </c>
      <c r="R845">
        <v>14775.625</v>
      </c>
      <c r="S845">
        <v>38416.625</v>
      </c>
      <c r="T845">
        <v>-23641</v>
      </c>
      <c r="U845">
        <v>0</v>
      </c>
      <c r="V845" s="2" t="s">
        <v>2063</v>
      </c>
      <c r="W845" s="2" t="s">
        <v>2062</v>
      </c>
      <c r="X845">
        <v>24626.041700000002</v>
      </c>
      <c r="Y845">
        <v>-1</v>
      </c>
      <c r="Z845" s="2" t="s">
        <v>2058</v>
      </c>
    </row>
    <row r="846" spans="1:26" x14ac:dyDescent="0.3">
      <c r="A846" s="2" t="s">
        <v>1734</v>
      </c>
      <c r="B846" s="1">
        <v>45200</v>
      </c>
      <c r="C846" s="2" t="s">
        <v>1735</v>
      </c>
      <c r="D846" s="2" t="s">
        <v>72</v>
      </c>
      <c r="E846">
        <v>19792</v>
      </c>
      <c r="F846">
        <v>23.7</v>
      </c>
      <c r="G846">
        <v>36</v>
      </c>
      <c r="H846" s="2" t="s">
        <v>19</v>
      </c>
      <c r="I846" s="2" t="s">
        <v>20</v>
      </c>
      <c r="J846" s="2" t="s">
        <v>28</v>
      </c>
      <c r="K846">
        <v>137524</v>
      </c>
      <c r="L846" s="2" t="s">
        <v>22</v>
      </c>
      <c r="M846">
        <v>0.16</v>
      </c>
      <c r="N846">
        <v>0.93</v>
      </c>
      <c r="O846">
        <v>24482.7</v>
      </c>
      <c r="P846">
        <v>0</v>
      </c>
      <c r="Q846">
        <v>29</v>
      </c>
      <c r="R846">
        <v>14072.111999999999</v>
      </c>
      <c r="S846">
        <v>33864.112000000001</v>
      </c>
      <c r="T846">
        <v>4690.7000000000007</v>
      </c>
      <c r="U846">
        <v>0</v>
      </c>
      <c r="V846" s="2" t="s">
        <v>2056</v>
      </c>
      <c r="W846" s="2" t="s">
        <v>2057</v>
      </c>
      <c r="X846">
        <v>39089.199999999997</v>
      </c>
      <c r="Y846">
        <v>0.23699979789814071</v>
      </c>
      <c r="Z846" s="2" t="s">
        <v>2058</v>
      </c>
    </row>
    <row r="847" spans="1:26" x14ac:dyDescent="0.3">
      <c r="A847" s="2" t="s">
        <v>1736</v>
      </c>
      <c r="B847" s="1">
        <v>44552</v>
      </c>
      <c r="C847" s="2" t="s">
        <v>1737</v>
      </c>
      <c r="D847" s="2" t="s">
        <v>53</v>
      </c>
      <c r="E847">
        <v>36585</v>
      </c>
      <c r="F847">
        <v>18.5</v>
      </c>
      <c r="G847">
        <v>60</v>
      </c>
      <c r="H847" s="2" t="s">
        <v>315</v>
      </c>
      <c r="I847" s="2" t="s">
        <v>27</v>
      </c>
      <c r="J847" s="2" t="s">
        <v>28</v>
      </c>
      <c r="K847">
        <v>117234</v>
      </c>
      <c r="L847" s="2" t="s">
        <v>33</v>
      </c>
      <c r="M847">
        <v>0.22</v>
      </c>
      <c r="N847">
        <v>0.63</v>
      </c>
      <c r="O847">
        <v>0</v>
      </c>
      <c r="P847">
        <v>0</v>
      </c>
      <c r="Q847">
        <v>50</v>
      </c>
      <c r="R847">
        <v>33841.125</v>
      </c>
      <c r="S847">
        <v>70426.125</v>
      </c>
      <c r="T847">
        <v>-36585</v>
      </c>
      <c r="U847">
        <v>0</v>
      </c>
      <c r="V847" s="2" t="s">
        <v>2063</v>
      </c>
      <c r="W847" s="2" t="s">
        <v>2060</v>
      </c>
      <c r="X847">
        <v>56401.875</v>
      </c>
      <c r="Y847">
        <v>-1</v>
      </c>
      <c r="Z847" s="2" t="s">
        <v>2061</v>
      </c>
    </row>
    <row r="848" spans="1:26" x14ac:dyDescent="0.3">
      <c r="A848" s="2" t="s">
        <v>1738</v>
      </c>
      <c r="B848" s="1">
        <v>45204</v>
      </c>
      <c r="C848" s="2" t="s">
        <v>1739</v>
      </c>
      <c r="D848" s="2" t="s">
        <v>18</v>
      </c>
      <c r="E848">
        <v>31682</v>
      </c>
      <c r="F848">
        <v>7.3</v>
      </c>
      <c r="G848">
        <v>36</v>
      </c>
      <c r="H848" s="2" t="s">
        <v>26</v>
      </c>
      <c r="I848" s="2" t="s">
        <v>27</v>
      </c>
      <c r="J848" s="2" t="s">
        <v>21</v>
      </c>
      <c r="K848">
        <v>49738</v>
      </c>
      <c r="L848" s="2" t="s">
        <v>29</v>
      </c>
      <c r="M848">
        <v>0.16</v>
      </c>
      <c r="N848">
        <v>0.51</v>
      </c>
      <c r="O848">
        <v>11237.19</v>
      </c>
      <c r="P848">
        <v>0</v>
      </c>
      <c r="Q848">
        <v>29</v>
      </c>
      <c r="R848">
        <v>6938.3580000000002</v>
      </c>
      <c r="S848">
        <v>38620.358</v>
      </c>
      <c r="T848">
        <v>-20444.809999999998</v>
      </c>
      <c r="U848">
        <v>0</v>
      </c>
      <c r="V848" s="2" t="s">
        <v>2059</v>
      </c>
      <c r="W848" s="2" t="s">
        <v>2060</v>
      </c>
      <c r="X848">
        <v>19273.217400000001</v>
      </c>
      <c r="Y848">
        <v>-0.64531311154598814</v>
      </c>
      <c r="Z848" s="2" t="s">
        <v>2061</v>
      </c>
    </row>
    <row r="849" spans="1:26" x14ac:dyDescent="0.3">
      <c r="A849" s="2" t="s">
        <v>1740</v>
      </c>
      <c r="B849" s="1">
        <v>45084</v>
      </c>
      <c r="C849" s="2" t="s">
        <v>1741</v>
      </c>
      <c r="D849" s="2" t="s">
        <v>50</v>
      </c>
      <c r="E849">
        <v>19880</v>
      </c>
      <c r="F849">
        <v>5.8</v>
      </c>
      <c r="G849">
        <v>60</v>
      </c>
      <c r="H849" s="2" t="s">
        <v>26</v>
      </c>
      <c r="I849" s="2" t="s">
        <v>27</v>
      </c>
      <c r="J849" s="2" t="s">
        <v>47</v>
      </c>
      <c r="K849">
        <v>40703</v>
      </c>
      <c r="L849" s="2" t="s">
        <v>29</v>
      </c>
      <c r="M849">
        <v>0.34</v>
      </c>
      <c r="N849">
        <v>0.69</v>
      </c>
      <c r="O849">
        <v>5252.13</v>
      </c>
      <c r="P849">
        <v>0</v>
      </c>
      <c r="Q849">
        <v>33</v>
      </c>
      <c r="R849">
        <v>5765.2</v>
      </c>
      <c r="S849">
        <v>25645.200000000001</v>
      </c>
      <c r="T849">
        <v>-14627.869999999999</v>
      </c>
      <c r="U849">
        <v>0</v>
      </c>
      <c r="V849" s="2" t="s">
        <v>2059</v>
      </c>
      <c r="W849" s="2" t="s">
        <v>2060</v>
      </c>
      <c r="X849">
        <v>9608.6666999999998</v>
      </c>
      <c r="Y849">
        <v>-0.73580835010060353</v>
      </c>
      <c r="Z849" s="2" t="s">
        <v>2061</v>
      </c>
    </row>
    <row r="850" spans="1:26" x14ac:dyDescent="0.3">
      <c r="A850" s="2" t="s">
        <v>1742</v>
      </c>
      <c r="B850" s="1">
        <v>44323</v>
      </c>
      <c r="C850" s="2" t="s">
        <v>1743</v>
      </c>
      <c r="D850" s="2" t="s">
        <v>18</v>
      </c>
      <c r="E850">
        <v>39067</v>
      </c>
      <c r="F850">
        <v>16.3</v>
      </c>
      <c r="G850">
        <v>36</v>
      </c>
      <c r="H850" s="2" t="s">
        <v>19</v>
      </c>
      <c r="I850" s="2" t="s">
        <v>73</v>
      </c>
      <c r="J850" s="2" t="s">
        <v>32</v>
      </c>
      <c r="K850">
        <v>143776</v>
      </c>
      <c r="L850" s="2" t="s">
        <v>29</v>
      </c>
      <c r="M850">
        <v>0.22</v>
      </c>
      <c r="N850">
        <v>0.51</v>
      </c>
      <c r="O850">
        <v>45434.92</v>
      </c>
      <c r="P850">
        <v>0</v>
      </c>
      <c r="Q850">
        <v>58</v>
      </c>
      <c r="R850">
        <v>19103.762999999999</v>
      </c>
      <c r="S850">
        <v>58170.762999999999</v>
      </c>
      <c r="T850">
        <v>6367.9199999999983</v>
      </c>
      <c r="U850">
        <v>0</v>
      </c>
      <c r="V850" s="2" t="s">
        <v>2056</v>
      </c>
      <c r="W850" s="2" t="s">
        <v>2064</v>
      </c>
      <c r="X850">
        <v>53066.008300000001</v>
      </c>
      <c r="Y850">
        <v>0.16299997440294872</v>
      </c>
      <c r="Z850" s="2" t="s">
        <v>2061</v>
      </c>
    </row>
    <row r="851" spans="1:26" x14ac:dyDescent="0.3">
      <c r="A851" s="2" t="s">
        <v>1744</v>
      </c>
      <c r="B851" s="1">
        <v>45205</v>
      </c>
      <c r="C851" s="2" t="s">
        <v>1745</v>
      </c>
      <c r="D851" s="2" t="s">
        <v>46</v>
      </c>
      <c r="E851">
        <v>19073</v>
      </c>
      <c r="F851">
        <v>23.6</v>
      </c>
      <c r="G851">
        <v>36</v>
      </c>
      <c r="H851" s="2" t="s">
        <v>81</v>
      </c>
      <c r="I851" s="2" t="s">
        <v>27</v>
      </c>
      <c r="J851" s="2" t="s">
        <v>21</v>
      </c>
      <c r="K851">
        <v>79422</v>
      </c>
      <c r="L851" s="2" t="s">
        <v>29</v>
      </c>
      <c r="M851">
        <v>0.23</v>
      </c>
      <c r="N851">
        <v>0.93</v>
      </c>
      <c r="O851">
        <v>7593.57</v>
      </c>
      <c r="P851">
        <v>6148.31</v>
      </c>
      <c r="Q851">
        <v>29</v>
      </c>
      <c r="R851">
        <v>13503.684000000001</v>
      </c>
      <c r="S851">
        <v>32576.684000000001</v>
      </c>
      <c r="T851">
        <v>-5331.119999999999</v>
      </c>
      <c r="U851">
        <v>1</v>
      </c>
      <c r="V851" s="2" t="s">
        <v>2063</v>
      </c>
      <c r="W851" s="2" t="s">
        <v>2060</v>
      </c>
      <c r="X851">
        <v>37510.2333</v>
      </c>
      <c r="Y851">
        <v>-0.27951135112462638</v>
      </c>
      <c r="Z851" s="2" t="s">
        <v>2058</v>
      </c>
    </row>
    <row r="852" spans="1:26" x14ac:dyDescent="0.3">
      <c r="A852" s="2" t="s">
        <v>1746</v>
      </c>
      <c r="B852" s="1">
        <v>44800</v>
      </c>
      <c r="C852" s="2" t="s">
        <v>1747</v>
      </c>
      <c r="D852" s="2" t="s">
        <v>65</v>
      </c>
      <c r="E852">
        <v>37035</v>
      </c>
      <c r="F852">
        <v>21.9</v>
      </c>
      <c r="G852">
        <v>60</v>
      </c>
      <c r="H852" s="2" t="s">
        <v>26</v>
      </c>
      <c r="I852" s="2" t="s">
        <v>36</v>
      </c>
      <c r="J852" s="2" t="s">
        <v>37</v>
      </c>
      <c r="K852">
        <v>113106</v>
      </c>
      <c r="L852" s="2" t="s">
        <v>33</v>
      </c>
      <c r="M852">
        <v>0.13</v>
      </c>
      <c r="N852">
        <v>0.59</v>
      </c>
      <c r="O852">
        <v>13999.45</v>
      </c>
      <c r="P852">
        <v>0</v>
      </c>
      <c r="Q852">
        <v>42</v>
      </c>
      <c r="R852">
        <v>40553.325000000004</v>
      </c>
      <c r="S852">
        <v>77588.325000000012</v>
      </c>
      <c r="T852">
        <v>-23035.55</v>
      </c>
      <c r="U852">
        <v>0</v>
      </c>
      <c r="V852" s="2" t="s">
        <v>2059</v>
      </c>
      <c r="W852" s="2" t="s">
        <v>2062</v>
      </c>
      <c r="X852">
        <v>67588.875</v>
      </c>
      <c r="Y852">
        <v>-0.62199405967328203</v>
      </c>
      <c r="Z852" s="2" t="s">
        <v>2061</v>
      </c>
    </row>
    <row r="853" spans="1:26" x14ac:dyDescent="0.3">
      <c r="A853" s="2" t="s">
        <v>1748</v>
      </c>
      <c r="B853" s="1">
        <v>45210</v>
      </c>
      <c r="C853" s="2" t="s">
        <v>1749</v>
      </c>
      <c r="D853" s="2" t="s">
        <v>18</v>
      </c>
      <c r="E853">
        <v>38174</v>
      </c>
      <c r="F853">
        <v>18.5</v>
      </c>
      <c r="G853">
        <v>36</v>
      </c>
      <c r="H853" s="2" t="s">
        <v>81</v>
      </c>
      <c r="I853" s="2" t="s">
        <v>20</v>
      </c>
      <c r="J853" s="2" t="s">
        <v>32</v>
      </c>
      <c r="K853">
        <v>91899</v>
      </c>
      <c r="L853" s="2" t="s">
        <v>22</v>
      </c>
      <c r="M853">
        <v>0.24</v>
      </c>
      <c r="N853">
        <v>0.86</v>
      </c>
      <c r="O853">
        <v>14725.52</v>
      </c>
      <c r="P853">
        <v>11118.32</v>
      </c>
      <c r="Q853">
        <v>29</v>
      </c>
      <c r="R853">
        <v>21186.57</v>
      </c>
      <c r="S853">
        <v>59360.57</v>
      </c>
      <c r="T853">
        <v>-12330.16</v>
      </c>
      <c r="U853">
        <v>1</v>
      </c>
      <c r="V853" s="2" t="s">
        <v>2063</v>
      </c>
      <c r="W853" s="2" t="s">
        <v>2057</v>
      </c>
      <c r="X853">
        <v>58851.583299999998</v>
      </c>
      <c r="Y853">
        <v>-0.3229988997747158</v>
      </c>
      <c r="Z853" s="2" t="s">
        <v>2058</v>
      </c>
    </row>
    <row r="854" spans="1:26" x14ac:dyDescent="0.3">
      <c r="A854" s="2" t="s">
        <v>1750</v>
      </c>
      <c r="B854" s="1">
        <v>44247</v>
      </c>
      <c r="C854" s="2" t="s">
        <v>1751</v>
      </c>
      <c r="D854" s="2" t="s">
        <v>65</v>
      </c>
      <c r="E854">
        <v>25837</v>
      </c>
      <c r="F854">
        <v>7.8</v>
      </c>
      <c r="G854">
        <v>60</v>
      </c>
      <c r="H854" s="2" t="s">
        <v>26</v>
      </c>
      <c r="I854" s="2" t="s">
        <v>57</v>
      </c>
      <c r="J854" s="2" t="s">
        <v>47</v>
      </c>
      <c r="K854">
        <v>42392</v>
      </c>
      <c r="L854" s="2" t="s">
        <v>33</v>
      </c>
      <c r="M854">
        <v>0.44</v>
      </c>
      <c r="N854">
        <v>0.85</v>
      </c>
      <c r="O854">
        <v>10999.75</v>
      </c>
      <c r="P854">
        <v>0</v>
      </c>
      <c r="Q854">
        <v>60</v>
      </c>
      <c r="R854">
        <v>10076.43</v>
      </c>
      <c r="S854">
        <v>35913.43</v>
      </c>
      <c r="T854">
        <v>-14837.25</v>
      </c>
      <c r="U854">
        <v>0</v>
      </c>
      <c r="V854" s="2" t="s">
        <v>2059</v>
      </c>
      <c r="W854" s="2" t="s">
        <v>2057</v>
      </c>
      <c r="X854">
        <v>16794.05</v>
      </c>
      <c r="Y854">
        <v>-0.57426365290087855</v>
      </c>
      <c r="Z854" s="2" t="s">
        <v>2058</v>
      </c>
    </row>
    <row r="855" spans="1:26" x14ac:dyDescent="0.3">
      <c r="A855" s="2" t="s">
        <v>1752</v>
      </c>
      <c r="B855" s="1">
        <v>45249</v>
      </c>
      <c r="C855" s="2" t="s">
        <v>1753</v>
      </c>
      <c r="D855" s="2" t="s">
        <v>18</v>
      </c>
      <c r="E855">
        <v>18826</v>
      </c>
      <c r="F855">
        <v>10.1</v>
      </c>
      <c r="G855">
        <v>36</v>
      </c>
      <c r="H855" s="2" t="s">
        <v>26</v>
      </c>
      <c r="I855" s="2" t="s">
        <v>73</v>
      </c>
      <c r="J855" s="2" t="s">
        <v>47</v>
      </c>
      <c r="K855">
        <v>74724</v>
      </c>
      <c r="L855" s="2" t="s">
        <v>22</v>
      </c>
      <c r="M855">
        <v>0.19</v>
      </c>
      <c r="N855">
        <v>0.6</v>
      </c>
      <c r="O855">
        <v>8590.41</v>
      </c>
      <c r="P855">
        <v>0</v>
      </c>
      <c r="Q855">
        <v>28</v>
      </c>
      <c r="R855">
        <v>5704.2780000000012</v>
      </c>
      <c r="S855">
        <v>24530.278000000002</v>
      </c>
      <c r="T855">
        <v>-10235.59</v>
      </c>
      <c r="U855">
        <v>0</v>
      </c>
      <c r="V855" s="2" t="s">
        <v>2059</v>
      </c>
      <c r="W855" s="2" t="s">
        <v>2064</v>
      </c>
      <c r="X855">
        <v>15845.216700000001</v>
      </c>
      <c r="Y855">
        <v>-0.54369435886539896</v>
      </c>
      <c r="Z855" s="2" t="s">
        <v>2061</v>
      </c>
    </row>
    <row r="856" spans="1:26" x14ac:dyDescent="0.3">
      <c r="A856" s="2" t="s">
        <v>1754</v>
      </c>
      <c r="B856" s="1">
        <v>44975</v>
      </c>
      <c r="C856" s="2" t="s">
        <v>1755</v>
      </c>
      <c r="D856" s="2" t="s">
        <v>46</v>
      </c>
      <c r="E856">
        <v>25981</v>
      </c>
      <c r="F856">
        <v>22.5</v>
      </c>
      <c r="G856">
        <v>60</v>
      </c>
      <c r="H856" s="2" t="s">
        <v>26</v>
      </c>
      <c r="I856" s="2" t="s">
        <v>41</v>
      </c>
      <c r="J856" s="2" t="s">
        <v>28</v>
      </c>
      <c r="K856">
        <v>62299</v>
      </c>
      <c r="L856" s="2" t="s">
        <v>29</v>
      </c>
      <c r="M856">
        <v>0.38</v>
      </c>
      <c r="N856">
        <v>0.78</v>
      </c>
      <c r="O856">
        <v>10820.79</v>
      </c>
      <c r="P856">
        <v>0</v>
      </c>
      <c r="Q856">
        <v>37</v>
      </c>
      <c r="R856">
        <v>29228.625</v>
      </c>
      <c r="S856">
        <v>55209.625</v>
      </c>
      <c r="T856">
        <v>-15160.21</v>
      </c>
      <c r="U856">
        <v>0</v>
      </c>
      <c r="V856" s="2" t="s">
        <v>2059</v>
      </c>
      <c r="W856" s="2" t="s">
        <v>2062</v>
      </c>
      <c r="X856">
        <v>48714.375</v>
      </c>
      <c r="Y856">
        <v>-0.58351141218582803</v>
      </c>
      <c r="Z856" s="2" t="s">
        <v>2061</v>
      </c>
    </row>
    <row r="857" spans="1:26" x14ac:dyDescent="0.3">
      <c r="A857" s="2" t="s">
        <v>1756</v>
      </c>
      <c r="B857" s="1">
        <v>45010</v>
      </c>
      <c r="C857" s="2" t="s">
        <v>1757</v>
      </c>
      <c r="D857" s="2" t="s">
        <v>53</v>
      </c>
      <c r="E857">
        <v>11382</v>
      </c>
      <c r="F857">
        <v>8.6999999999999993</v>
      </c>
      <c r="G857">
        <v>36</v>
      </c>
      <c r="H857" s="2" t="s">
        <v>19</v>
      </c>
      <c r="I857" s="2" t="s">
        <v>20</v>
      </c>
      <c r="J857" s="2" t="s">
        <v>21</v>
      </c>
      <c r="K857">
        <v>45641</v>
      </c>
      <c r="L857" s="2" t="s">
        <v>22</v>
      </c>
      <c r="M857">
        <v>0.35</v>
      </c>
      <c r="N857">
        <v>0.52</v>
      </c>
      <c r="O857">
        <v>12372.23</v>
      </c>
      <c r="P857">
        <v>0</v>
      </c>
      <c r="Q857">
        <v>35</v>
      </c>
      <c r="R857">
        <v>2970.7019999999998</v>
      </c>
      <c r="S857">
        <v>14352.701999999999</v>
      </c>
      <c r="T857">
        <v>990.22999999999956</v>
      </c>
      <c r="U857">
        <v>0</v>
      </c>
      <c r="V857" s="2" t="s">
        <v>2056</v>
      </c>
      <c r="W857" s="2" t="s">
        <v>2057</v>
      </c>
      <c r="X857">
        <v>8251.9500000000007</v>
      </c>
      <c r="Y857">
        <v>8.6999648567914215E-2</v>
      </c>
      <c r="Z857" s="2" t="s">
        <v>2061</v>
      </c>
    </row>
    <row r="858" spans="1:26" x14ac:dyDescent="0.3">
      <c r="A858" s="2" t="s">
        <v>1758</v>
      </c>
      <c r="B858" s="1">
        <v>44616</v>
      </c>
      <c r="C858" s="2" t="s">
        <v>1759</v>
      </c>
      <c r="D858" s="2" t="s">
        <v>50</v>
      </c>
      <c r="E858">
        <v>5437</v>
      </c>
      <c r="F858">
        <v>10.6</v>
      </c>
      <c r="G858">
        <v>36</v>
      </c>
      <c r="H858" s="2" t="s">
        <v>19</v>
      </c>
      <c r="I858" s="2" t="s">
        <v>20</v>
      </c>
      <c r="J858" s="2" t="s">
        <v>37</v>
      </c>
      <c r="K858">
        <v>109534</v>
      </c>
      <c r="L858" s="2" t="s">
        <v>29</v>
      </c>
      <c r="M858">
        <v>0.45</v>
      </c>
      <c r="N858">
        <v>0.72</v>
      </c>
      <c r="O858">
        <v>6013.32</v>
      </c>
      <c r="P858">
        <v>0</v>
      </c>
      <c r="Q858">
        <v>48</v>
      </c>
      <c r="R858">
        <v>1728.9660000000001</v>
      </c>
      <c r="S858">
        <v>7165.9660000000003</v>
      </c>
      <c r="T858">
        <v>576.31999999999971</v>
      </c>
      <c r="U858">
        <v>0</v>
      </c>
      <c r="V858" s="2" t="s">
        <v>2056</v>
      </c>
      <c r="W858" s="2" t="s">
        <v>2057</v>
      </c>
      <c r="X858">
        <v>4802.6832999999997</v>
      </c>
      <c r="Y858">
        <v>0.10599963215008271</v>
      </c>
      <c r="Z858" s="2" t="s">
        <v>2058</v>
      </c>
    </row>
    <row r="859" spans="1:26" x14ac:dyDescent="0.3">
      <c r="A859" s="2" t="s">
        <v>1760</v>
      </c>
      <c r="B859" s="1">
        <v>45179</v>
      </c>
      <c r="C859" s="2" t="s">
        <v>1761</v>
      </c>
      <c r="D859" s="2" t="s">
        <v>40</v>
      </c>
      <c r="E859">
        <v>6435</v>
      </c>
      <c r="F859">
        <v>7.6</v>
      </c>
      <c r="G859">
        <v>60</v>
      </c>
      <c r="H859" s="2" t="s">
        <v>19</v>
      </c>
      <c r="I859" s="2" t="s">
        <v>20</v>
      </c>
      <c r="J859" s="2" t="s">
        <v>32</v>
      </c>
      <c r="K859">
        <v>36305</v>
      </c>
      <c r="L859" s="2" t="s">
        <v>33</v>
      </c>
      <c r="M859">
        <v>0.15</v>
      </c>
      <c r="N859">
        <v>0.51</v>
      </c>
      <c r="O859">
        <v>6924.06</v>
      </c>
      <c r="P859">
        <v>0</v>
      </c>
      <c r="Q859">
        <v>30</v>
      </c>
      <c r="R859">
        <v>2445.2999999999997</v>
      </c>
      <c r="S859">
        <v>8880.2999999999993</v>
      </c>
      <c r="T859">
        <v>489.0600000000004</v>
      </c>
      <c r="U859">
        <v>0</v>
      </c>
      <c r="V859" s="2" t="s">
        <v>2056</v>
      </c>
      <c r="W859" s="2" t="s">
        <v>2057</v>
      </c>
      <c r="X859">
        <v>4075.5</v>
      </c>
      <c r="Y859">
        <v>7.6000000000000068E-2</v>
      </c>
      <c r="Z859" s="2" t="s">
        <v>2061</v>
      </c>
    </row>
    <row r="860" spans="1:26" x14ac:dyDescent="0.3">
      <c r="A860" s="2" t="s">
        <v>1762</v>
      </c>
      <c r="B860" s="1">
        <v>45021</v>
      </c>
      <c r="C860" s="2" t="s">
        <v>1763</v>
      </c>
      <c r="D860" s="2" t="s">
        <v>72</v>
      </c>
      <c r="E860">
        <v>25819</v>
      </c>
      <c r="F860">
        <v>18.5</v>
      </c>
      <c r="G860">
        <v>36</v>
      </c>
      <c r="H860" s="2" t="s">
        <v>19</v>
      </c>
      <c r="I860" s="2" t="s">
        <v>20</v>
      </c>
      <c r="J860" s="2" t="s">
        <v>47</v>
      </c>
      <c r="K860">
        <v>128262</v>
      </c>
      <c r="L860" s="2" t="s">
        <v>22</v>
      </c>
      <c r="M860">
        <v>0.49</v>
      </c>
      <c r="N860">
        <v>0.91</v>
      </c>
      <c r="O860">
        <v>30595.52</v>
      </c>
      <c r="P860">
        <v>0</v>
      </c>
      <c r="Q860">
        <v>35</v>
      </c>
      <c r="R860">
        <v>14329.545</v>
      </c>
      <c r="S860">
        <v>40148.544999999998</v>
      </c>
      <c r="T860">
        <v>4776.5200000000004</v>
      </c>
      <c r="U860">
        <v>0</v>
      </c>
      <c r="V860" s="2" t="s">
        <v>2056</v>
      </c>
      <c r="W860" s="2" t="s">
        <v>2057</v>
      </c>
      <c r="X860">
        <v>39804.291700000002</v>
      </c>
      <c r="Y860">
        <v>0.18500019365583487</v>
      </c>
      <c r="Z860" s="2" t="s">
        <v>2058</v>
      </c>
    </row>
    <row r="861" spans="1:26" x14ac:dyDescent="0.3">
      <c r="A861" s="2" t="s">
        <v>1764</v>
      </c>
      <c r="B861" s="1">
        <v>45221</v>
      </c>
      <c r="C861" s="2" t="s">
        <v>1765</v>
      </c>
      <c r="D861" s="2" t="s">
        <v>72</v>
      </c>
      <c r="E861">
        <v>37875</v>
      </c>
      <c r="F861">
        <v>23.9</v>
      </c>
      <c r="G861">
        <v>36</v>
      </c>
      <c r="H861" s="2" t="s">
        <v>26</v>
      </c>
      <c r="I861" s="2" t="s">
        <v>36</v>
      </c>
      <c r="J861" s="2" t="s">
        <v>32</v>
      </c>
      <c r="K861">
        <v>48782</v>
      </c>
      <c r="L861" s="2" t="s">
        <v>33</v>
      </c>
      <c r="M861">
        <v>0.33</v>
      </c>
      <c r="N861">
        <v>0.94</v>
      </c>
      <c r="O861">
        <v>9719.5400000000009</v>
      </c>
      <c r="P861">
        <v>0</v>
      </c>
      <c r="Q861">
        <v>28</v>
      </c>
      <c r="R861">
        <v>27156.375</v>
      </c>
      <c r="S861">
        <v>65031.375</v>
      </c>
      <c r="T861">
        <v>-28155.46</v>
      </c>
      <c r="U861">
        <v>0</v>
      </c>
      <c r="V861" s="2" t="s">
        <v>2059</v>
      </c>
      <c r="W861" s="2" t="s">
        <v>2062</v>
      </c>
      <c r="X861">
        <v>75434.375</v>
      </c>
      <c r="Y861">
        <v>-0.74337848184818478</v>
      </c>
      <c r="Z861" s="2" t="s">
        <v>2058</v>
      </c>
    </row>
    <row r="862" spans="1:26" x14ac:dyDescent="0.3">
      <c r="A862" s="2" t="s">
        <v>1766</v>
      </c>
      <c r="B862" s="1">
        <v>44763</v>
      </c>
      <c r="C862" s="2" t="s">
        <v>1767</v>
      </c>
      <c r="D862" s="2" t="s">
        <v>50</v>
      </c>
      <c r="E862">
        <v>32982</v>
      </c>
      <c r="F862">
        <v>10.4</v>
      </c>
      <c r="G862">
        <v>36</v>
      </c>
      <c r="H862" s="2" t="s">
        <v>26</v>
      </c>
      <c r="I862" s="2" t="s">
        <v>27</v>
      </c>
      <c r="J862" s="2" t="s">
        <v>37</v>
      </c>
      <c r="K862">
        <v>108257</v>
      </c>
      <c r="L862" s="2" t="s">
        <v>29</v>
      </c>
      <c r="M862">
        <v>0.5</v>
      </c>
      <c r="N862">
        <v>0.6</v>
      </c>
      <c r="O862">
        <v>5386.12</v>
      </c>
      <c r="P862">
        <v>0</v>
      </c>
      <c r="Q862">
        <v>43</v>
      </c>
      <c r="R862">
        <v>10290.384</v>
      </c>
      <c r="S862">
        <v>43272.383999999998</v>
      </c>
      <c r="T862">
        <v>-27595.88</v>
      </c>
      <c r="U862">
        <v>0</v>
      </c>
      <c r="V862" s="2" t="s">
        <v>2059</v>
      </c>
      <c r="W862" s="2" t="s">
        <v>2060</v>
      </c>
      <c r="X862">
        <v>28584.400000000001</v>
      </c>
      <c r="Y862">
        <v>-0.83669516706082103</v>
      </c>
      <c r="Z862" s="2" t="s">
        <v>2058</v>
      </c>
    </row>
    <row r="863" spans="1:26" x14ac:dyDescent="0.3">
      <c r="A863" s="2" t="s">
        <v>1768</v>
      </c>
      <c r="B863" s="1">
        <v>44567</v>
      </c>
      <c r="C863" s="2" t="s">
        <v>1769</v>
      </c>
      <c r="D863" s="2" t="s">
        <v>18</v>
      </c>
      <c r="E863">
        <v>34328</v>
      </c>
      <c r="F863">
        <v>14.5</v>
      </c>
      <c r="G863">
        <v>36</v>
      </c>
      <c r="H863" s="2" t="s">
        <v>81</v>
      </c>
      <c r="I863" s="2" t="s">
        <v>27</v>
      </c>
      <c r="J863" s="2" t="s">
        <v>32</v>
      </c>
      <c r="K863">
        <v>135299</v>
      </c>
      <c r="L863" s="2" t="s">
        <v>33</v>
      </c>
      <c r="M863">
        <v>0.46</v>
      </c>
      <c r="N863">
        <v>0.59</v>
      </c>
      <c r="O863">
        <v>7246.51</v>
      </c>
      <c r="P863">
        <v>14471.77</v>
      </c>
      <c r="Q863">
        <v>50</v>
      </c>
      <c r="R863">
        <v>14932.68</v>
      </c>
      <c r="S863">
        <v>49260.68</v>
      </c>
      <c r="T863">
        <v>-12609.720000000001</v>
      </c>
      <c r="U863">
        <v>1</v>
      </c>
      <c r="V863" s="2" t="s">
        <v>2063</v>
      </c>
      <c r="W863" s="2" t="s">
        <v>2060</v>
      </c>
      <c r="X863">
        <v>41479.666700000002</v>
      </c>
      <c r="Y863">
        <v>-0.36733045910044282</v>
      </c>
      <c r="Z863" s="2" t="s">
        <v>2058</v>
      </c>
    </row>
    <row r="864" spans="1:26" x14ac:dyDescent="0.3">
      <c r="A864" s="2" t="s">
        <v>1770</v>
      </c>
      <c r="B864" s="1">
        <v>45132</v>
      </c>
      <c r="C864" s="2" t="s">
        <v>1771</v>
      </c>
      <c r="D864" s="2" t="s">
        <v>40</v>
      </c>
      <c r="E864">
        <v>13329</v>
      </c>
      <c r="F864">
        <v>17.7</v>
      </c>
      <c r="G864">
        <v>36</v>
      </c>
      <c r="H864" s="2" t="s">
        <v>19</v>
      </c>
      <c r="I864" s="2" t="s">
        <v>73</v>
      </c>
      <c r="J864" s="2" t="s">
        <v>21</v>
      </c>
      <c r="K864">
        <v>107963</v>
      </c>
      <c r="L864" s="2" t="s">
        <v>29</v>
      </c>
      <c r="M864">
        <v>0.19</v>
      </c>
      <c r="N864">
        <v>0.84</v>
      </c>
      <c r="O864">
        <v>15688.23</v>
      </c>
      <c r="P864">
        <v>0</v>
      </c>
      <c r="Q864">
        <v>31</v>
      </c>
      <c r="R864">
        <v>7077.6989999999996</v>
      </c>
      <c r="S864">
        <v>20406.699000000001</v>
      </c>
      <c r="T864">
        <v>2359.2299999999996</v>
      </c>
      <c r="U864">
        <v>0</v>
      </c>
      <c r="V864" s="2" t="s">
        <v>2056</v>
      </c>
      <c r="W864" s="2" t="s">
        <v>2064</v>
      </c>
      <c r="X864">
        <v>19660.275000000001</v>
      </c>
      <c r="Y864">
        <v>0.17699977492685121</v>
      </c>
      <c r="Z864" s="2" t="s">
        <v>2058</v>
      </c>
    </row>
    <row r="865" spans="1:26" x14ac:dyDescent="0.3">
      <c r="A865" s="2" t="s">
        <v>1772</v>
      </c>
      <c r="B865" s="1">
        <v>44857</v>
      </c>
      <c r="C865" s="2" t="s">
        <v>1773</v>
      </c>
      <c r="D865" s="2" t="s">
        <v>46</v>
      </c>
      <c r="E865">
        <v>26169</v>
      </c>
      <c r="F865">
        <v>25</v>
      </c>
      <c r="G865">
        <v>36</v>
      </c>
      <c r="H865" s="2" t="s">
        <v>19</v>
      </c>
      <c r="I865" s="2" t="s">
        <v>84</v>
      </c>
      <c r="J865" s="2" t="s">
        <v>28</v>
      </c>
      <c r="K865">
        <v>142086</v>
      </c>
      <c r="L865" s="2" t="s">
        <v>29</v>
      </c>
      <c r="M865">
        <v>0.12</v>
      </c>
      <c r="N865">
        <v>0.61</v>
      </c>
      <c r="O865">
        <v>32711.25</v>
      </c>
      <c r="P865">
        <v>0</v>
      </c>
      <c r="Q865">
        <v>40</v>
      </c>
      <c r="R865">
        <v>19626.75</v>
      </c>
      <c r="S865">
        <v>45795.75</v>
      </c>
      <c r="T865">
        <v>6542.25</v>
      </c>
      <c r="U865">
        <v>0</v>
      </c>
      <c r="V865" s="2" t="s">
        <v>2056</v>
      </c>
      <c r="W865" s="2" t="s">
        <v>2062</v>
      </c>
      <c r="X865">
        <v>54518.75</v>
      </c>
      <c r="Y865">
        <v>0.25</v>
      </c>
      <c r="Z865" s="2" t="s">
        <v>2061</v>
      </c>
    </row>
    <row r="866" spans="1:26" x14ac:dyDescent="0.3">
      <c r="A866" s="2" t="s">
        <v>1774</v>
      </c>
      <c r="B866" s="1">
        <v>45165</v>
      </c>
      <c r="C866" s="2" t="s">
        <v>1775</v>
      </c>
      <c r="D866" s="2" t="s">
        <v>56</v>
      </c>
      <c r="E866">
        <v>22932</v>
      </c>
      <c r="F866">
        <v>7.1</v>
      </c>
      <c r="G866">
        <v>60</v>
      </c>
      <c r="H866" s="2" t="s">
        <v>19</v>
      </c>
      <c r="I866" s="2" t="s">
        <v>20</v>
      </c>
      <c r="J866" s="2" t="s">
        <v>32</v>
      </c>
      <c r="K866">
        <v>50566</v>
      </c>
      <c r="L866" s="2" t="s">
        <v>29</v>
      </c>
      <c r="M866">
        <v>0.2</v>
      </c>
      <c r="N866">
        <v>0.9</v>
      </c>
      <c r="O866">
        <v>24560.17</v>
      </c>
      <c r="P866">
        <v>0</v>
      </c>
      <c r="Q866">
        <v>30</v>
      </c>
      <c r="R866">
        <v>8140.86</v>
      </c>
      <c r="S866">
        <v>31072.86</v>
      </c>
      <c r="T866">
        <v>1628.1699999999983</v>
      </c>
      <c r="U866">
        <v>0</v>
      </c>
      <c r="V866" s="2" t="s">
        <v>2056</v>
      </c>
      <c r="W866" s="2" t="s">
        <v>2057</v>
      </c>
      <c r="X866">
        <v>13568.1</v>
      </c>
      <c r="Y866">
        <v>7.0999912785626992E-2</v>
      </c>
      <c r="Z866" s="2" t="s">
        <v>2058</v>
      </c>
    </row>
    <row r="867" spans="1:26" x14ac:dyDescent="0.3">
      <c r="A867" s="2" t="s">
        <v>1776</v>
      </c>
      <c r="B867" s="1">
        <v>44398</v>
      </c>
      <c r="C867" s="2" t="s">
        <v>1777</v>
      </c>
      <c r="D867" s="2" t="s">
        <v>18</v>
      </c>
      <c r="E867">
        <v>35594</v>
      </c>
      <c r="F867">
        <v>15</v>
      </c>
      <c r="G867">
        <v>60</v>
      </c>
      <c r="H867" s="2" t="s">
        <v>19</v>
      </c>
      <c r="I867" s="2" t="s">
        <v>57</v>
      </c>
      <c r="J867" s="2" t="s">
        <v>28</v>
      </c>
      <c r="K867">
        <v>97766</v>
      </c>
      <c r="L867" s="2" t="s">
        <v>33</v>
      </c>
      <c r="M867">
        <v>0.31</v>
      </c>
      <c r="N867">
        <v>0.76</v>
      </c>
      <c r="O867">
        <v>40933.1</v>
      </c>
      <c r="P867">
        <v>0</v>
      </c>
      <c r="Q867">
        <v>55</v>
      </c>
      <c r="R867">
        <v>26695.5</v>
      </c>
      <c r="S867">
        <v>62289.5</v>
      </c>
      <c r="T867">
        <v>5339.0999999999985</v>
      </c>
      <c r="U867">
        <v>0</v>
      </c>
      <c r="V867" s="2" t="s">
        <v>2056</v>
      </c>
      <c r="W867" s="2" t="s">
        <v>2057</v>
      </c>
      <c r="X867">
        <v>44492.5</v>
      </c>
      <c r="Y867">
        <v>0.14999999999999997</v>
      </c>
      <c r="Z867" s="2" t="s">
        <v>2061</v>
      </c>
    </row>
    <row r="868" spans="1:26" x14ac:dyDescent="0.3">
      <c r="A868" s="2" t="s">
        <v>1778</v>
      </c>
      <c r="B868" s="1">
        <v>44509</v>
      </c>
      <c r="C868" s="2" t="s">
        <v>1779</v>
      </c>
      <c r="D868" s="2" t="s">
        <v>53</v>
      </c>
      <c r="E868">
        <v>12421</v>
      </c>
      <c r="F868">
        <v>12.7</v>
      </c>
      <c r="G868">
        <v>60</v>
      </c>
      <c r="H868" s="2" t="s">
        <v>19</v>
      </c>
      <c r="I868" s="2" t="s">
        <v>73</v>
      </c>
      <c r="J868" s="2" t="s">
        <v>37</v>
      </c>
      <c r="K868">
        <v>36511</v>
      </c>
      <c r="L868" s="2" t="s">
        <v>33</v>
      </c>
      <c r="M868">
        <v>0.17</v>
      </c>
      <c r="N868">
        <v>0.66</v>
      </c>
      <c r="O868">
        <v>13998.47</v>
      </c>
      <c r="P868">
        <v>0</v>
      </c>
      <c r="Q868">
        <v>52</v>
      </c>
      <c r="R868">
        <v>7887.3349999999991</v>
      </c>
      <c r="S868">
        <v>20308.334999999999</v>
      </c>
      <c r="T868">
        <v>1577.4699999999993</v>
      </c>
      <c r="U868">
        <v>0</v>
      </c>
      <c r="V868" s="2" t="s">
        <v>2056</v>
      </c>
      <c r="W868" s="2" t="s">
        <v>2064</v>
      </c>
      <c r="X868">
        <v>13145.558300000001</v>
      </c>
      <c r="Y868">
        <v>0.12700024152644709</v>
      </c>
      <c r="Z868" s="2" t="s">
        <v>2061</v>
      </c>
    </row>
    <row r="869" spans="1:26" x14ac:dyDescent="0.3">
      <c r="A869" s="2" t="s">
        <v>1780</v>
      </c>
      <c r="B869" s="1">
        <v>44313</v>
      </c>
      <c r="C869" s="2" t="s">
        <v>1781</v>
      </c>
      <c r="D869" s="2" t="s">
        <v>65</v>
      </c>
      <c r="E869">
        <v>8629</v>
      </c>
      <c r="F869">
        <v>22.3</v>
      </c>
      <c r="G869">
        <v>36</v>
      </c>
      <c r="H869" s="2" t="s">
        <v>26</v>
      </c>
      <c r="I869" s="2" t="s">
        <v>20</v>
      </c>
      <c r="J869" s="2" t="s">
        <v>28</v>
      </c>
      <c r="K869">
        <v>144816</v>
      </c>
      <c r="L869" s="2" t="s">
        <v>22</v>
      </c>
      <c r="M869">
        <v>0.17</v>
      </c>
      <c r="N869">
        <v>0.87</v>
      </c>
      <c r="O869">
        <v>510.03</v>
      </c>
      <c r="P869">
        <v>0</v>
      </c>
      <c r="Q869">
        <v>58</v>
      </c>
      <c r="R869">
        <v>5772.8010000000004</v>
      </c>
      <c r="S869">
        <v>14401.800999999999</v>
      </c>
      <c r="T869">
        <v>-8118.97</v>
      </c>
      <c r="U869">
        <v>0</v>
      </c>
      <c r="V869" s="2" t="s">
        <v>2059</v>
      </c>
      <c r="W869" s="2" t="s">
        <v>2057</v>
      </c>
      <c r="X869">
        <v>16035.558300000001</v>
      </c>
      <c r="Y869">
        <v>-0.94089349866728478</v>
      </c>
      <c r="Z869" s="2" t="s">
        <v>2058</v>
      </c>
    </row>
    <row r="870" spans="1:26" x14ac:dyDescent="0.3">
      <c r="A870" s="2" t="s">
        <v>1782</v>
      </c>
      <c r="B870" s="1">
        <v>45133</v>
      </c>
      <c r="C870" s="2" t="s">
        <v>1783</v>
      </c>
      <c r="D870" s="2" t="s">
        <v>76</v>
      </c>
      <c r="E870">
        <v>9325</v>
      </c>
      <c r="F870">
        <v>14.5</v>
      </c>
      <c r="G870">
        <v>60</v>
      </c>
      <c r="H870" s="2" t="s">
        <v>19</v>
      </c>
      <c r="I870" s="2" t="s">
        <v>57</v>
      </c>
      <c r="J870" s="2" t="s">
        <v>32</v>
      </c>
      <c r="K870">
        <v>137765</v>
      </c>
      <c r="L870" s="2" t="s">
        <v>22</v>
      </c>
      <c r="M870">
        <v>0.28999999999999998</v>
      </c>
      <c r="N870">
        <v>0.72</v>
      </c>
      <c r="O870">
        <v>10677.12</v>
      </c>
      <c r="P870">
        <v>0</v>
      </c>
      <c r="Q870">
        <v>31</v>
      </c>
      <c r="R870">
        <v>6760.625</v>
      </c>
      <c r="S870">
        <v>16085.625</v>
      </c>
      <c r="T870">
        <v>1352.1200000000008</v>
      </c>
      <c r="U870">
        <v>0</v>
      </c>
      <c r="V870" s="2" t="s">
        <v>2056</v>
      </c>
      <c r="W870" s="2" t="s">
        <v>2057</v>
      </c>
      <c r="X870">
        <v>11267.7083</v>
      </c>
      <c r="Y870">
        <v>0.1449994638069706</v>
      </c>
      <c r="Z870" s="2" t="s">
        <v>2061</v>
      </c>
    </row>
    <row r="871" spans="1:26" x14ac:dyDescent="0.3">
      <c r="A871" s="2" t="s">
        <v>1784</v>
      </c>
      <c r="B871" s="1">
        <v>44771</v>
      </c>
      <c r="C871" s="2" t="s">
        <v>1785</v>
      </c>
      <c r="D871" s="2" t="s">
        <v>18</v>
      </c>
      <c r="E871">
        <v>29495</v>
      </c>
      <c r="F871">
        <v>7.2</v>
      </c>
      <c r="G871">
        <v>36</v>
      </c>
      <c r="H871" s="2" t="s">
        <v>26</v>
      </c>
      <c r="I871" s="2" t="s">
        <v>57</v>
      </c>
      <c r="J871" s="2" t="s">
        <v>32</v>
      </c>
      <c r="K871">
        <v>148360</v>
      </c>
      <c r="L871" s="2" t="s">
        <v>33</v>
      </c>
      <c r="M871">
        <v>0.11</v>
      </c>
      <c r="N871">
        <v>0.91</v>
      </c>
      <c r="O871">
        <v>8429.58</v>
      </c>
      <c r="P871">
        <v>0</v>
      </c>
      <c r="Q871">
        <v>43</v>
      </c>
      <c r="R871">
        <v>6370.9199999999992</v>
      </c>
      <c r="S871">
        <v>35865.919999999998</v>
      </c>
      <c r="T871">
        <v>-21065.42</v>
      </c>
      <c r="U871">
        <v>0</v>
      </c>
      <c r="V871" s="2" t="s">
        <v>2059</v>
      </c>
      <c r="W871" s="2" t="s">
        <v>2057</v>
      </c>
      <c r="X871">
        <v>17697.000800000002</v>
      </c>
      <c r="Y871">
        <v>-0.71420308526868959</v>
      </c>
      <c r="Z871" s="2" t="s">
        <v>2058</v>
      </c>
    </row>
    <row r="872" spans="1:26" x14ac:dyDescent="0.3">
      <c r="A872" s="2" t="s">
        <v>1786</v>
      </c>
      <c r="B872" s="1">
        <v>44440</v>
      </c>
      <c r="C872" s="2" t="s">
        <v>1787</v>
      </c>
      <c r="D872" s="2" t="s">
        <v>76</v>
      </c>
      <c r="E872">
        <v>32750</v>
      </c>
      <c r="F872">
        <v>17.7</v>
      </c>
      <c r="G872">
        <v>36</v>
      </c>
      <c r="H872" s="2" t="s">
        <v>19</v>
      </c>
      <c r="I872" s="2" t="s">
        <v>20</v>
      </c>
      <c r="J872" s="2" t="s">
        <v>47</v>
      </c>
      <c r="K872">
        <v>56177</v>
      </c>
      <c r="L872" s="2" t="s">
        <v>33</v>
      </c>
      <c r="M872">
        <v>0.15</v>
      </c>
      <c r="N872">
        <v>0.92</v>
      </c>
      <c r="O872">
        <v>38546.75</v>
      </c>
      <c r="P872">
        <v>0</v>
      </c>
      <c r="Q872">
        <v>54</v>
      </c>
      <c r="R872">
        <v>17390.25</v>
      </c>
      <c r="S872">
        <v>50140.25</v>
      </c>
      <c r="T872">
        <v>5796.75</v>
      </c>
      <c r="U872">
        <v>0</v>
      </c>
      <c r="V872" s="2" t="s">
        <v>2056</v>
      </c>
      <c r="W872" s="2" t="s">
        <v>2057</v>
      </c>
      <c r="X872">
        <v>48306.25</v>
      </c>
      <c r="Y872">
        <v>0.17699999999999999</v>
      </c>
      <c r="Z872" s="2" t="s">
        <v>2058</v>
      </c>
    </row>
    <row r="873" spans="1:26" x14ac:dyDescent="0.3">
      <c r="A873" s="2" t="s">
        <v>1788</v>
      </c>
      <c r="B873" s="1">
        <v>44733</v>
      </c>
      <c r="C873" s="2" t="s">
        <v>1789</v>
      </c>
      <c r="D873" s="2" t="s">
        <v>18</v>
      </c>
      <c r="E873">
        <v>30619</v>
      </c>
      <c r="F873">
        <v>20.399999999999999</v>
      </c>
      <c r="G873">
        <v>36</v>
      </c>
      <c r="H873" s="2" t="s">
        <v>81</v>
      </c>
      <c r="I873" s="2" t="s">
        <v>20</v>
      </c>
      <c r="J873" s="2" t="s">
        <v>32</v>
      </c>
      <c r="K873">
        <v>34765</v>
      </c>
      <c r="L873" s="2" t="s">
        <v>33</v>
      </c>
      <c r="M873">
        <v>0.27</v>
      </c>
      <c r="N873">
        <v>0.56999999999999995</v>
      </c>
      <c r="O873">
        <v>7701.21</v>
      </c>
      <c r="P873">
        <v>8440.1</v>
      </c>
      <c r="Q873">
        <v>44</v>
      </c>
      <c r="R873">
        <v>18738.827999999998</v>
      </c>
      <c r="S873">
        <v>49357.827999999994</v>
      </c>
      <c r="T873">
        <v>-14477.689999999999</v>
      </c>
      <c r="U873">
        <v>1</v>
      </c>
      <c r="V873" s="2" t="s">
        <v>2063</v>
      </c>
      <c r="W873" s="2" t="s">
        <v>2057</v>
      </c>
      <c r="X873">
        <v>52052.3</v>
      </c>
      <c r="Y873">
        <v>-0.47283353473333545</v>
      </c>
      <c r="Z873" s="2" t="s">
        <v>2061</v>
      </c>
    </row>
    <row r="874" spans="1:26" x14ac:dyDescent="0.3">
      <c r="A874" s="2" t="s">
        <v>1790</v>
      </c>
      <c r="B874" s="1">
        <v>44271</v>
      </c>
      <c r="C874" s="2" t="s">
        <v>1791</v>
      </c>
      <c r="D874" s="2" t="s">
        <v>50</v>
      </c>
      <c r="E874">
        <v>9264</v>
      </c>
      <c r="F874">
        <v>5.0999999999999996</v>
      </c>
      <c r="G874">
        <v>36</v>
      </c>
      <c r="H874" s="2" t="s">
        <v>26</v>
      </c>
      <c r="I874" s="2" t="s">
        <v>27</v>
      </c>
      <c r="J874" s="2" t="s">
        <v>28</v>
      </c>
      <c r="K874">
        <v>50354</v>
      </c>
      <c r="L874" s="2" t="s">
        <v>33</v>
      </c>
      <c r="M874">
        <v>0.13</v>
      </c>
      <c r="N874">
        <v>0.5</v>
      </c>
      <c r="O874">
        <v>2652.86</v>
      </c>
      <c r="P874">
        <v>0</v>
      </c>
      <c r="Q874">
        <v>60</v>
      </c>
      <c r="R874">
        <v>1417.3919999999998</v>
      </c>
      <c r="S874">
        <v>10681.392</v>
      </c>
      <c r="T874">
        <v>-6611.1399999999994</v>
      </c>
      <c r="U874">
        <v>0</v>
      </c>
      <c r="V874" s="2" t="s">
        <v>2059</v>
      </c>
      <c r="W874" s="2" t="s">
        <v>2060</v>
      </c>
      <c r="X874">
        <v>3937.2114000000001</v>
      </c>
      <c r="Y874">
        <v>-0.71363773747841097</v>
      </c>
      <c r="Z874" s="2" t="s">
        <v>2061</v>
      </c>
    </row>
    <row r="875" spans="1:26" x14ac:dyDescent="0.3">
      <c r="A875" s="2" t="s">
        <v>1792</v>
      </c>
      <c r="B875" s="1">
        <v>44582</v>
      </c>
      <c r="C875" s="2" t="s">
        <v>1793</v>
      </c>
      <c r="D875" s="2" t="s">
        <v>76</v>
      </c>
      <c r="E875">
        <v>13686</v>
      </c>
      <c r="F875">
        <v>22.2</v>
      </c>
      <c r="G875">
        <v>60</v>
      </c>
      <c r="H875" s="2" t="s">
        <v>60</v>
      </c>
      <c r="I875" s="2" t="s">
        <v>20</v>
      </c>
      <c r="J875" s="2" t="s">
        <v>47</v>
      </c>
      <c r="K875">
        <v>53929</v>
      </c>
      <c r="L875" s="2" t="s">
        <v>29</v>
      </c>
      <c r="M875">
        <v>0.26</v>
      </c>
      <c r="N875">
        <v>0.94</v>
      </c>
      <c r="O875">
        <v>0</v>
      </c>
      <c r="P875">
        <v>0</v>
      </c>
      <c r="Q875">
        <v>49</v>
      </c>
      <c r="R875">
        <v>15191.46</v>
      </c>
      <c r="S875">
        <v>28877.46</v>
      </c>
      <c r="T875">
        <v>-13686</v>
      </c>
      <c r="U875">
        <v>0</v>
      </c>
      <c r="V875" s="2" t="s">
        <v>2063</v>
      </c>
      <c r="W875" s="2" t="s">
        <v>2057</v>
      </c>
      <c r="X875">
        <v>25319.1</v>
      </c>
      <c r="Y875">
        <v>-1</v>
      </c>
      <c r="Z875" s="2" t="s">
        <v>2058</v>
      </c>
    </row>
    <row r="876" spans="1:26" x14ac:dyDescent="0.3">
      <c r="A876" s="2" t="s">
        <v>1794</v>
      </c>
      <c r="B876" s="1">
        <v>44671</v>
      </c>
      <c r="C876" s="2" t="s">
        <v>1795</v>
      </c>
      <c r="D876" s="2" t="s">
        <v>18</v>
      </c>
      <c r="E876">
        <v>25226</v>
      </c>
      <c r="F876">
        <v>8.6999999999999993</v>
      </c>
      <c r="G876">
        <v>36</v>
      </c>
      <c r="H876" s="2" t="s">
        <v>81</v>
      </c>
      <c r="I876" s="2" t="s">
        <v>36</v>
      </c>
      <c r="J876" s="2" t="s">
        <v>32</v>
      </c>
      <c r="K876">
        <v>58820</v>
      </c>
      <c r="L876" s="2" t="s">
        <v>29</v>
      </c>
      <c r="M876">
        <v>0.28999999999999998</v>
      </c>
      <c r="N876">
        <v>0.91</v>
      </c>
      <c r="O876">
        <v>9893.8700000000008</v>
      </c>
      <c r="P876">
        <v>7297.15</v>
      </c>
      <c r="Q876">
        <v>46</v>
      </c>
      <c r="R876">
        <v>6583.9859999999999</v>
      </c>
      <c r="S876">
        <v>31809.986000000001</v>
      </c>
      <c r="T876">
        <v>-8034.98</v>
      </c>
      <c r="U876">
        <v>1</v>
      </c>
      <c r="V876" s="2" t="s">
        <v>2063</v>
      </c>
      <c r="W876" s="2" t="s">
        <v>2062</v>
      </c>
      <c r="X876">
        <v>18288.8501</v>
      </c>
      <c r="Y876">
        <v>-0.3185197811781495</v>
      </c>
      <c r="Z876" s="2" t="s">
        <v>2058</v>
      </c>
    </row>
    <row r="877" spans="1:26" x14ac:dyDescent="0.3">
      <c r="A877" s="2" t="s">
        <v>1796</v>
      </c>
      <c r="B877" s="1">
        <v>44614</v>
      </c>
      <c r="C877" s="2" t="s">
        <v>1797</v>
      </c>
      <c r="D877" s="2" t="s">
        <v>72</v>
      </c>
      <c r="E877">
        <v>7721</v>
      </c>
      <c r="F877">
        <v>16</v>
      </c>
      <c r="G877">
        <v>60</v>
      </c>
      <c r="H877" s="2" t="s">
        <v>81</v>
      </c>
      <c r="I877" s="2" t="s">
        <v>20</v>
      </c>
      <c r="J877" s="2" t="s">
        <v>32</v>
      </c>
      <c r="K877">
        <v>141576</v>
      </c>
      <c r="L877" s="2" t="s">
        <v>29</v>
      </c>
      <c r="M877">
        <v>0.28000000000000003</v>
      </c>
      <c r="N877">
        <v>0.52</v>
      </c>
      <c r="O877">
        <v>2883.3</v>
      </c>
      <c r="P877">
        <v>822.57</v>
      </c>
      <c r="Q877">
        <v>48</v>
      </c>
      <c r="R877">
        <v>6176.7999999999993</v>
      </c>
      <c r="S877">
        <v>13897.8</v>
      </c>
      <c r="T877">
        <v>-4015.1299999999997</v>
      </c>
      <c r="U877">
        <v>1</v>
      </c>
      <c r="V877" s="2" t="s">
        <v>2063</v>
      </c>
      <c r="W877" s="2" t="s">
        <v>2057</v>
      </c>
      <c r="X877">
        <v>10294.6667</v>
      </c>
      <c r="Y877">
        <v>-0.52002719854941071</v>
      </c>
      <c r="Z877" s="2" t="s">
        <v>2061</v>
      </c>
    </row>
    <row r="878" spans="1:26" x14ac:dyDescent="0.3">
      <c r="A878" s="2" t="s">
        <v>1798</v>
      </c>
      <c r="B878" s="1">
        <v>44543</v>
      </c>
      <c r="C878" s="2" t="s">
        <v>1799</v>
      </c>
      <c r="D878" s="2" t="s">
        <v>76</v>
      </c>
      <c r="E878">
        <v>21609</v>
      </c>
      <c r="F878">
        <v>13.3</v>
      </c>
      <c r="G878">
        <v>36</v>
      </c>
      <c r="H878" s="2" t="s">
        <v>81</v>
      </c>
      <c r="I878" s="2" t="s">
        <v>84</v>
      </c>
      <c r="J878" s="2" t="s">
        <v>37</v>
      </c>
      <c r="K878">
        <v>59523</v>
      </c>
      <c r="L878" s="2" t="s">
        <v>33</v>
      </c>
      <c r="M878">
        <v>0.45</v>
      </c>
      <c r="N878">
        <v>0.87</v>
      </c>
      <c r="O878">
        <v>3209.24</v>
      </c>
      <c r="P878">
        <v>5044.0600000000004</v>
      </c>
      <c r="Q878">
        <v>51</v>
      </c>
      <c r="R878">
        <v>8621.991</v>
      </c>
      <c r="S878">
        <v>30230.991000000002</v>
      </c>
      <c r="T878">
        <v>-13355.7</v>
      </c>
      <c r="U878">
        <v>1</v>
      </c>
      <c r="V878" s="2" t="s">
        <v>2063</v>
      </c>
      <c r="W878" s="2" t="s">
        <v>2062</v>
      </c>
      <c r="X878">
        <v>23949.974999999999</v>
      </c>
      <c r="Y878">
        <v>-0.61806191864500903</v>
      </c>
      <c r="Z878" s="2" t="s">
        <v>2058</v>
      </c>
    </row>
    <row r="879" spans="1:26" x14ac:dyDescent="0.3">
      <c r="A879" s="2" t="s">
        <v>1800</v>
      </c>
      <c r="B879" s="1">
        <v>44836</v>
      </c>
      <c r="C879" s="2" t="s">
        <v>1801</v>
      </c>
      <c r="D879" s="2" t="s">
        <v>18</v>
      </c>
      <c r="E879">
        <v>8373</v>
      </c>
      <c r="F879">
        <v>19.399999999999999</v>
      </c>
      <c r="G879">
        <v>60</v>
      </c>
      <c r="H879" s="2" t="s">
        <v>26</v>
      </c>
      <c r="I879" s="2" t="s">
        <v>36</v>
      </c>
      <c r="J879" s="2" t="s">
        <v>47</v>
      </c>
      <c r="K879">
        <v>101088</v>
      </c>
      <c r="L879" s="2" t="s">
        <v>29</v>
      </c>
      <c r="M879">
        <v>0.31</v>
      </c>
      <c r="N879">
        <v>0.71</v>
      </c>
      <c r="O879">
        <v>1808.54</v>
      </c>
      <c r="P879">
        <v>0</v>
      </c>
      <c r="Q879">
        <v>41</v>
      </c>
      <c r="R879">
        <v>8121.8099999999986</v>
      </c>
      <c r="S879">
        <v>16494.809999999998</v>
      </c>
      <c r="T879">
        <v>-6564.46</v>
      </c>
      <c r="U879">
        <v>0</v>
      </c>
      <c r="V879" s="2" t="s">
        <v>2059</v>
      </c>
      <c r="W879" s="2" t="s">
        <v>2062</v>
      </c>
      <c r="X879">
        <v>13536.35</v>
      </c>
      <c r="Y879">
        <v>-0.78400334408216887</v>
      </c>
      <c r="Z879" s="2" t="s">
        <v>2061</v>
      </c>
    </row>
    <row r="880" spans="1:26" x14ac:dyDescent="0.3">
      <c r="A880" s="2" t="s">
        <v>1802</v>
      </c>
      <c r="B880" s="1">
        <v>45135</v>
      </c>
      <c r="C880" s="2" t="s">
        <v>1803</v>
      </c>
      <c r="D880" s="2" t="s">
        <v>56</v>
      </c>
      <c r="E880">
        <v>39675</v>
      </c>
      <c r="F880">
        <v>12.4</v>
      </c>
      <c r="G880">
        <v>60</v>
      </c>
      <c r="H880" s="2" t="s">
        <v>19</v>
      </c>
      <c r="I880" s="2" t="s">
        <v>36</v>
      </c>
      <c r="J880" s="2" t="s">
        <v>37</v>
      </c>
      <c r="K880">
        <v>96163</v>
      </c>
      <c r="L880" s="2" t="s">
        <v>29</v>
      </c>
      <c r="M880">
        <v>0.28999999999999998</v>
      </c>
      <c r="N880">
        <v>0.62</v>
      </c>
      <c r="O880">
        <v>44594.7</v>
      </c>
      <c r="P880">
        <v>0</v>
      </c>
      <c r="Q880">
        <v>31</v>
      </c>
      <c r="R880">
        <v>24598.5</v>
      </c>
      <c r="S880">
        <v>64273.5</v>
      </c>
      <c r="T880">
        <v>4919.6999999999971</v>
      </c>
      <c r="U880">
        <v>0</v>
      </c>
      <c r="V880" s="2" t="s">
        <v>2056</v>
      </c>
      <c r="W880" s="2" t="s">
        <v>2062</v>
      </c>
      <c r="X880">
        <v>40997.5</v>
      </c>
      <c r="Y880">
        <v>0.12399999999999993</v>
      </c>
      <c r="Z880" s="2" t="s">
        <v>2061</v>
      </c>
    </row>
    <row r="881" spans="1:26" x14ac:dyDescent="0.3">
      <c r="A881" s="2" t="s">
        <v>1804</v>
      </c>
      <c r="B881" s="1">
        <v>45151</v>
      </c>
      <c r="C881" s="2" t="s">
        <v>1805</v>
      </c>
      <c r="D881" s="2" t="s">
        <v>65</v>
      </c>
      <c r="E881">
        <v>29937</v>
      </c>
      <c r="F881">
        <v>22.4</v>
      </c>
      <c r="G881">
        <v>60</v>
      </c>
      <c r="H881" s="2" t="s">
        <v>19</v>
      </c>
      <c r="I881" s="2" t="s">
        <v>84</v>
      </c>
      <c r="J881" s="2" t="s">
        <v>37</v>
      </c>
      <c r="K881">
        <v>107525</v>
      </c>
      <c r="L881" s="2" t="s">
        <v>22</v>
      </c>
      <c r="M881">
        <v>0.26</v>
      </c>
      <c r="N881">
        <v>0.9</v>
      </c>
      <c r="O881">
        <v>36642.89</v>
      </c>
      <c r="P881">
        <v>0</v>
      </c>
      <c r="Q881">
        <v>31</v>
      </c>
      <c r="R881">
        <v>33529.439999999995</v>
      </c>
      <c r="S881">
        <v>63466.439999999995</v>
      </c>
      <c r="T881">
        <v>6705.8899999999994</v>
      </c>
      <c r="U881">
        <v>0</v>
      </c>
      <c r="V881" s="2" t="s">
        <v>2056</v>
      </c>
      <c r="W881" s="2" t="s">
        <v>2062</v>
      </c>
      <c r="X881">
        <v>55882.400000000001</v>
      </c>
      <c r="Y881">
        <v>0.22400006680696127</v>
      </c>
      <c r="Z881" s="2" t="s">
        <v>2058</v>
      </c>
    </row>
    <row r="882" spans="1:26" x14ac:dyDescent="0.3">
      <c r="A882" s="2" t="s">
        <v>1806</v>
      </c>
      <c r="B882" s="1">
        <v>45072</v>
      </c>
      <c r="C882" s="2" t="s">
        <v>1807</v>
      </c>
      <c r="D882" s="2" t="s">
        <v>56</v>
      </c>
      <c r="E882">
        <v>6656</v>
      </c>
      <c r="F882">
        <v>19.600000000000001</v>
      </c>
      <c r="G882">
        <v>60</v>
      </c>
      <c r="H882" s="2" t="s">
        <v>19</v>
      </c>
      <c r="I882" s="2" t="s">
        <v>57</v>
      </c>
      <c r="J882" s="2" t="s">
        <v>37</v>
      </c>
      <c r="K882">
        <v>43780</v>
      </c>
      <c r="L882" s="2" t="s">
        <v>22</v>
      </c>
      <c r="M882">
        <v>0.43</v>
      </c>
      <c r="N882">
        <v>0.59</v>
      </c>
      <c r="O882">
        <v>7960.58</v>
      </c>
      <c r="P882">
        <v>0</v>
      </c>
      <c r="Q882">
        <v>33</v>
      </c>
      <c r="R882">
        <v>6522.88</v>
      </c>
      <c r="S882">
        <v>13178.880000000001</v>
      </c>
      <c r="T882">
        <v>1304.58</v>
      </c>
      <c r="U882">
        <v>0</v>
      </c>
      <c r="V882" s="2" t="s">
        <v>2056</v>
      </c>
      <c r="W882" s="2" t="s">
        <v>2057</v>
      </c>
      <c r="X882">
        <v>10871.466700000001</v>
      </c>
      <c r="Y882">
        <v>0.19600060096153846</v>
      </c>
      <c r="Z882" s="2" t="s">
        <v>2058</v>
      </c>
    </row>
    <row r="883" spans="1:26" x14ac:dyDescent="0.3">
      <c r="A883" s="2" t="s">
        <v>1808</v>
      </c>
      <c r="B883" s="1">
        <v>44959</v>
      </c>
      <c r="C883" s="2" t="s">
        <v>1809</v>
      </c>
      <c r="D883" s="2" t="s">
        <v>40</v>
      </c>
      <c r="E883">
        <v>9984</v>
      </c>
      <c r="F883">
        <v>18</v>
      </c>
      <c r="G883">
        <v>60</v>
      </c>
      <c r="H883" s="2" t="s">
        <v>26</v>
      </c>
      <c r="I883" s="2" t="s">
        <v>57</v>
      </c>
      <c r="J883" s="2" t="s">
        <v>21</v>
      </c>
      <c r="K883">
        <v>36589</v>
      </c>
      <c r="L883" s="2" t="s">
        <v>29</v>
      </c>
      <c r="M883">
        <v>0.46</v>
      </c>
      <c r="N883">
        <v>0.93</v>
      </c>
      <c r="O883">
        <v>2403.9499999999998</v>
      </c>
      <c r="P883">
        <v>0</v>
      </c>
      <c r="Q883">
        <v>37</v>
      </c>
      <c r="R883">
        <v>8985.6</v>
      </c>
      <c r="S883">
        <v>18969.599999999999</v>
      </c>
      <c r="T883">
        <v>-7580.05</v>
      </c>
      <c r="U883">
        <v>0</v>
      </c>
      <c r="V883" s="2" t="s">
        <v>2059</v>
      </c>
      <c r="W883" s="2" t="s">
        <v>2057</v>
      </c>
      <c r="X883">
        <v>14976</v>
      </c>
      <c r="Y883">
        <v>-0.75921975160256416</v>
      </c>
      <c r="Z883" s="2" t="s">
        <v>2058</v>
      </c>
    </row>
    <row r="884" spans="1:26" x14ac:dyDescent="0.3">
      <c r="A884" s="2" t="s">
        <v>1810</v>
      </c>
      <c r="B884" s="1">
        <v>44860</v>
      </c>
      <c r="C884" s="2" t="s">
        <v>1811</v>
      </c>
      <c r="D884" s="2" t="s">
        <v>18</v>
      </c>
      <c r="E884">
        <v>30984</v>
      </c>
      <c r="F884">
        <v>20.9</v>
      </c>
      <c r="G884">
        <v>60</v>
      </c>
      <c r="H884" s="2" t="s">
        <v>19</v>
      </c>
      <c r="I884" s="2" t="s">
        <v>57</v>
      </c>
      <c r="J884" s="2" t="s">
        <v>37</v>
      </c>
      <c r="K884">
        <v>64812</v>
      </c>
      <c r="L884" s="2" t="s">
        <v>29</v>
      </c>
      <c r="M884">
        <v>0.44</v>
      </c>
      <c r="N884">
        <v>0.59</v>
      </c>
      <c r="O884">
        <v>37459.660000000003</v>
      </c>
      <c r="P884">
        <v>0</v>
      </c>
      <c r="Q884">
        <v>40</v>
      </c>
      <c r="R884">
        <v>32378.28</v>
      </c>
      <c r="S884">
        <v>63362.28</v>
      </c>
      <c r="T884">
        <v>6475.6600000000035</v>
      </c>
      <c r="U884">
        <v>0</v>
      </c>
      <c r="V884" s="2" t="s">
        <v>2056</v>
      </c>
      <c r="W884" s="2" t="s">
        <v>2057</v>
      </c>
      <c r="X884">
        <v>53963.8</v>
      </c>
      <c r="Y884">
        <v>0.20900012909888988</v>
      </c>
      <c r="Z884" s="2" t="s">
        <v>2058</v>
      </c>
    </row>
    <row r="885" spans="1:26" x14ac:dyDescent="0.3">
      <c r="A885" s="2" t="s">
        <v>1812</v>
      </c>
      <c r="B885" s="1">
        <v>44221</v>
      </c>
      <c r="C885" s="2" t="s">
        <v>1813</v>
      </c>
      <c r="D885" s="2" t="s">
        <v>25</v>
      </c>
      <c r="E885">
        <v>9286</v>
      </c>
      <c r="F885">
        <v>20.100000000000001</v>
      </c>
      <c r="G885">
        <v>36</v>
      </c>
      <c r="H885" s="2" t="s">
        <v>81</v>
      </c>
      <c r="I885" s="2" t="s">
        <v>20</v>
      </c>
      <c r="J885" s="2" t="s">
        <v>28</v>
      </c>
      <c r="K885">
        <v>123664</v>
      </c>
      <c r="L885" s="2" t="s">
        <v>29</v>
      </c>
      <c r="M885">
        <v>0.37</v>
      </c>
      <c r="N885">
        <v>0.78</v>
      </c>
      <c r="O885">
        <v>1932.97</v>
      </c>
      <c r="P885">
        <v>2167.4899999999998</v>
      </c>
      <c r="Q885">
        <v>61</v>
      </c>
      <c r="R885">
        <v>5599.4579999999996</v>
      </c>
      <c r="S885">
        <v>14885.457999999999</v>
      </c>
      <c r="T885">
        <v>-5185.54</v>
      </c>
      <c r="U885">
        <v>1</v>
      </c>
      <c r="V885" s="2" t="s">
        <v>2063</v>
      </c>
      <c r="W885" s="2" t="s">
        <v>2057</v>
      </c>
      <c r="X885">
        <v>15554.05</v>
      </c>
      <c r="Y885">
        <v>-0.55842558690501831</v>
      </c>
      <c r="Z885" s="2" t="s">
        <v>2061</v>
      </c>
    </row>
    <row r="886" spans="1:26" x14ac:dyDescent="0.3">
      <c r="A886" s="2" t="s">
        <v>1814</v>
      </c>
      <c r="B886" s="1">
        <v>44906</v>
      </c>
      <c r="C886" s="2" t="s">
        <v>1815</v>
      </c>
      <c r="D886" s="2" t="s">
        <v>53</v>
      </c>
      <c r="E886">
        <v>6901</v>
      </c>
      <c r="F886">
        <v>5.7</v>
      </c>
      <c r="G886">
        <v>60</v>
      </c>
      <c r="H886" s="2" t="s">
        <v>60</v>
      </c>
      <c r="I886" s="2" t="s">
        <v>20</v>
      </c>
      <c r="J886" s="2" t="s">
        <v>32</v>
      </c>
      <c r="K886">
        <v>75939</v>
      </c>
      <c r="L886" s="2" t="s">
        <v>33</v>
      </c>
      <c r="M886">
        <v>0.15</v>
      </c>
      <c r="N886">
        <v>0.6</v>
      </c>
      <c r="O886">
        <v>0</v>
      </c>
      <c r="P886">
        <v>0</v>
      </c>
      <c r="Q886">
        <v>39</v>
      </c>
      <c r="R886">
        <v>1966.7850000000001</v>
      </c>
      <c r="S886">
        <v>8867.7849999999999</v>
      </c>
      <c r="T886">
        <v>-6901</v>
      </c>
      <c r="U886">
        <v>0</v>
      </c>
      <c r="V886" s="2" t="s">
        <v>2063</v>
      </c>
      <c r="W886" s="2" t="s">
        <v>2057</v>
      </c>
      <c r="X886">
        <v>3277.9749999999999</v>
      </c>
      <c r="Y886">
        <v>-1</v>
      </c>
      <c r="Z886" s="2" t="s">
        <v>2061</v>
      </c>
    </row>
    <row r="887" spans="1:26" x14ac:dyDescent="0.3">
      <c r="A887" s="2" t="s">
        <v>1816</v>
      </c>
      <c r="B887" s="1">
        <v>44373</v>
      </c>
      <c r="C887" s="2" t="s">
        <v>1817</v>
      </c>
      <c r="D887" s="2" t="s">
        <v>56</v>
      </c>
      <c r="E887">
        <v>32552</v>
      </c>
      <c r="F887">
        <v>12.9</v>
      </c>
      <c r="G887">
        <v>36</v>
      </c>
      <c r="H887" s="2" t="s">
        <v>19</v>
      </c>
      <c r="I887" s="2" t="s">
        <v>84</v>
      </c>
      <c r="J887" s="2" t="s">
        <v>21</v>
      </c>
      <c r="K887">
        <v>81493</v>
      </c>
      <c r="L887" s="2" t="s">
        <v>22</v>
      </c>
      <c r="M887">
        <v>0.21</v>
      </c>
      <c r="N887">
        <v>0.75</v>
      </c>
      <c r="O887">
        <v>36751.21</v>
      </c>
      <c r="P887">
        <v>0</v>
      </c>
      <c r="Q887">
        <v>56</v>
      </c>
      <c r="R887">
        <v>12597.623999999998</v>
      </c>
      <c r="S887">
        <v>45149.623999999996</v>
      </c>
      <c r="T887">
        <v>4199.2099999999991</v>
      </c>
      <c r="U887">
        <v>0</v>
      </c>
      <c r="V887" s="2" t="s">
        <v>2056</v>
      </c>
      <c r="W887" s="2" t="s">
        <v>2062</v>
      </c>
      <c r="X887">
        <v>34993.4</v>
      </c>
      <c r="Y887">
        <v>0.12900006144015727</v>
      </c>
      <c r="Z887" s="2" t="s">
        <v>2061</v>
      </c>
    </row>
    <row r="888" spans="1:26" x14ac:dyDescent="0.3">
      <c r="A888" s="2" t="s">
        <v>1818</v>
      </c>
      <c r="B888" s="1">
        <v>44481</v>
      </c>
      <c r="C888" s="2" t="s">
        <v>1819</v>
      </c>
      <c r="D888" s="2" t="s">
        <v>76</v>
      </c>
      <c r="E888">
        <v>26709</v>
      </c>
      <c r="F888">
        <v>23.6</v>
      </c>
      <c r="G888">
        <v>60</v>
      </c>
      <c r="H888" s="2" t="s">
        <v>19</v>
      </c>
      <c r="I888" s="2" t="s">
        <v>73</v>
      </c>
      <c r="J888" s="2" t="s">
        <v>37</v>
      </c>
      <c r="K888">
        <v>134188</v>
      </c>
      <c r="L888" s="2" t="s">
        <v>22</v>
      </c>
      <c r="M888">
        <v>0.12</v>
      </c>
      <c r="N888">
        <v>0.81</v>
      </c>
      <c r="O888">
        <v>33012.32</v>
      </c>
      <c r="P888">
        <v>0</v>
      </c>
      <c r="Q888">
        <v>53</v>
      </c>
      <c r="R888">
        <v>31516.620000000006</v>
      </c>
      <c r="S888">
        <v>58225.62000000001</v>
      </c>
      <c r="T888">
        <v>6303.32</v>
      </c>
      <c r="U888">
        <v>0</v>
      </c>
      <c r="V888" s="2" t="s">
        <v>2056</v>
      </c>
      <c r="W888" s="2" t="s">
        <v>2064</v>
      </c>
      <c r="X888">
        <v>52527.7</v>
      </c>
      <c r="Y888">
        <v>0.23599985023774755</v>
      </c>
      <c r="Z888" s="2" t="s">
        <v>2058</v>
      </c>
    </row>
    <row r="889" spans="1:26" x14ac:dyDescent="0.3">
      <c r="A889" s="2" t="s">
        <v>1820</v>
      </c>
      <c r="B889" s="1">
        <v>44259</v>
      </c>
      <c r="C889" s="2" t="s">
        <v>1821</v>
      </c>
      <c r="D889" s="2" t="s">
        <v>50</v>
      </c>
      <c r="E889">
        <v>32055</v>
      </c>
      <c r="F889">
        <v>7.5</v>
      </c>
      <c r="G889">
        <v>36</v>
      </c>
      <c r="H889" s="2" t="s">
        <v>60</v>
      </c>
      <c r="I889" s="2" t="s">
        <v>73</v>
      </c>
      <c r="J889" s="2" t="s">
        <v>32</v>
      </c>
      <c r="K889">
        <v>123326</v>
      </c>
      <c r="L889" s="2" t="s">
        <v>22</v>
      </c>
      <c r="M889">
        <v>0.47</v>
      </c>
      <c r="N889">
        <v>0.59</v>
      </c>
      <c r="O889">
        <v>0</v>
      </c>
      <c r="P889">
        <v>0</v>
      </c>
      <c r="Q889">
        <v>60</v>
      </c>
      <c r="R889">
        <v>7212.375</v>
      </c>
      <c r="S889">
        <v>39267.375</v>
      </c>
      <c r="T889">
        <v>-32055</v>
      </c>
      <c r="U889">
        <v>0</v>
      </c>
      <c r="V889" s="2" t="s">
        <v>2063</v>
      </c>
      <c r="W889" s="2" t="s">
        <v>2064</v>
      </c>
      <c r="X889">
        <v>20034.375499999998</v>
      </c>
      <c r="Y889">
        <v>-1</v>
      </c>
      <c r="Z889" s="2" t="s">
        <v>2058</v>
      </c>
    </row>
    <row r="890" spans="1:26" x14ac:dyDescent="0.3">
      <c r="A890" s="2" t="s">
        <v>1822</v>
      </c>
      <c r="B890" s="1">
        <v>45199</v>
      </c>
      <c r="C890" s="2" t="s">
        <v>1823</v>
      </c>
      <c r="D890" s="2" t="s">
        <v>53</v>
      </c>
      <c r="E890">
        <v>38685</v>
      </c>
      <c r="F890">
        <v>19.7</v>
      </c>
      <c r="G890">
        <v>60</v>
      </c>
      <c r="H890" s="2" t="s">
        <v>19</v>
      </c>
      <c r="I890" s="2" t="s">
        <v>36</v>
      </c>
      <c r="J890" s="2" t="s">
        <v>47</v>
      </c>
      <c r="K890">
        <v>70953</v>
      </c>
      <c r="L890" s="2" t="s">
        <v>29</v>
      </c>
      <c r="M890">
        <v>0.36</v>
      </c>
      <c r="N890">
        <v>0.73</v>
      </c>
      <c r="O890">
        <v>46305.94</v>
      </c>
      <c r="P890">
        <v>0</v>
      </c>
      <c r="Q890">
        <v>29</v>
      </c>
      <c r="R890">
        <v>38104.724999999999</v>
      </c>
      <c r="S890">
        <v>76789.725000000006</v>
      </c>
      <c r="T890">
        <v>7620.9400000000023</v>
      </c>
      <c r="U890">
        <v>0</v>
      </c>
      <c r="V890" s="2" t="s">
        <v>2056</v>
      </c>
      <c r="W890" s="2" t="s">
        <v>2062</v>
      </c>
      <c r="X890">
        <v>63507.875</v>
      </c>
      <c r="Y890">
        <v>0.19699987075093711</v>
      </c>
      <c r="Z890" s="2" t="s">
        <v>2061</v>
      </c>
    </row>
    <row r="891" spans="1:26" x14ac:dyDescent="0.3">
      <c r="A891" s="2" t="s">
        <v>1824</v>
      </c>
      <c r="B891" s="1">
        <v>44858</v>
      </c>
      <c r="C891" s="2" t="s">
        <v>1825</v>
      </c>
      <c r="D891" s="2" t="s">
        <v>25</v>
      </c>
      <c r="E891">
        <v>9429</v>
      </c>
      <c r="F891">
        <v>24.5</v>
      </c>
      <c r="G891">
        <v>60</v>
      </c>
      <c r="H891" s="2" t="s">
        <v>26</v>
      </c>
      <c r="I891" s="2" t="s">
        <v>27</v>
      </c>
      <c r="J891" s="2" t="s">
        <v>47</v>
      </c>
      <c r="K891">
        <v>95785</v>
      </c>
      <c r="L891" s="2" t="s">
        <v>33</v>
      </c>
      <c r="M891">
        <v>0.4</v>
      </c>
      <c r="N891">
        <v>0.71</v>
      </c>
      <c r="O891">
        <v>3859.51</v>
      </c>
      <c r="P891">
        <v>0</v>
      </c>
      <c r="Q891">
        <v>40</v>
      </c>
      <c r="R891">
        <v>11550.525</v>
      </c>
      <c r="S891">
        <v>20979.525000000001</v>
      </c>
      <c r="T891">
        <v>-5569.49</v>
      </c>
      <c r="U891">
        <v>0</v>
      </c>
      <c r="V891" s="2" t="s">
        <v>2059</v>
      </c>
      <c r="W891" s="2" t="s">
        <v>2060</v>
      </c>
      <c r="X891">
        <v>19250.875</v>
      </c>
      <c r="Y891">
        <v>-0.59067663591048891</v>
      </c>
      <c r="Z891" s="2" t="s">
        <v>2061</v>
      </c>
    </row>
    <row r="892" spans="1:26" x14ac:dyDescent="0.3">
      <c r="A892" s="2" t="s">
        <v>1826</v>
      </c>
      <c r="B892" s="1">
        <v>44862</v>
      </c>
      <c r="C892" s="2" t="s">
        <v>1827</v>
      </c>
      <c r="D892" s="2" t="s">
        <v>46</v>
      </c>
      <c r="E892">
        <v>15716</v>
      </c>
      <c r="F892">
        <v>6</v>
      </c>
      <c r="G892">
        <v>36</v>
      </c>
      <c r="H892" s="2" t="s">
        <v>19</v>
      </c>
      <c r="I892" s="2" t="s">
        <v>27</v>
      </c>
      <c r="J892" s="2" t="s">
        <v>32</v>
      </c>
      <c r="K892">
        <v>49309</v>
      </c>
      <c r="L892" s="2" t="s">
        <v>22</v>
      </c>
      <c r="M892">
        <v>0.22</v>
      </c>
      <c r="N892">
        <v>0.53</v>
      </c>
      <c r="O892">
        <v>16658.96</v>
      </c>
      <c r="P892">
        <v>0</v>
      </c>
      <c r="Q892">
        <v>40</v>
      </c>
      <c r="R892">
        <v>2828.8799999999997</v>
      </c>
      <c r="S892">
        <v>18544.88</v>
      </c>
      <c r="T892">
        <v>942.95999999999913</v>
      </c>
      <c r="U892">
        <v>0</v>
      </c>
      <c r="V892" s="2" t="s">
        <v>2056</v>
      </c>
      <c r="W892" s="2" t="s">
        <v>2060</v>
      </c>
      <c r="X892">
        <v>7858.0036</v>
      </c>
      <c r="Y892">
        <v>5.9999999999999942E-2</v>
      </c>
      <c r="Z892" s="2" t="s">
        <v>2061</v>
      </c>
    </row>
    <row r="893" spans="1:26" x14ac:dyDescent="0.3">
      <c r="A893" s="2" t="s">
        <v>1828</v>
      </c>
      <c r="B893" s="1">
        <v>44352</v>
      </c>
      <c r="C893" s="2" t="s">
        <v>1829</v>
      </c>
      <c r="D893" s="2" t="s">
        <v>18</v>
      </c>
      <c r="E893">
        <v>12138</v>
      </c>
      <c r="F893">
        <v>18.600000000000001</v>
      </c>
      <c r="G893">
        <v>60</v>
      </c>
      <c r="H893" s="2" t="s">
        <v>26</v>
      </c>
      <c r="I893" s="2" t="s">
        <v>84</v>
      </c>
      <c r="J893" s="2" t="s">
        <v>28</v>
      </c>
      <c r="K893">
        <v>84195</v>
      </c>
      <c r="L893" s="2" t="s">
        <v>22</v>
      </c>
      <c r="M893">
        <v>0.44</v>
      </c>
      <c r="N893">
        <v>0.87</v>
      </c>
      <c r="O893">
        <v>3469.25</v>
      </c>
      <c r="P893">
        <v>0</v>
      </c>
      <c r="Q893">
        <v>57</v>
      </c>
      <c r="R893">
        <v>11288.340000000002</v>
      </c>
      <c r="S893">
        <v>23426.340000000004</v>
      </c>
      <c r="T893">
        <v>-8668.75</v>
      </c>
      <c r="U893">
        <v>0</v>
      </c>
      <c r="V893" s="2" t="s">
        <v>2059</v>
      </c>
      <c r="W893" s="2" t="s">
        <v>2062</v>
      </c>
      <c r="X893">
        <v>18813.900000000001</v>
      </c>
      <c r="Y893">
        <v>-0.71418273191629589</v>
      </c>
      <c r="Z893" s="2" t="s">
        <v>2058</v>
      </c>
    </row>
    <row r="894" spans="1:26" x14ac:dyDescent="0.3">
      <c r="A894" s="2" t="s">
        <v>1830</v>
      </c>
      <c r="B894" s="1">
        <v>45269</v>
      </c>
      <c r="C894" s="2" t="s">
        <v>1831</v>
      </c>
      <c r="D894" s="2" t="s">
        <v>50</v>
      </c>
      <c r="E894">
        <v>36298</v>
      </c>
      <c r="F894">
        <v>14.4</v>
      </c>
      <c r="G894">
        <v>60</v>
      </c>
      <c r="H894" s="2" t="s">
        <v>19</v>
      </c>
      <c r="I894" s="2" t="s">
        <v>20</v>
      </c>
      <c r="J894" s="2" t="s">
        <v>32</v>
      </c>
      <c r="K894">
        <v>145662</v>
      </c>
      <c r="L894" s="2" t="s">
        <v>33</v>
      </c>
      <c r="M894">
        <v>0.2</v>
      </c>
      <c r="N894">
        <v>0.65</v>
      </c>
      <c r="O894">
        <v>41524.910000000003</v>
      </c>
      <c r="P894">
        <v>0</v>
      </c>
      <c r="Q894">
        <v>27</v>
      </c>
      <c r="R894">
        <v>26134.560000000001</v>
      </c>
      <c r="S894">
        <v>62432.56</v>
      </c>
      <c r="T894">
        <v>5226.9100000000035</v>
      </c>
      <c r="U894">
        <v>0</v>
      </c>
      <c r="V894" s="2" t="s">
        <v>2056</v>
      </c>
      <c r="W894" s="2" t="s">
        <v>2057</v>
      </c>
      <c r="X894">
        <v>43557.599999999999</v>
      </c>
      <c r="Y894">
        <v>0.14399994490054557</v>
      </c>
      <c r="Z894" s="2" t="s">
        <v>2061</v>
      </c>
    </row>
    <row r="895" spans="1:26" x14ac:dyDescent="0.3">
      <c r="A895" s="2" t="s">
        <v>1832</v>
      </c>
      <c r="B895" s="1">
        <v>45163</v>
      </c>
      <c r="C895" s="2" t="s">
        <v>1833</v>
      </c>
      <c r="D895" s="2" t="s">
        <v>18</v>
      </c>
      <c r="E895">
        <v>24429</v>
      </c>
      <c r="F895">
        <v>16.600000000000001</v>
      </c>
      <c r="G895">
        <v>60</v>
      </c>
      <c r="H895" s="2" t="s">
        <v>81</v>
      </c>
      <c r="I895" s="2" t="s">
        <v>57</v>
      </c>
      <c r="J895" s="2" t="s">
        <v>32</v>
      </c>
      <c r="K895">
        <v>55901</v>
      </c>
      <c r="L895" s="2" t="s">
        <v>29</v>
      </c>
      <c r="M895">
        <v>0.1</v>
      </c>
      <c r="N895">
        <v>0.76</v>
      </c>
      <c r="O895">
        <v>6635.65</v>
      </c>
      <c r="P895">
        <v>6328.17</v>
      </c>
      <c r="Q895">
        <v>30</v>
      </c>
      <c r="R895">
        <v>20276.070000000003</v>
      </c>
      <c r="S895">
        <v>44705.070000000007</v>
      </c>
      <c r="T895">
        <v>-11465.18</v>
      </c>
      <c r="U895">
        <v>1</v>
      </c>
      <c r="V895" s="2" t="s">
        <v>2063</v>
      </c>
      <c r="W895" s="2" t="s">
        <v>2057</v>
      </c>
      <c r="X895">
        <v>33793.449999999997</v>
      </c>
      <c r="Y895">
        <v>-0.46932662000081871</v>
      </c>
      <c r="Z895" s="2" t="s">
        <v>2061</v>
      </c>
    </row>
    <row r="896" spans="1:26" x14ac:dyDescent="0.3">
      <c r="A896" s="2" t="s">
        <v>1834</v>
      </c>
      <c r="B896" s="1">
        <v>45045</v>
      </c>
      <c r="C896" s="2" t="s">
        <v>1835</v>
      </c>
      <c r="D896" s="2" t="s">
        <v>40</v>
      </c>
      <c r="E896">
        <v>6772</v>
      </c>
      <c r="F896">
        <v>6.7</v>
      </c>
      <c r="G896">
        <v>36</v>
      </c>
      <c r="H896" s="2" t="s">
        <v>26</v>
      </c>
      <c r="I896" s="2" t="s">
        <v>41</v>
      </c>
      <c r="J896" s="2" t="s">
        <v>21</v>
      </c>
      <c r="K896">
        <v>53576</v>
      </c>
      <c r="L896" s="2" t="s">
        <v>29</v>
      </c>
      <c r="M896">
        <v>0.25</v>
      </c>
      <c r="N896">
        <v>0.73</v>
      </c>
      <c r="O896">
        <v>2938.07</v>
      </c>
      <c r="P896">
        <v>0</v>
      </c>
      <c r="Q896">
        <v>34</v>
      </c>
      <c r="R896">
        <v>1361.172</v>
      </c>
      <c r="S896">
        <v>8133.1720000000005</v>
      </c>
      <c r="T896">
        <v>-3833.93</v>
      </c>
      <c r="U896">
        <v>0</v>
      </c>
      <c r="V896" s="2" t="s">
        <v>2059</v>
      </c>
      <c r="W896" s="2" t="s">
        <v>2062</v>
      </c>
      <c r="X896">
        <v>3781.0338000000002</v>
      </c>
      <c r="Y896">
        <v>-0.56614441819255756</v>
      </c>
      <c r="Z896" s="2" t="s">
        <v>2061</v>
      </c>
    </row>
    <row r="897" spans="1:26" x14ac:dyDescent="0.3">
      <c r="A897" s="2" t="s">
        <v>1836</v>
      </c>
      <c r="B897" s="1">
        <v>44885</v>
      </c>
      <c r="C897" s="2" t="s">
        <v>1837</v>
      </c>
      <c r="D897" s="2" t="s">
        <v>25</v>
      </c>
      <c r="E897">
        <v>36732</v>
      </c>
      <c r="F897">
        <v>5.9</v>
      </c>
      <c r="G897">
        <v>60</v>
      </c>
      <c r="H897" s="2" t="s">
        <v>19</v>
      </c>
      <c r="I897" s="2" t="s">
        <v>36</v>
      </c>
      <c r="J897" s="2" t="s">
        <v>47</v>
      </c>
      <c r="K897">
        <v>61508</v>
      </c>
      <c r="L897" s="2" t="s">
        <v>22</v>
      </c>
      <c r="M897">
        <v>0.33</v>
      </c>
      <c r="N897">
        <v>0.73</v>
      </c>
      <c r="O897">
        <v>38899.19</v>
      </c>
      <c r="P897">
        <v>0</v>
      </c>
      <c r="Q897">
        <v>39</v>
      </c>
      <c r="R897">
        <v>10835.94</v>
      </c>
      <c r="S897">
        <v>47567.94</v>
      </c>
      <c r="T897">
        <v>2167.1900000000023</v>
      </c>
      <c r="U897">
        <v>0</v>
      </c>
      <c r="V897" s="2" t="s">
        <v>2056</v>
      </c>
      <c r="W897" s="2" t="s">
        <v>2062</v>
      </c>
      <c r="X897">
        <v>18059.900000000001</v>
      </c>
      <c r="Y897">
        <v>5.9000054448437395E-2</v>
      </c>
      <c r="Z897" s="2" t="s">
        <v>2061</v>
      </c>
    </row>
    <row r="898" spans="1:26" x14ac:dyDescent="0.3">
      <c r="A898" s="2" t="s">
        <v>1838</v>
      </c>
      <c r="B898" s="1">
        <v>44344</v>
      </c>
      <c r="C898" s="2" t="s">
        <v>1839</v>
      </c>
      <c r="D898" s="2" t="s">
        <v>18</v>
      </c>
      <c r="E898">
        <v>18347</v>
      </c>
      <c r="F898">
        <v>18.3</v>
      </c>
      <c r="G898">
        <v>36</v>
      </c>
      <c r="H898" s="2" t="s">
        <v>19</v>
      </c>
      <c r="I898" s="2" t="s">
        <v>36</v>
      </c>
      <c r="J898" s="2" t="s">
        <v>47</v>
      </c>
      <c r="K898">
        <v>104711</v>
      </c>
      <c r="L898" s="2" t="s">
        <v>22</v>
      </c>
      <c r="M898">
        <v>0.28999999999999998</v>
      </c>
      <c r="N898">
        <v>0.55000000000000004</v>
      </c>
      <c r="O898">
        <v>21704.5</v>
      </c>
      <c r="P898">
        <v>0</v>
      </c>
      <c r="Q898">
        <v>57</v>
      </c>
      <c r="R898">
        <v>10072.503000000001</v>
      </c>
      <c r="S898">
        <v>28419.503000000001</v>
      </c>
      <c r="T898">
        <v>3357.5</v>
      </c>
      <c r="U898">
        <v>0</v>
      </c>
      <c r="V898" s="2" t="s">
        <v>2056</v>
      </c>
      <c r="W898" s="2" t="s">
        <v>2062</v>
      </c>
      <c r="X898">
        <v>27979.174999999999</v>
      </c>
      <c r="Y898">
        <v>0.18299994549517631</v>
      </c>
      <c r="Z898" s="2" t="s">
        <v>2061</v>
      </c>
    </row>
    <row r="899" spans="1:26" x14ac:dyDescent="0.3">
      <c r="A899" s="2" t="s">
        <v>1840</v>
      </c>
      <c r="B899" s="1">
        <v>44538</v>
      </c>
      <c r="C899" s="2" t="s">
        <v>1841</v>
      </c>
      <c r="D899" s="2" t="s">
        <v>76</v>
      </c>
      <c r="E899">
        <v>17920</v>
      </c>
      <c r="F899">
        <v>21.5</v>
      </c>
      <c r="G899">
        <v>60</v>
      </c>
      <c r="H899" s="2" t="s">
        <v>19</v>
      </c>
      <c r="I899" s="2" t="s">
        <v>73</v>
      </c>
      <c r="J899" s="2" t="s">
        <v>37</v>
      </c>
      <c r="K899">
        <v>55464</v>
      </c>
      <c r="L899" s="2" t="s">
        <v>33</v>
      </c>
      <c r="M899">
        <v>0.44</v>
      </c>
      <c r="N899">
        <v>0.69</v>
      </c>
      <c r="O899">
        <v>21772.799999999999</v>
      </c>
      <c r="P899">
        <v>0</v>
      </c>
      <c r="Q899">
        <v>51</v>
      </c>
      <c r="R899">
        <v>19264</v>
      </c>
      <c r="S899">
        <v>37184</v>
      </c>
      <c r="T899">
        <v>3852.7999999999993</v>
      </c>
      <c r="U899">
        <v>0</v>
      </c>
      <c r="V899" s="2" t="s">
        <v>2056</v>
      </c>
      <c r="W899" s="2" t="s">
        <v>2064</v>
      </c>
      <c r="X899">
        <v>32106.666700000002</v>
      </c>
      <c r="Y899">
        <v>0.21499999999999997</v>
      </c>
      <c r="Z899" s="2" t="s">
        <v>2058</v>
      </c>
    </row>
    <row r="900" spans="1:26" x14ac:dyDescent="0.3">
      <c r="A900" s="2" t="s">
        <v>1842</v>
      </c>
      <c r="B900" s="1">
        <v>44672</v>
      </c>
      <c r="C900" s="2" t="s">
        <v>1843</v>
      </c>
      <c r="D900" s="2" t="s">
        <v>40</v>
      </c>
      <c r="E900">
        <v>32822</v>
      </c>
      <c r="F900">
        <v>20.6</v>
      </c>
      <c r="G900">
        <v>60</v>
      </c>
      <c r="H900" s="2" t="s">
        <v>60</v>
      </c>
      <c r="I900" s="2" t="s">
        <v>84</v>
      </c>
      <c r="J900" s="2" t="s">
        <v>32</v>
      </c>
      <c r="K900">
        <v>90281</v>
      </c>
      <c r="L900" s="2" t="s">
        <v>22</v>
      </c>
      <c r="M900">
        <v>0.14000000000000001</v>
      </c>
      <c r="N900">
        <v>0.7</v>
      </c>
      <c r="O900">
        <v>0</v>
      </c>
      <c r="P900">
        <v>0</v>
      </c>
      <c r="Q900">
        <v>46</v>
      </c>
      <c r="R900">
        <v>33806.660000000003</v>
      </c>
      <c r="S900">
        <v>66628.66</v>
      </c>
      <c r="T900">
        <v>-32822</v>
      </c>
      <c r="U900">
        <v>0</v>
      </c>
      <c r="V900" s="2" t="s">
        <v>2063</v>
      </c>
      <c r="W900" s="2" t="s">
        <v>2062</v>
      </c>
      <c r="X900">
        <v>56344.433299999997</v>
      </c>
      <c r="Y900">
        <v>-1</v>
      </c>
      <c r="Z900" s="2" t="s">
        <v>2061</v>
      </c>
    </row>
    <row r="901" spans="1:26" x14ac:dyDescent="0.3">
      <c r="A901" s="2" t="s">
        <v>1844</v>
      </c>
      <c r="B901" s="1">
        <v>45283</v>
      </c>
      <c r="C901" s="2" t="s">
        <v>1845</v>
      </c>
      <c r="D901" s="2" t="s">
        <v>72</v>
      </c>
      <c r="E901">
        <v>24563</v>
      </c>
      <c r="F901">
        <v>15.9</v>
      </c>
      <c r="G901">
        <v>36</v>
      </c>
      <c r="H901" s="2" t="s">
        <v>26</v>
      </c>
      <c r="I901" s="2" t="s">
        <v>20</v>
      </c>
      <c r="J901" s="2" t="s">
        <v>32</v>
      </c>
      <c r="K901">
        <v>46260</v>
      </c>
      <c r="L901" s="2" t="s">
        <v>33</v>
      </c>
      <c r="M901">
        <v>0.32</v>
      </c>
      <c r="N901">
        <v>0.83</v>
      </c>
      <c r="O901">
        <v>10136.36</v>
      </c>
      <c r="P901">
        <v>0</v>
      </c>
      <c r="Q901">
        <v>26</v>
      </c>
      <c r="R901">
        <v>11716.551000000001</v>
      </c>
      <c r="S901">
        <v>36279.550999999999</v>
      </c>
      <c r="T901">
        <v>-14426.64</v>
      </c>
      <c r="U901">
        <v>0</v>
      </c>
      <c r="V901" s="2" t="s">
        <v>2059</v>
      </c>
      <c r="W901" s="2" t="s">
        <v>2057</v>
      </c>
      <c r="X901">
        <v>32545.974999999999</v>
      </c>
      <c r="Y901">
        <v>-0.58733216626633555</v>
      </c>
      <c r="Z901" s="2" t="s">
        <v>2058</v>
      </c>
    </row>
    <row r="902" spans="1:26" x14ac:dyDescent="0.3">
      <c r="A902" s="2" t="s">
        <v>1846</v>
      </c>
      <c r="B902" s="1">
        <v>44757</v>
      </c>
      <c r="C902" s="2" t="s">
        <v>1847</v>
      </c>
      <c r="D902" s="2" t="s">
        <v>46</v>
      </c>
      <c r="E902">
        <v>8967</v>
      </c>
      <c r="F902">
        <v>7</v>
      </c>
      <c r="G902">
        <v>60</v>
      </c>
      <c r="H902" s="2" t="s">
        <v>19</v>
      </c>
      <c r="I902" s="2" t="s">
        <v>20</v>
      </c>
      <c r="J902" s="2" t="s">
        <v>28</v>
      </c>
      <c r="K902">
        <v>65440</v>
      </c>
      <c r="L902" s="2" t="s">
        <v>22</v>
      </c>
      <c r="M902">
        <v>0.31</v>
      </c>
      <c r="N902">
        <v>0.88</v>
      </c>
      <c r="O902">
        <v>9594.69</v>
      </c>
      <c r="P902">
        <v>0</v>
      </c>
      <c r="Q902">
        <v>44</v>
      </c>
      <c r="R902">
        <v>3138.4500000000003</v>
      </c>
      <c r="S902">
        <v>12105.45</v>
      </c>
      <c r="T902">
        <v>627.69000000000051</v>
      </c>
      <c r="U902">
        <v>0</v>
      </c>
      <c r="V902" s="2" t="s">
        <v>2056</v>
      </c>
      <c r="W902" s="2" t="s">
        <v>2057</v>
      </c>
      <c r="X902">
        <v>5230.75</v>
      </c>
      <c r="Y902">
        <v>7.0000000000000062E-2</v>
      </c>
      <c r="Z902" s="2" t="s">
        <v>2058</v>
      </c>
    </row>
    <row r="903" spans="1:26" x14ac:dyDescent="0.3">
      <c r="A903" s="2" t="s">
        <v>1848</v>
      </c>
      <c r="B903" s="1">
        <v>44523</v>
      </c>
      <c r="C903" s="2" t="s">
        <v>1849</v>
      </c>
      <c r="D903" s="2" t="s">
        <v>25</v>
      </c>
      <c r="E903">
        <v>12871</v>
      </c>
      <c r="F903">
        <v>18.8</v>
      </c>
      <c r="G903">
        <v>60</v>
      </c>
      <c r="H903" s="2" t="s">
        <v>19</v>
      </c>
      <c r="I903" s="2" t="s">
        <v>57</v>
      </c>
      <c r="J903" s="2" t="s">
        <v>47</v>
      </c>
      <c r="K903">
        <v>125082</v>
      </c>
      <c r="L903" s="2" t="s">
        <v>22</v>
      </c>
      <c r="M903">
        <v>0.21</v>
      </c>
      <c r="N903">
        <v>0.75</v>
      </c>
      <c r="O903">
        <v>15290.75</v>
      </c>
      <c r="P903">
        <v>0</v>
      </c>
      <c r="Q903">
        <v>51</v>
      </c>
      <c r="R903">
        <v>12098.74</v>
      </c>
      <c r="S903">
        <v>24969.739999999998</v>
      </c>
      <c r="T903">
        <v>2419.75</v>
      </c>
      <c r="U903">
        <v>0</v>
      </c>
      <c r="V903" s="2" t="s">
        <v>2056</v>
      </c>
      <c r="W903" s="2" t="s">
        <v>2057</v>
      </c>
      <c r="X903">
        <v>20164.566699999999</v>
      </c>
      <c r="Y903">
        <v>0.18800015538808174</v>
      </c>
      <c r="Z903" s="2" t="s">
        <v>2061</v>
      </c>
    </row>
    <row r="904" spans="1:26" x14ac:dyDescent="0.3">
      <c r="A904" s="2" t="s">
        <v>1850</v>
      </c>
      <c r="B904" s="1">
        <v>45186</v>
      </c>
      <c r="C904" s="2" t="s">
        <v>1851</v>
      </c>
      <c r="D904" s="2" t="s">
        <v>65</v>
      </c>
      <c r="E904">
        <v>29763</v>
      </c>
      <c r="F904">
        <v>9.8000000000000007</v>
      </c>
      <c r="G904">
        <v>36</v>
      </c>
      <c r="H904" s="2" t="s">
        <v>19</v>
      </c>
      <c r="I904" s="2" t="s">
        <v>73</v>
      </c>
      <c r="J904" s="2" t="s">
        <v>28</v>
      </c>
      <c r="K904">
        <v>135583</v>
      </c>
      <c r="L904" s="2" t="s">
        <v>22</v>
      </c>
      <c r="M904">
        <v>0.43</v>
      </c>
      <c r="N904">
        <v>0.54</v>
      </c>
      <c r="O904">
        <v>32679.77</v>
      </c>
      <c r="P904">
        <v>0</v>
      </c>
      <c r="Q904">
        <v>30</v>
      </c>
      <c r="R904">
        <v>8750.3220000000019</v>
      </c>
      <c r="S904">
        <v>38513.322</v>
      </c>
      <c r="T904">
        <v>2916.7700000000004</v>
      </c>
      <c r="U904">
        <v>0</v>
      </c>
      <c r="V904" s="2" t="s">
        <v>2056</v>
      </c>
      <c r="W904" s="2" t="s">
        <v>2064</v>
      </c>
      <c r="X904">
        <v>24306.45</v>
      </c>
      <c r="Y904">
        <v>9.7999865604945752E-2</v>
      </c>
      <c r="Z904" s="2" t="s">
        <v>2058</v>
      </c>
    </row>
    <row r="905" spans="1:26" x14ac:dyDescent="0.3">
      <c r="A905" s="2" t="s">
        <v>1852</v>
      </c>
      <c r="B905" s="1">
        <v>44411</v>
      </c>
      <c r="C905" s="2" t="s">
        <v>1853</v>
      </c>
      <c r="D905" s="2" t="s">
        <v>50</v>
      </c>
      <c r="E905">
        <v>12916</v>
      </c>
      <c r="F905">
        <v>23.2</v>
      </c>
      <c r="G905">
        <v>60</v>
      </c>
      <c r="H905" s="2" t="s">
        <v>26</v>
      </c>
      <c r="I905" s="2" t="s">
        <v>57</v>
      </c>
      <c r="J905" s="2" t="s">
        <v>21</v>
      </c>
      <c r="K905">
        <v>86683</v>
      </c>
      <c r="L905" s="2" t="s">
        <v>29</v>
      </c>
      <c r="M905">
        <v>0.4</v>
      </c>
      <c r="N905">
        <v>0.61</v>
      </c>
      <c r="O905">
        <v>1414.24</v>
      </c>
      <c r="P905">
        <v>0</v>
      </c>
      <c r="Q905">
        <v>55</v>
      </c>
      <c r="R905">
        <v>14982.56</v>
      </c>
      <c r="S905">
        <v>27898.559999999998</v>
      </c>
      <c r="T905">
        <v>-11501.76</v>
      </c>
      <c r="U905">
        <v>0</v>
      </c>
      <c r="V905" s="2" t="s">
        <v>2059</v>
      </c>
      <c r="W905" s="2" t="s">
        <v>2057</v>
      </c>
      <c r="X905">
        <v>24970.933300000001</v>
      </c>
      <c r="Y905">
        <v>-0.89050480024775469</v>
      </c>
      <c r="Z905" s="2" t="s">
        <v>2061</v>
      </c>
    </row>
    <row r="906" spans="1:26" x14ac:dyDescent="0.3">
      <c r="A906" s="2" t="s">
        <v>1854</v>
      </c>
      <c r="B906" s="1">
        <v>44631</v>
      </c>
      <c r="C906" s="2" t="s">
        <v>1855</v>
      </c>
      <c r="D906" s="2" t="s">
        <v>56</v>
      </c>
      <c r="E906">
        <v>9734</v>
      </c>
      <c r="F906">
        <v>21.8</v>
      </c>
      <c r="G906">
        <v>36</v>
      </c>
      <c r="H906" s="2" t="s">
        <v>26</v>
      </c>
      <c r="I906" s="2" t="s">
        <v>57</v>
      </c>
      <c r="J906" s="2" t="s">
        <v>37</v>
      </c>
      <c r="K906">
        <v>71430</v>
      </c>
      <c r="L906" s="2" t="s">
        <v>33</v>
      </c>
      <c r="M906">
        <v>0.39</v>
      </c>
      <c r="N906">
        <v>0.56999999999999995</v>
      </c>
      <c r="O906">
        <v>3613.86</v>
      </c>
      <c r="P906">
        <v>0</v>
      </c>
      <c r="Q906">
        <v>48</v>
      </c>
      <c r="R906">
        <v>6366.0360000000001</v>
      </c>
      <c r="S906">
        <v>16100.036</v>
      </c>
      <c r="T906">
        <v>-6120.1399999999994</v>
      </c>
      <c r="U906">
        <v>0</v>
      </c>
      <c r="V906" s="2" t="s">
        <v>2059</v>
      </c>
      <c r="W906" s="2" t="s">
        <v>2057</v>
      </c>
      <c r="X906">
        <v>17683.433300000001</v>
      </c>
      <c r="Y906">
        <v>-0.6287384425724265</v>
      </c>
      <c r="Z906" s="2" t="s">
        <v>2061</v>
      </c>
    </row>
    <row r="907" spans="1:26" x14ac:dyDescent="0.3">
      <c r="A907" s="2" t="s">
        <v>1856</v>
      </c>
      <c r="B907" s="1">
        <v>45148</v>
      </c>
      <c r="C907" s="2" t="s">
        <v>1857</v>
      </c>
      <c r="D907" s="2" t="s">
        <v>18</v>
      </c>
      <c r="E907">
        <v>34613</v>
      </c>
      <c r="F907">
        <v>19.2</v>
      </c>
      <c r="G907">
        <v>36</v>
      </c>
      <c r="H907" s="2" t="s">
        <v>19</v>
      </c>
      <c r="I907" s="2" t="s">
        <v>20</v>
      </c>
      <c r="J907" s="2" t="s">
        <v>28</v>
      </c>
      <c r="K907">
        <v>31987</v>
      </c>
      <c r="L907" s="2" t="s">
        <v>33</v>
      </c>
      <c r="M907">
        <v>0.45</v>
      </c>
      <c r="N907">
        <v>0.56000000000000005</v>
      </c>
      <c r="O907">
        <v>41258.699999999997</v>
      </c>
      <c r="P907">
        <v>0</v>
      </c>
      <c r="Q907">
        <v>31</v>
      </c>
      <c r="R907">
        <v>19937.088</v>
      </c>
      <c r="S907">
        <v>54550.088000000003</v>
      </c>
      <c r="T907">
        <v>6645.6999999999971</v>
      </c>
      <c r="U907">
        <v>0</v>
      </c>
      <c r="V907" s="2" t="s">
        <v>2056</v>
      </c>
      <c r="W907" s="2" t="s">
        <v>2057</v>
      </c>
      <c r="X907">
        <v>55380.800000000003</v>
      </c>
      <c r="Y907">
        <v>0.19200011556351651</v>
      </c>
      <c r="Z907" s="2" t="s">
        <v>2058</v>
      </c>
    </row>
    <row r="908" spans="1:26" x14ac:dyDescent="0.3">
      <c r="A908" s="2" t="s">
        <v>1858</v>
      </c>
      <c r="B908" s="1">
        <v>44919</v>
      </c>
      <c r="C908" s="2" t="s">
        <v>1859</v>
      </c>
      <c r="D908" s="2" t="s">
        <v>50</v>
      </c>
      <c r="E908">
        <v>29179</v>
      </c>
      <c r="F908">
        <v>24</v>
      </c>
      <c r="G908">
        <v>36</v>
      </c>
      <c r="H908" s="2" t="s">
        <v>26</v>
      </c>
      <c r="I908" s="2" t="s">
        <v>73</v>
      </c>
      <c r="J908" s="2" t="s">
        <v>47</v>
      </c>
      <c r="K908">
        <v>144778</v>
      </c>
      <c r="L908" s="2" t="s">
        <v>29</v>
      </c>
      <c r="M908">
        <v>0.39</v>
      </c>
      <c r="N908">
        <v>0.66</v>
      </c>
      <c r="O908">
        <v>7176.47</v>
      </c>
      <c r="P908">
        <v>0</v>
      </c>
      <c r="Q908">
        <v>38</v>
      </c>
      <c r="R908">
        <v>21008.880000000001</v>
      </c>
      <c r="S908">
        <v>50187.880000000005</v>
      </c>
      <c r="T908">
        <v>-22002.53</v>
      </c>
      <c r="U908">
        <v>0</v>
      </c>
      <c r="V908" s="2" t="s">
        <v>2059</v>
      </c>
      <c r="W908" s="2" t="s">
        <v>2064</v>
      </c>
      <c r="X908">
        <v>58358</v>
      </c>
      <c r="Y908">
        <v>-0.7540536001919188</v>
      </c>
      <c r="Z908" s="2" t="s">
        <v>2061</v>
      </c>
    </row>
    <row r="909" spans="1:26" x14ac:dyDescent="0.3">
      <c r="A909" s="2" t="s">
        <v>1860</v>
      </c>
      <c r="B909" s="1">
        <v>44228</v>
      </c>
      <c r="C909" s="2" t="s">
        <v>1861</v>
      </c>
      <c r="D909" s="2" t="s">
        <v>50</v>
      </c>
      <c r="E909">
        <v>36262</v>
      </c>
      <c r="F909">
        <v>5.6</v>
      </c>
      <c r="G909">
        <v>60</v>
      </c>
      <c r="H909" s="2" t="s">
        <v>26</v>
      </c>
      <c r="I909" s="2" t="s">
        <v>84</v>
      </c>
      <c r="J909" s="2" t="s">
        <v>21</v>
      </c>
      <c r="K909">
        <v>55105</v>
      </c>
      <c r="L909" s="2" t="s">
        <v>29</v>
      </c>
      <c r="M909">
        <v>0.19</v>
      </c>
      <c r="N909">
        <v>0.6</v>
      </c>
      <c r="O909">
        <v>6621.15</v>
      </c>
      <c r="P909">
        <v>0</v>
      </c>
      <c r="Q909">
        <v>61</v>
      </c>
      <c r="R909">
        <v>10153.359999999999</v>
      </c>
      <c r="S909">
        <v>46415.360000000001</v>
      </c>
      <c r="T909">
        <v>-29640.85</v>
      </c>
      <c r="U909">
        <v>0</v>
      </c>
      <c r="V909" s="2" t="s">
        <v>2059</v>
      </c>
      <c r="W909" s="2" t="s">
        <v>2062</v>
      </c>
      <c r="X909">
        <v>16922.2667</v>
      </c>
      <c r="Y909">
        <v>-0.81740803044509402</v>
      </c>
      <c r="Z909" s="2" t="s">
        <v>2061</v>
      </c>
    </row>
    <row r="910" spans="1:26" x14ac:dyDescent="0.3">
      <c r="A910" s="2" t="s">
        <v>1862</v>
      </c>
      <c r="B910" s="1">
        <v>44866</v>
      </c>
      <c r="C910" s="2" t="s">
        <v>1863</v>
      </c>
      <c r="D910" s="2" t="s">
        <v>65</v>
      </c>
      <c r="E910">
        <v>13677</v>
      </c>
      <c r="F910">
        <v>19.7</v>
      </c>
      <c r="G910">
        <v>36</v>
      </c>
      <c r="H910" s="2" t="s">
        <v>60</v>
      </c>
      <c r="I910" s="2" t="s">
        <v>27</v>
      </c>
      <c r="J910" s="2" t="s">
        <v>32</v>
      </c>
      <c r="K910">
        <v>108484</v>
      </c>
      <c r="L910" s="2" t="s">
        <v>29</v>
      </c>
      <c r="M910">
        <v>0.38</v>
      </c>
      <c r="N910">
        <v>0.6</v>
      </c>
      <c r="O910">
        <v>0</v>
      </c>
      <c r="P910">
        <v>0</v>
      </c>
      <c r="Q910">
        <v>40</v>
      </c>
      <c r="R910">
        <v>8083.1069999999991</v>
      </c>
      <c r="S910">
        <v>21760.107</v>
      </c>
      <c r="T910">
        <v>-13677</v>
      </c>
      <c r="U910">
        <v>0</v>
      </c>
      <c r="V910" s="2" t="s">
        <v>2063</v>
      </c>
      <c r="W910" s="2" t="s">
        <v>2060</v>
      </c>
      <c r="X910">
        <v>22453.075000000001</v>
      </c>
      <c r="Y910">
        <v>-1</v>
      </c>
      <c r="Z910" s="2" t="s">
        <v>2061</v>
      </c>
    </row>
    <row r="911" spans="1:26" x14ac:dyDescent="0.3">
      <c r="A911" s="2" t="s">
        <v>1864</v>
      </c>
      <c r="B911" s="1">
        <v>44481</v>
      </c>
      <c r="C911" s="2" t="s">
        <v>1865</v>
      </c>
      <c r="D911" s="2" t="s">
        <v>65</v>
      </c>
      <c r="E911">
        <v>19268</v>
      </c>
      <c r="F911">
        <v>11.6</v>
      </c>
      <c r="G911">
        <v>36</v>
      </c>
      <c r="H911" s="2" t="s">
        <v>81</v>
      </c>
      <c r="I911" s="2" t="s">
        <v>20</v>
      </c>
      <c r="J911" s="2" t="s">
        <v>21</v>
      </c>
      <c r="K911">
        <v>148747</v>
      </c>
      <c r="L911" s="2" t="s">
        <v>33</v>
      </c>
      <c r="M911">
        <v>0.22</v>
      </c>
      <c r="N911">
        <v>0.52</v>
      </c>
      <c r="O911">
        <v>2215.9299999999998</v>
      </c>
      <c r="P911">
        <v>9626.5400000000009</v>
      </c>
      <c r="Q911">
        <v>53</v>
      </c>
      <c r="R911">
        <v>6705.2639999999992</v>
      </c>
      <c r="S911">
        <v>25973.263999999999</v>
      </c>
      <c r="T911">
        <v>-7425.5299999999988</v>
      </c>
      <c r="U911">
        <v>1</v>
      </c>
      <c r="V911" s="2" t="s">
        <v>2063</v>
      </c>
      <c r="W911" s="2" t="s">
        <v>2057</v>
      </c>
      <c r="X911">
        <v>18625.7333</v>
      </c>
      <c r="Y911">
        <v>-0.38538146149055424</v>
      </c>
      <c r="Z911" s="2" t="s">
        <v>2061</v>
      </c>
    </row>
    <row r="912" spans="1:26" x14ac:dyDescent="0.3">
      <c r="A912" s="2" t="s">
        <v>1866</v>
      </c>
      <c r="B912" s="1">
        <v>44625</v>
      </c>
      <c r="C912" s="2" t="s">
        <v>1867</v>
      </c>
      <c r="D912" s="2" t="s">
        <v>40</v>
      </c>
      <c r="E912">
        <v>13330</v>
      </c>
      <c r="F912">
        <v>23.1</v>
      </c>
      <c r="G912">
        <v>60</v>
      </c>
      <c r="H912" s="2" t="s">
        <v>26</v>
      </c>
      <c r="I912" s="2" t="s">
        <v>73</v>
      </c>
      <c r="J912" s="2" t="s">
        <v>28</v>
      </c>
      <c r="K912">
        <v>43026</v>
      </c>
      <c r="L912" s="2" t="s">
        <v>22</v>
      </c>
      <c r="M912">
        <v>0.2</v>
      </c>
      <c r="N912">
        <v>0.51</v>
      </c>
      <c r="O912">
        <v>3589.27</v>
      </c>
      <c r="P912">
        <v>0</v>
      </c>
      <c r="Q912">
        <v>48</v>
      </c>
      <c r="R912">
        <v>15396.15</v>
      </c>
      <c r="S912">
        <v>28726.15</v>
      </c>
      <c r="T912">
        <v>-9740.73</v>
      </c>
      <c r="U912">
        <v>0</v>
      </c>
      <c r="V912" s="2" t="s">
        <v>2059</v>
      </c>
      <c r="W912" s="2" t="s">
        <v>2064</v>
      </c>
      <c r="X912">
        <v>25660.25</v>
      </c>
      <c r="Y912">
        <v>-0.73073743435858962</v>
      </c>
      <c r="Z912" s="2" t="s">
        <v>2061</v>
      </c>
    </row>
    <row r="913" spans="1:26" x14ac:dyDescent="0.3">
      <c r="A913" s="2" t="s">
        <v>1868</v>
      </c>
      <c r="B913" s="1">
        <v>44482</v>
      </c>
      <c r="C913" s="2" t="s">
        <v>1869</v>
      </c>
      <c r="D913" s="2" t="s">
        <v>25</v>
      </c>
      <c r="E913">
        <v>21733</v>
      </c>
      <c r="F913">
        <v>10.3</v>
      </c>
      <c r="G913">
        <v>36</v>
      </c>
      <c r="H913" s="2" t="s">
        <v>26</v>
      </c>
      <c r="I913" s="2" t="s">
        <v>27</v>
      </c>
      <c r="J913" s="2" t="s">
        <v>47</v>
      </c>
      <c r="K913">
        <v>98309</v>
      </c>
      <c r="L913" s="2" t="s">
        <v>29</v>
      </c>
      <c r="M913">
        <v>0.13</v>
      </c>
      <c r="N913">
        <v>0.55000000000000004</v>
      </c>
      <c r="O913">
        <v>4562.7700000000004</v>
      </c>
      <c r="P913">
        <v>0</v>
      </c>
      <c r="Q913">
        <v>53</v>
      </c>
      <c r="R913">
        <v>6715.4970000000003</v>
      </c>
      <c r="S913">
        <v>28448.496999999999</v>
      </c>
      <c r="T913">
        <v>-17170.23</v>
      </c>
      <c r="U913">
        <v>0</v>
      </c>
      <c r="V913" s="2" t="s">
        <v>2059</v>
      </c>
      <c r="W913" s="2" t="s">
        <v>2060</v>
      </c>
      <c r="X913">
        <v>18654.158299999999</v>
      </c>
      <c r="Y913">
        <v>-0.79005337505176454</v>
      </c>
      <c r="Z913" s="2" t="s">
        <v>2061</v>
      </c>
    </row>
    <row r="914" spans="1:26" x14ac:dyDescent="0.3">
      <c r="A914" s="2" t="s">
        <v>1870</v>
      </c>
      <c r="B914" s="1">
        <v>45239</v>
      </c>
      <c r="C914" s="2" t="s">
        <v>1871</v>
      </c>
      <c r="D914" s="2" t="s">
        <v>76</v>
      </c>
      <c r="E914">
        <v>38947</v>
      </c>
      <c r="F914">
        <v>19.5</v>
      </c>
      <c r="G914">
        <v>60</v>
      </c>
      <c r="H914" s="2" t="s">
        <v>19</v>
      </c>
      <c r="I914" s="2" t="s">
        <v>73</v>
      </c>
      <c r="J914" s="2" t="s">
        <v>28</v>
      </c>
      <c r="K914">
        <v>75927</v>
      </c>
      <c r="L914" s="2" t="s">
        <v>29</v>
      </c>
      <c r="M914">
        <v>0.4</v>
      </c>
      <c r="N914">
        <v>0.57999999999999996</v>
      </c>
      <c r="O914">
        <v>46541.66</v>
      </c>
      <c r="P914">
        <v>0</v>
      </c>
      <c r="Q914">
        <v>28</v>
      </c>
      <c r="R914">
        <v>37973.325000000004</v>
      </c>
      <c r="S914">
        <v>76920.325000000012</v>
      </c>
      <c r="T914">
        <v>7594.6600000000035</v>
      </c>
      <c r="U914">
        <v>0</v>
      </c>
      <c r="V914" s="2" t="s">
        <v>2056</v>
      </c>
      <c r="W914" s="2" t="s">
        <v>2064</v>
      </c>
      <c r="X914">
        <v>63288.875</v>
      </c>
      <c r="Y914">
        <v>0.1949998716204073</v>
      </c>
      <c r="Z914" s="2" t="s">
        <v>2061</v>
      </c>
    </row>
    <row r="915" spans="1:26" x14ac:dyDescent="0.3">
      <c r="A915" s="2" t="s">
        <v>1872</v>
      </c>
      <c r="B915" s="1">
        <v>44214</v>
      </c>
      <c r="C915" s="2" t="s">
        <v>1873</v>
      </c>
      <c r="D915" s="2" t="s">
        <v>46</v>
      </c>
      <c r="E915">
        <v>28286</v>
      </c>
      <c r="F915">
        <v>22.6</v>
      </c>
      <c r="G915">
        <v>60</v>
      </c>
      <c r="H915" s="2" t="s">
        <v>26</v>
      </c>
      <c r="I915" s="2" t="s">
        <v>57</v>
      </c>
      <c r="J915" s="2" t="s">
        <v>32</v>
      </c>
      <c r="K915">
        <v>105414</v>
      </c>
      <c r="L915" s="2" t="s">
        <v>29</v>
      </c>
      <c r="M915">
        <v>0.38</v>
      </c>
      <c r="N915">
        <v>0.69</v>
      </c>
      <c r="O915">
        <v>4615.7299999999996</v>
      </c>
      <c r="P915">
        <v>0</v>
      </c>
      <c r="Q915">
        <v>62</v>
      </c>
      <c r="R915">
        <v>31963.180000000008</v>
      </c>
      <c r="S915">
        <v>60249.180000000008</v>
      </c>
      <c r="T915">
        <v>-23670.27</v>
      </c>
      <c r="U915">
        <v>0</v>
      </c>
      <c r="V915" s="2" t="s">
        <v>2059</v>
      </c>
      <c r="W915" s="2" t="s">
        <v>2057</v>
      </c>
      <c r="X915">
        <v>53271.966699999997</v>
      </c>
      <c r="Y915">
        <v>-0.83681927455278227</v>
      </c>
      <c r="Z915" s="2" t="s">
        <v>2061</v>
      </c>
    </row>
    <row r="916" spans="1:26" x14ac:dyDescent="0.3">
      <c r="A916" s="2" t="s">
        <v>1874</v>
      </c>
      <c r="B916" s="1">
        <v>44965</v>
      </c>
      <c r="C916" s="2" t="s">
        <v>1875</v>
      </c>
      <c r="D916" s="2" t="s">
        <v>65</v>
      </c>
      <c r="E916">
        <v>7610</v>
      </c>
      <c r="F916">
        <v>5.8</v>
      </c>
      <c r="G916">
        <v>60</v>
      </c>
      <c r="H916" s="2" t="s">
        <v>19</v>
      </c>
      <c r="I916" s="2" t="s">
        <v>73</v>
      </c>
      <c r="J916" s="2" t="s">
        <v>32</v>
      </c>
      <c r="K916">
        <v>87535</v>
      </c>
      <c r="L916" s="2" t="s">
        <v>22</v>
      </c>
      <c r="M916">
        <v>0.19</v>
      </c>
      <c r="N916">
        <v>0.73</v>
      </c>
      <c r="O916">
        <v>8051.38</v>
      </c>
      <c r="P916">
        <v>0</v>
      </c>
      <c r="Q916">
        <v>37</v>
      </c>
      <c r="R916">
        <v>2206.9</v>
      </c>
      <c r="S916">
        <v>9816.9</v>
      </c>
      <c r="T916">
        <v>441.38000000000011</v>
      </c>
      <c r="U916">
        <v>0</v>
      </c>
      <c r="V916" s="2" t="s">
        <v>2056</v>
      </c>
      <c r="W916" s="2" t="s">
        <v>2064</v>
      </c>
      <c r="X916">
        <v>3678.1667000000002</v>
      </c>
      <c r="Y916">
        <v>5.8000000000000017E-2</v>
      </c>
      <c r="Z916" s="2" t="s">
        <v>2061</v>
      </c>
    </row>
    <row r="917" spans="1:26" x14ac:dyDescent="0.3">
      <c r="A917" s="2" t="s">
        <v>1876</v>
      </c>
      <c r="B917" s="1">
        <v>44786</v>
      </c>
      <c r="C917" s="2" t="s">
        <v>1877</v>
      </c>
      <c r="D917" s="2" t="s">
        <v>65</v>
      </c>
      <c r="E917">
        <v>7430</v>
      </c>
      <c r="F917">
        <v>13</v>
      </c>
      <c r="G917">
        <v>60</v>
      </c>
      <c r="H917" s="2" t="s">
        <v>19</v>
      </c>
      <c r="I917" s="2" t="s">
        <v>41</v>
      </c>
      <c r="J917" s="2" t="s">
        <v>47</v>
      </c>
      <c r="K917">
        <v>72946</v>
      </c>
      <c r="L917" s="2" t="s">
        <v>22</v>
      </c>
      <c r="M917">
        <v>0.4</v>
      </c>
      <c r="N917">
        <v>0.56000000000000005</v>
      </c>
      <c r="O917">
        <v>8395.9</v>
      </c>
      <c r="P917">
        <v>0</v>
      </c>
      <c r="Q917">
        <v>43</v>
      </c>
      <c r="R917">
        <v>4829.5</v>
      </c>
      <c r="S917">
        <v>12259.5</v>
      </c>
      <c r="T917">
        <v>965.89999999999964</v>
      </c>
      <c r="U917">
        <v>0</v>
      </c>
      <c r="V917" s="2" t="s">
        <v>2056</v>
      </c>
      <c r="W917" s="2" t="s">
        <v>2062</v>
      </c>
      <c r="X917">
        <v>8049.1666999999998</v>
      </c>
      <c r="Y917">
        <v>0.12999999999999995</v>
      </c>
      <c r="Z917" s="2" t="s">
        <v>2061</v>
      </c>
    </row>
    <row r="918" spans="1:26" x14ac:dyDescent="0.3">
      <c r="A918" s="2" t="s">
        <v>1878</v>
      </c>
      <c r="B918" s="1">
        <v>45206</v>
      </c>
      <c r="C918" s="2" t="s">
        <v>1879</v>
      </c>
      <c r="D918" s="2" t="s">
        <v>56</v>
      </c>
      <c r="E918">
        <v>14828</v>
      </c>
      <c r="F918">
        <v>20.2</v>
      </c>
      <c r="G918">
        <v>36</v>
      </c>
      <c r="H918" s="2" t="s">
        <v>19</v>
      </c>
      <c r="I918" s="2" t="s">
        <v>20</v>
      </c>
      <c r="J918" s="2" t="s">
        <v>37</v>
      </c>
      <c r="K918">
        <v>86561</v>
      </c>
      <c r="L918" s="2" t="s">
        <v>29</v>
      </c>
      <c r="M918">
        <v>0.47</v>
      </c>
      <c r="N918">
        <v>0.69</v>
      </c>
      <c r="O918">
        <v>17823.259999999998</v>
      </c>
      <c r="P918">
        <v>0</v>
      </c>
      <c r="Q918">
        <v>29</v>
      </c>
      <c r="R918">
        <v>8985.768</v>
      </c>
      <c r="S918">
        <v>23813.768</v>
      </c>
      <c r="T918">
        <v>2995.2599999999984</v>
      </c>
      <c r="U918">
        <v>0</v>
      </c>
      <c r="V918" s="2" t="s">
        <v>2056</v>
      </c>
      <c r="W918" s="2" t="s">
        <v>2057</v>
      </c>
      <c r="X918">
        <v>24960.466700000001</v>
      </c>
      <c r="Y918">
        <v>0.20200026975991356</v>
      </c>
      <c r="Z918" s="2" t="s">
        <v>2058</v>
      </c>
    </row>
    <row r="919" spans="1:26" x14ac:dyDescent="0.3">
      <c r="A919" s="2" t="s">
        <v>1880</v>
      </c>
      <c r="B919" s="1">
        <v>44390</v>
      </c>
      <c r="C919" s="2" t="s">
        <v>1881</v>
      </c>
      <c r="D919" s="2" t="s">
        <v>72</v>
      </c>
      <c r="E919">
        <v>32497</v>
      </c>
      <c r="F919">
        <v>14.1</v>
      </c>
      <c r="G919">
        <v>36</v>
      </c>
      <c r="H919" s="2" t="s">
        <v>26</v>
      </c>
      <c r="I919" s="2" t="s">
        <v>57</v>
      </c>
      <c r="J919" s="2" t="s">
        <v>21</v>
      </c>
      <c r="K919">
        <v>40377</v>
      </c>
      <c r="L919" s="2" t="s">
        <v>22</v>
      </c>
      <c r="M919">
        <v>0.14000000000000001</v>
      </c>
      <c r="N919">
        <v>0.65</v>
      </c>
      <c r="O919">
        <v>11783.49</v>
      </c>
      <c r="P919">
        <v>0</v>
      </c>
      <c r="Q919">
        <v>56</v>
      </c>
      <c r="R919">
        <v>13746.231</v>
      </c>
      <c r="S919">
        <v>46243.231</v>
      </c>
      <c r="T919">
        <v>-20713.510000000002</v>
      </c>
      <c r="U919">
        <v>0</v>
      </c>
      <c r="V919" s="2" t="s">
        <v>2059</v>
      </c>
      <c r="W919" s="2" t="s">
        <v>2057</v>
      </c>
      <c r="X919">
        <v>38183.974999999999</v>
      </c>
      <c r="Y919">
        <v>-0.63739760593285544</v>
      </c>
      <c r="Z919" s="2" t="s">
        <v>2061</v>
      </c>
    </row>
    <row r="920" spans="1:26" x14ac:dyDescent="0.3">
      <c r="A920" s="2" t="s">
        <v>1882</v>
      </c>
      <c r="B920" s="1">
        <v>44698</v>
      </c>
      <c r="C920" s="2" t="s">
        <v>1883</v>
      </c>
      <c r="D920" s="2" t="s">
        <v>65</v>
      </c>
      <c r="E920">
        <v>37618</v>
      </c>
      <c r="F920">
        <v>10.3</v>
      </c>
      <c r="G920">
        <v>36</v>
      </c>
      <c r="H920" s="2" t="s">
        <v>19</v>
      </c>
      <c r="I920" s="2" t="s">
        <v>57</v>
      </c>
      <c r="J920" s="2" t="s">
        <v>21</v>
      </c>
      <c r="K920">
        <v>83592</v>
      </c>
      <c r="L920" s="2" t="s">
        <v>29</v>
      </c>
      <c r="M920">
        <v>0.19</v>
      </c>
      <c r="N920">
        <v>0.57999999999999996</v>
      </c>
      <c r="O920">
        <v>41492.65</v>
      </c>
      <c r="P920">
        <v>0</v>
      </c>
      <c r="Q920">
        <v>46</v>
      </c>
      <c r="R920">
        <v>11623.962000000001</v>
      </c>
      <c r="S920">
        <v>49241.962</v>
      </c>
      <c r="T920">
        <v>3874.6500000000015</v>
      </c>
      <c r="U920">
        <v>0</v>
      </c>
      <c r="V920" s="2" t="s">
        <v>2056</v>
      </c>
      <c r="W920" s="2" t="s">
        <v>2057</v>
      </c>
      <c r="X920">
        <v>32288.783299999999</v>
      </c>
      <c r="Y920">
        <v>0.10299989366792497</v>
      </c>
      <c r="Z920" s="2" t="s">
        <v>2061</v>
      </c>
    </row>
    <row r="921" spans="1:26" x14ac:dyDescent="0.3">
      <c r="A921" s="2" t="s">
        <v>1884</v>
      </c>
      <c r="B921" s="1">
        <v>45184</v>
      </c>
      <c r="C921" s="2" t="s">
        <v>1885</v>
      </c>
      <c r="D921" s="2" t="s">
        <v>72</v>
      </c>
      <c r="E921">
        <v>27526</v>
      </c>
      <c r="F921">
        <v>9.4</v>
      </c>
      <c r="G921">
        <v>36</v>
      </c>
      <c r="H921" s="2" t="s">
        <v>19</v>
      </c>
      <c r="I921" s="2" t="s">
        <v>73</v>
      </c>
      <c r="J921" s="2" t="s">
        <v>32</v>
      </c>
      <c r="K921">
        <v>37347</v>
      </c>
      <c r="L921" s="2" t="s">
        <v>22</v>
      </c>
      <c r="M921">
        <v>0.4</v>
      </c>
      <c r="N921">
        <v>0.5</v>
      </c>
      <c r="O921">
        <v>30113.439999999999</v>
      </c>
      <c r="P921">
        <v>0</v>
      </c>
      <c r="Q921">
        <v>30</v>
      </c>
      <c r="R921">
        <v>7762.3320000000012</v>
      </c>
      <c r="S921">
        <v>35288.332000000002</v>
      </c>
      <c r="T921">
        <v>2587.4399999999987</v>
      </c>
      <c r="U921">
        <v>0</v>
      </c>
      <c r="V921" s="2" t="s">
        <v>2056</v>
      </c>
      <c r="W921" s="2" t="s">
        <v>2064</v>
      </c>
      <c r="X921">
        <v>21562.0334</v>
      </c>
      <c r="Y921">
        <v>9.399985468284526E-2</v>
      </c>
      <c r="Z921" s="2" t="s">
        <v>2061</v>
      </c>
    </row>
    <row r="922" spans="1:26" x14ac:dyDescent="0.3">
      <c r="A922" s="2" t="s">
        <v>1886</v>
      </c>
      <c r="B922" s="1">
        <v>44310</v>
      </c>
      <c r="C922" s="2" t="s">
        <v>1887</v>
      </c>
      <c r="D922" s="2" t="s">
        <v>40</v>
      </c>
      <c r="E922">
        <v>31158</v>
      </c>
      <c r="F922">
        <v>7.6</v>
      </c>
      <c r="G922">
        <v>36</v>
      </c>
      <c r="H922" s="2" t="s">
        <v>19</v>
      </c>
      <c r="I922" s="2" t="s">
        <v>20</v>
      </c>
      <c r="J922" s="2" t="s">
        <v>28</v>
      </c>
      <c r="K922">
        <v>63776</v>
      </c>
      <c r="L922" s="2" t="s">
        <v>33</v>
      </c>
      <c r="M922">
        <v>0.21</v>
      </c>
      <c r="N922">
        <v>0.71</v>
      </c>
      <c r="O922">
        <v>33526.01</v>
      </c>
      <c r="P922">
        <v>0</v>
      </c>
      <c r="Q922">
        <v>58</v>
      </c>
      <c r="R922">
        <v>7104.0240000000003</v>
      </c>
      <c r="S922">
        <v>38262.023999999998</v>
      </c>
      <c r="T922">
        <v>2368.010000000002</v>
      </c>
      <c r="U922">
        <v>0</v>
      </c>
      <c r="V922" s="2" t="s">
        <v>2056</v>
      </c>
      <c r="W922" s="2" t="s">
        <v>2057</v>
      </c>
      <c r="X922">
        <v>19733.400399999999</v>
      </c>
      <c r="Y922">
        <v>7.6000064188972399E-2</v>
      </c>
      <c r="Z922" s="2" t="s">
        <v>2061</v>
      </c>
    </row>
    <row r="923" spans="1:26" x14ac:dyDescent="0.3">
      <c r="A923" s="2" t="s">
        <v>1888</v>
      </c>
      <c r="B923" s="1">
        <v>45143</v>
      </c>
      <c r="C923" s="2" t="s">
        <v>1889</v>
      </c>
      <c r="D923" s="2" t="s">
        <v>76</v>
      </c>
      <c r="E923">
        <v>26032</v>
      </c>
      <c r="F923">
        <v>22.1</v>
      </c>
      <c r="G923">
        <v>60</v>
      </c>
      <c r="H923" s="2" t="s">
        <v>19</v>
      </c>
      <c r="I923" s="2" t="s">
        <v>20</v>
      </c>
      <c r="J923" s="2" t="s">
        <v>28</v>
      </c>
      <c r="K923">
        <v>33783</v>
      </c>
      <c r="L923" s="2" t="s">
        <v>33</v>
      </c>
      <c r="M923">
        <v>0.35</v>
      </c>
      <c r="N923">
        <v>0.81</v>
      </c>
      <c r="O923">
        <v>31785.07</v>
      </c>
      <c r="P923">
        <v>0</v>
      </c>
      <c r="Q923">
        <v>31</v>
      </c>
      <c r="R923">
        <v>28765.360000000004</v>
      </c>
      <c r="S923">
        <v>54797.36</v>
      </c>
      <c r="T923">
        <v>5753.07</v>
      </c>
      <c r="U923">
        <v>0</v>
      </c>
      <c r="V923" s="2" t="s">
        <v>2056</v>
      </c>
      <c r="W923" s="2" t="s">
        <v>2057</v>
      </c>
      <c r="X923">
        <v>47942.2667</v>
      </c>
      <c r="Y923">
        <v>0.22099992317148123</v>
      </c>
      <c r="Z923" s="2" t="s">
        <v>2058</v>
      </c>
    </row>
    <row r="924" spans="1:26" x14ac:dyDescent="0.3">
      <c r="A924" s="2" t="s">
        <v>1890</v>
      </c>
      <c r="B924" s="1">
        <v>45027</v>
      </c>
      <c r="C924" s="2" t="s">
        <v>1891</v>
      </c>
      <c r="D924" s="2" t="s">
        <v>50</v>
      </c>
      <c r="E924">
        <v>38846</v>
      </c>
      <c r="F924">
        <v>16.5</v>
      </c>
      <c r="G924">
        <v>36</v>
      </c>
      <c r="H924" s="2" t="s">
        <v>19</v>
      </c>
      <c r="I924" s="2" t="s">
        <v>57</v>
      </c>
      <c r="J924" s="2" t="s">
        <v>37</v>
      </c>
      <c r="K924">
        <v>85798</v>
      </c>
      <c r="L924" s="2" t="s">
        <v>22</v>
      </c>
      <c r="M924">
        <v>0.13</v>
      </c>
      <c r="N924">
        <v>0.6</v>
      </c>
      <c r="O924">
        <v>45255.59</v>
      </c>
      <c r="P924">
        <v>0</v>
      </c>
      <c r="Q924">
        <v>35</v>
      </c>
      <c r="R924">
        <v>19228.77</v>
      </c>
      <c r="S924">
        <v>58074.770000000004</v>
      </c>
      <c r="T924">
        <v>6409.5899999999965</v>
      </c>
      <c r="U924">
        <v>0</v>
      </c>
      <c r="V924" s="2" t="s">
        <v>2056</v>
      </c>
      <c r="W924" s="2" t="s">
        <v>2057</v>
      </c>
      <c r="X924">
        <v>53413.25</v>
      </c>
      <c r="Y924">
        <v>0.1649999999999999</v>
      </c>
      <c r="Z924" s="2" t="s">
        <v>2061</v>
      </c>
    </row>
    <row r="925" spans="1:26" x14ac:dyDescent="0.3">
      <c r="A925" s="2" t="s">
        <v>1892</v>
      </c>
      <c r="B925" s="1">
        <v>45121</v>
      </c>
      <c r="C925" s="2" t="s">
        <v>1893</v>
      </c>
      <c r="D925" s="2" t="s">
        <v>65</v>
      </c>
      <c r="E925">
        <v>30794</v>
      </c>
      <c r="F925">
        <v>6.5</v>
      </c>
      <c r="G925">
        <v>36</v>
      </c>
      <c r="H925" s="2" t="s">
        <v>26</v>
      </c>
      <c r="I925" s="2" t="s">
        <v>36</v>
      </c>
      <c r="J925" s="2" t="s">
        <v>28</v>
      </c>
      <c r="K925">
        <v>34298</v>
      </c>
      <c r="L925" s="2" t="s">
        <v>33</v>
      </c>
      <c r="M925">
        <v>0.28000000000000003</v>
      </c>
      <c r="N925">
        <v>0.56000000000000005</v>
      </c>
      <c r="O925">
        <v>12202.69</v>
      </c>
      <c r="P925">
        <v>0</v>
      </c>
      <c r="Q925">
        <v>32</v>
      </c>
      <c r="R925">
        <v>6004.829999999999</v>
      </c>
      <c r="S925">
        <v>36798.83</v>
      </c>
      <c r="T925">
        <v>-18591.309999999998</v>
      </c>
      <c r="U925">
        <v>0</v>
      </c>
      <c r="V925" s="2" t="s">
        <v>2059</v>
      </c>
      <c r="W925" s="2" t="s">
        <v>2062</v>
      </c>
      <c r="X925">
        <v>16680.086200000002</v>
      </c>
      <c r="Y925">
        <v>-0.60373157108527631</v>
      </c>
      <c r="Z925" s="2" t="s">
        <v>2061</v>
      </c>
    </row>
    <row r="926" spans="1:26" x14ac:dyDescent="0.3">
      <c r="A926" s="2" t="s">
        <v>1894</v>
      </c>
      <c r="B926" s="1">
        <v>44251</v>
      </c>
      <c r="C926" s="2" t="s">
        <v>1895</v>
      </c>
      <c r="D926" s="2" t="s">
        <v>18</v>
      </c>
      <c r="E926">
        <v>6448</v>
      </c>
      <c r="F926">
        <v>12.7</v>
      </c>
      <c r="G926">
        <v>36</v>
      </c>
      <c r="H926" s="2" t="s">
        <v>26</v>
      </c>
      <c r="I926" s="2" t="s">
        <v>27</v>
      </c>
      <c r="J926" s="2" t="s">
        <v>21</v>
      </c>
      <c r="K926">
        <v>100204</v>
      </c>
      <c r="L926" s="2" t="s">
        <v>33</v>
      </c>
      <c r="M926">
        <v>0.4</v>
      </c>
      <c r="N926">
        <v>0.9</v>
      </c>
      <c r="O926">
        <v>1032.68</v>
      </c>
      <c r="P926">
        <v>0</v>
      </c>
      <c r="Q926">
        <v>60</v>
      </c>
      <c r="R926">
        <v>2456.6879999999996</v>
      </c>
      <c r="S926">
        <v>8904.6880000000001</v>
      </c>
      <c r="T926">
        <v>-5415.32</v>
      </c>
      <c r="U926">
        <v>0</v>
      </c>
      <c r="V926" s="2" t="s">
        <v>2059</v>
      </c>
      <c r="W926" s="2" t="s">
        <v>2060</v>
      </c>
      <c r="X926">
        <v>6824.1333000000004</v>
      </c>
      <c r="Y926">
        <v>-0.83984491315136467</v>
      </c>
      <c r="Z926" s="2" t="s">
        <v>2058</v>
      </c>
    </row>
    <row r="927" spans="1:26" x14ac:dyDescent="0.3">
      <c r="A927" s="2" t="s">
        <v>1896</v>
      </c>
      <c r="B927" s="1">
        <v>44996</v>
      </c>
      <c r="C927" s="2" t="s">
        <v>1897</v>
      </c>
      <c r="D927" s="2" t="s">
        <v>72</v>
      </c>
      <c r="E927">
        <v>29861</v>
      </c>
      <c r="F927">
        <v>12.4</v>
      </c>
      <c r="G927">
        <v>60</v>
      </c>
      <c r="H927" s="2" t="s">
        <v>19</v>
      </c>
      <c r="I927" s="2" t="s">
        <v>27</v>
      </c>
      <c r="J927" s="2" t="s">
        <v>28</v>
      </c>
      <c r="K927">
        <v>116207</v>
      </c>
      <c r="L927" s="2" t="s">
        <v>33</v>
      </c>
      <c r="M927">
        <v>0.37</v>
      </c>
      <c r="N927">
        <v>0.62</v>
      </c>
      <c r="O927">
        <v>33563.760000000002</v>
      </c>
      <c r="P927">
        <v>0</v>
      </c>
      <c r="Q927">
        <v>36</v>
      </c>
      <c r="R927">
        <v>18513.82</v>
      </c>
      <c r="S927">
        <v>48374.82</v>
      </c>
      <c r="T927">
        <v>3702.760000000002</v>
      </c>
      <c r="U927">
        <v>0</v>
      </c>
      <c r="V927" s="2" t="s">
        <v>2056</v>
      </c>
      <c r="W927" s="2" t="s">
        <v>2060</v>
      </c>
      <c r="X927">
        <v>30856.366699999999</v>
      </c>
      <c r="Y927">
        <v>0.12399986604601326</v>
      </c>
      <c r="Z927" s="2" t="s">
        <v>2061</v>
      </c>
    </row>
    <row r="928" spans="1:26" x14ac:dyDescent="0.3">
      <c r="A928" s="2" t="s">
        <v>1898</v>
      </c>
      <c r="B928" s="1">
        <v>44974</v>
      </c>
      <c r="C928" s="2" t="s">
        <v>1899</v>
      </c>
      <c r="D928" s="2" t="s">
        <v>56</v>
      </c>
      <c r="E928">
        <v>29141</v>
      </c>
      <c r="F928">
        <v>8.6</v>
      </c>
      <c r="G928">
        <v>60</v>
      </c>
      <c r="H928" s="2" t="s">
        <v>81</v>
      </c>
      <c r="I928" s="2" t="s">
        <v>84</v>
      </c>
      <c r="J928" s="2" t="s">
        <v>37</v>
      </c>
      <c r="K928">
        <v>130356</v>
      </c>
      <c r="L928" s="2" t="s">
        <v>29</v>
      </c>
      <c r="M928">
        <v>0.43</v>
      </c>
      <c r="N928">
        <v>0.6</v>
      </c>
      <c r="O928">
        <v>3346.38</v>
      </c>
      <c r="P928">
        <v>13855.54</v>
      </c>
      <c r="Q928">
        <v>37</v>
      </c>
      <c r="R928">
        <v>12530.63</v>
      </c>
      <c r="S928">
        <v>41671.629999999997</v>
      </c>
      <c r="T928">
        <v>-11939.079999999998</v>
      </c>
      <c r="U928">
        <v>1</v>
      </c>
      <c r="V928" s="2" t="s">
        <v>2063</v>
      </c>
      <c r="W928" s="2" t="s">
        <v>2062</v>
      </c>
      <c r="X928">
        <v>20884.383300000001</v>
      </c>
      <c r="Y928">
        <v>-0.40970042208572111</v>
      </c>
      <c r="Z928" s="2" t="s">
        <v>2058</v>
      </c>
    </row>
    <row r="929" spans="1:26" x14ac:dyDescent="0.3">
      <c r="A929" s="2" t="s">
        <v>1900</v>
      </c>
      <c r="B929" s="1">
        <v>44358</v>
      </c>
      <c r="C929" s="2" t="s">
        <v>1901</v>
      </c>
      <c r="D929" s="2" t="s">
        <v>46</v>
      </c>
      <c r="E929">
        <v>10074</v>
      </c>
      <c r="F929">
        <v>13.7</v>
      </c>
      <c r="G929">
        <v>36</v>
      </c>
      <c r="H929" s="2" t="s">
        <v>26</v>
      </c>
      <c r="I929" s="2" t="s">
        <v>20</v>
      </c>
      <c r="J929" s="2" t="s">
        <v>21</v>
      </c>
      <c r="K929">
        <v>85161</v>
      </c>
      <c r="L929" s="2" t="s">
        <v>22</v>
      </c>
      <c r="M929">
        <v>0.45</v>
      </c>
      <c r="N929">
        <v>0.89</v>
      </c>
      <c r="O929">
        <v>4351.3500000000004</v>
      </c>
      <c r="P929">
        <v>0</v>
      </c>
      <c r="Q929">
        <v>57</v>
      </c>
      <c r="R929">
        <v>4140.4139999999998</v>
      </c>
      <c r="S929">
        <v>14214.414000000001</v>
      </c>
      <c r="T929">
        <v>-5722.65</v>
      </c>
      <c r="U929">
        <v>0</v>
      </c>
      <c r="V929" s="2" t="s">
        <v>2059</v>
      </c>
      <c r="W929" s="2" t="s">
        <v>2057</v>
      </c>
      <c r="X929">
        <v>11501.15</v>
      </c>
      <c r="Y929">
        <v>-0.56806134603930902</v>
      </c>
      <c r="Z929" s="2" t="s">
        <v>2058</v>
      </c>
    </row>
    <row r="930" spans="1:26" x14ac:dyDescent="0.3">
      <c r="A930" s="2" t="s">
        <v>1902</v>
      </c>
      <c r="B930" s="1">
        <v>44283</v>
      </c>
      <c r="C930" s="2" t="s">
        <v>1903</v>
      </c>
      <c r="D930" s="2" t="s">
        <v>56</v>
      </c>
      <c r="E930">
        <v>7406</v>
      </c>
      <c r="F930">
        <v>11.6</v>
      </c>
      <c r="G930">
        <v>60</v>
      </c>
      <c r="H930" s="2" t="s">
        <v>19</v>
      </c>
      <c r="I930" s="2" t="s">
        <v>84</v>
      </c>
      <c r="J930" s="2" t="s">
        <v>28</v>
      </c>
      <c r="K930">
        <v>90652</v>
      </c>
      <c r="L930" s="2" t="s">
        <v>22</v>
      </c>
      <c r="M930">
        <v>0.41</v>
      </c>
      <c r="N930">
        <v>0.87</v>
      </c>
      <c r="O930">
        <v>8265.1</v>
      </c>
      <c r="P930">
        <v>0</v>
      </c>
      <c r="Q930">
        <v>59</v>
      </c>
      <c r="R930">
        <v>4295.4799999999996</v>
      </c>
      <c r="S930">
        <v>11701.48</v>
      </c>
      <c r="T930">
        <v>859.10000000000036</v>
      </c>
      <c r="U930">
        <v>0</v>
      </c>
      <c r="V930" s="2" t="s">
        <v>2056</v>
      </c>
      <c r="W930" s="2" t="s">
        <v>2062</v>
      </c>
      <c r="X930">
        <v>7159.1333000000004</v>
      </c>
      <c r="Y930">
        <v>0.11600054010261955</v>
      </c>
      <c r="Z930" s="2" t="s">
        <v>2058</v>
      </c>
    </row>
    <row r="931" spans="1:26" x14ac:dyDescent="0.3">
      <c r="A931" s="2" t="s">
        <v>1904</v>
      </c>
      <c r="B931" s="1">
        <v>44251</v>
      </c>
      <c r="C931" s="2" t="s">
        <v>1905</v>
      </c>
      <c r="D931" s="2" t="s">
        <v>65</v>
      </c>
      <c r="E931">
        <v>32823</v>
      </c>
      <c r="F931">
        <v>11.8</v>
      </c>
      <c r="G931">
        <v>36</v>
      </c>
      <c r="H931" s="2" t="s">
        <v>26</v>
      </c>
      <c r="I931" s="2" t="s">
        <v>73</v>
      </c>
      <c r="J931" s="2" t="s">
        <v>21</v>
      </c>
      <c r="K931">
        <v>64484</v>
      </c>
      <c r="L931" s="2" t="s">
        <v>22</v>
      </c>
      <c r="M931">
        <v>0.37</v>
      </c>
      <c r="N931">
        <v>0.7</v>
      </c>
      <c r="O931">
        <v>1788.26</v>
      </c>
      <c r="P931">
        <v>0</v>
      </c>
      <c r="Q931">
        <v>60</v>
      </c>
      <c r="R931">
        <v>11619.341999999999</v>
      </c>
      <c r="S931">
        <v>44442.341999999997</v>
      </c>
      <c r="T931">
        <v>-31034.74</v>
      </c>
      <c r="U931">
        <v>0</v>
      </c>
      <c r="V931" s="2" t="s">
        <v>2059</v>
      </c>
      <c r="W931" s="2" t="s">
        <v>2064</v>
      </c>
      <c r="X931">
        <v>32275.95</v>
      </c>
      <c r="Y931">
        <v>-0.94551808183286112</v>
      </c>
      <c r="Z931" s="2" t="s">
        <v>2061</v>
      </c>
    </row>
    <row r="932" spans="1:26" x14ac:dyDescent="0.3">
      <c r="A932" s="2" t="s">
        <v>1906</v>
      </c>
      <c r="B932" s="1">
        <v>45228</v>
      </c>
      <c r="C932" s="2" t="s">
        <v>1907</v>
      </c>
      <c r="D932" s="2" t="s">
        <v>25</v>
      </c>
      <c r="E932">
        <v>24291</v>
      </c>
      <c r="F932">
        <v>19.8</v>
      </c>
      <c r="G932">
        <v>36</v>
      </c>
      <c r="H932" s="2" t="s">
        <v>60</v>
      </c>
      <c r="I932" s="2" t="s">
        <v>57</v>
      </c>
      <c r="J932" s="2" t="s">
        <v>32</v>
      </c>
      <c r="K932">
        <v>128614</v>
      </c>
      <c r="L932" s="2" t="s">
        <v>33</v>
      </c>
      <c r="M932">
        <v>0.11</v>
      </c>
      <c r="N932">
        <v>0.72</v>
      </c>
      <c r="O932">
        <v>0</v>
      </c>
      <c r="P932">
        <v>0</v>
      </c>
      <c r="Q932">
        <v>28</v>
      </c>
      <c r="R932">
        <v>14428.853999999999</v>
      </c>
      <c r="S932">
        <v>38719.853999999999</v>
      </c>
      <c r="T932">
        <v>-24291</v>
      </c>
      <c r="U932">
        <v>0</v>
      </c>
      <c r="V932" s="2" t="s">
        <v>2063</v>
      </c>
      <c r="W932" s="2" t="s">
        <v>2057</v>
      </c>
      <c r="X932">
        <v>40080.15</v>
      </c>
      <c r="Y932">
        <v>-1</v>
      </c>
      <c r="Z932" s="2" t="s">
        <v>2061</v>
      </c>
    </row>
    <row r="933" spans="1:26" x14ac:dyDescent="0.3">
      <c r="A933" s="2" t="s">
        <v>1908</v>
      </c>
      <c r="B933" s="1">
        <v>45029</v>
      </c>
      <c r="C933" s="2" t="s">
        <v>1909</v>
      </c>
      <c r="D933" s="2" t="s">
        <v>50</v>
      </c>
      <c r="E933">
        <v>33003</v>
      </c>
      <c r="F933">
        <v>9.5</v>
      </c>
      <c r="G933">
        <v>60</v>
      </c>
      <c r="H933" s="2" t="s">
        <v>19</v>
      </c>
      <c r="I933" s="2" t="s">
        <v>84</v>
      </c>
      <c r="J933" s="2" t="s">
        <v>32</v>
      </c>
      <c r="K933">
        <v>142695</v>
      </c>
      <c r="L933" s="2" t="s">
        <v>29</v>
      </c>
      <c r="M933">
        <v>0.31</v>
      </c>
      <c r="N933">
        <v>0.6</v>
      </c>
      <c r="O933">
        <v>36138.28</v>
      </c>
      <c r="P933">
        <v>0</v>
      </c>
      <c r="Q933">
        <v>35</v>
      </c>
      <c r="R933">
        <v>15676.424999999997</v>
      </c>
      <c r="S933">
        <v>48679.424999999996</v>
      </c>
      <c r="T933">
        <v>3135.2799999999988</v>
      </c>
      <c r="U933">
        <v>0</v>
      </c>
      <c r="V933" s="2" t="s">
        <v>2056</v>
      </c>
      <c r="W933" s="2" t="s">
        <v>2062</v>
      </c>
      <c r="X933">
        <v>26127.375</v>
      </c>
      <c r="Y933">
        <v>9.4999848498621309E-2</v>
      </c>
      <c r="Z933" s="2" t="s">
        <v>2061</v>
      </c>
    </row>
    <row r="934" spans="1:26" x14ac:dyDescent="0.3">
      <c r="A934" s="2" t="s">
        <v>1910</v>
      </c>
      <c r="B934" s="1">
        <v>44509</v>
      </c>
      <c r="C934" s="2" t="s">
        <v>1911</v>
      </c>
      <c r="D934" s="2" t="s">
        <v>76</v>
      </c>
      <c r="E934">
        <v>35406</v>
      </c>
      <c r="F934">
        <v>17.8</v>
      </c>
      <c r="G934">
        <v>60</v>
      </c>
      <c r="H934" s="2" t="s">
        <v>19</v>
      </c>
      <c r="I934" s="2" t="s">
        <v>84</v>
      </c>
      <c r="J934" s="2" t="s">
        <v>32</v>
      </c>
      <c r="K934">
        <v>50922</v>
      </c>
      <c r="L934" s="2" t="s">
        <v>22</v>
      </c>
      <c r="M934">
        <v>0.12</v>
      </c>
      <c r="N934">
        <v>0.54</v>
      </c>
      <c r="O934">
        <v>41708.269999999997</v>
      </c>
      <c r="P934">
        <v>0</v>
      </c>
      <c r="Q934">
        <v>52</v>
      </c>
      <c r="R934">
        <v>31511.34</v>
      </c>
      <c r="S934">
        <v>66917.34</v>
      </c>
      <c r="T934">
        <v>6302.2699999999968</v>
      </c>
      <c r="U934">
        <v>0</v>
      </c>
      <c r="V934" s="2" t="s">
        <v>2056</v>
      </c>
      <c r="W934" s="2" t="s">
        <v>2062</v>
      </c>
      <c r="X934">
        <v>52518.9</v>
      </c>
      <c r="Y934">
        <v>0.17800005648760089</v>
      </c>
      <c r="Z934" s="2" t="s">
        <v>2061</v>
      </c>
    </row>
    <row r="935" spans="1:26" x14ac:dyDescent="0.3">
      <c r="A935" s="2" t="s">
        <v>1912</v>
      </c>
      <c r="B935" s="1">
        <v>44955</v>
      </c>
      <c r="C935" s="2" t="s">
        <v>1913</v>
      </c>
      <c r="D935" s="2" t="s">
        <v>18</v>
      </c>
      <c r="E935">
        <v>24312</v>
      </c>
      <c r="F935">
        <v>16.399999999999999</v>
      </c>
      <c r="G935">
        <v>36</v>
      </c>
      <c r="H935" s="2" t="s">
        <v>81</v>
      </c>
      <c r="I935" s="2" t="s">
        <v>84</v>
      </c>
      <c r="J935" s="2" t="s">
        <v>28</v>
      </c>
      <c r="K935">
        <v>64028</v>
      </c>
      <c r="L935" s="2" t="s">
        <v>33</v>
      </c>
      <c r="M935">
        <v>0.42</v>
      </c>
      <c r="N935">
        <v>0.76</v>
      </c>
      <c r="O935">
        <v>9266.1200000000008</v>
      </c>
      <c r="P935">
        <v>2516.62</v>
      </c>
      <c r="Q935">
        <v>37</v>
      </c>
      <c r="R935">
        <v>11961.503999999999</v>
      </c>
      <c r="S935">
        <v>36273.504000000001</v>
      </c>
      <c r="T935">
        <v>-12529.259999999998</v>
      </c>
      <c r="U935">
        <v>1</v>
      </c>
      <c r="V935" s="2" t="s">
        <v>2063</v>
      </c>
      <c r="W935" s="2" t="s">
        <v>2062</v>
      </c>
      <c r="X935">
        <v>33226.400000000001</v>
      </c>
      <c r="Y935">
        <v>-0.51535291214215195</v>
      </c>
      <c r="Z935" s="2" t="s">
        <v>2058</v>
      </c>
    </row>
    <row r="936" spans="1:26" x14ac:dyDescent="0.3">
      <c r="A936" s="2" t="s">
        <v>1914</v>
      </c>
      <c r="B936" s="1">
        <v>44639</v>
      </c>
      <c r="C936" s="2" t="s">
        <v>1915</v>
      </c>
      <c r="D936" s="2" t="s">
        <v>25</v>
      </c>
      <c r="E936">
        <v>2382</v>
      </c>
      <c r="F936">
        <v>16.399999999999999</v>
      </c>
      <c r="G936">
        <v>36</v>
      </c>
      <c r="H936" s="2" t="s">
        <v>26</v>
      </c>
      <c r="I936" s="2" t="s">
        <v>20</v>
      </c>
      <c r="J936" s="2" t="s">
        <v>37</v>
      </c>
      <c r="K936">
        <v>141461</v>
      </c>
      <c r="L936" s="2" t="s">
        <v>29</v>
      </c>
      <c r="M936">
        <v>0.23</v>
      </c>
      <c r="N936">
        <v>0.54</v>
      </c>
      <c r="O936">
        <v>791.85</v>
      </c>
      <c r="P936">
        <v>0</v>
      </c>
      <c r="Q936">
        <v>48</v>
      </c>
      <c r="R936">
        <v>1171.944</v>
      </c>
      <c r="S936">
        <v>3553.944</v>
      </c>
      <c r="T936">
        <v>-1590.15</v>
      </c>
      <c r="U936">
        <v>0</v>
      </c>
      <c r="V936" s="2" t="s">
        <v>2059</v>
      </c>
      <c r="W936" s="2" t="s">
        <v>2057</v>
      </c>
      <c r="X936">
        <v>3255.4</v>
      </c>
      <c r="Y936">
        <v>-0.6675692695214106</v>
      </c>
      <c r="Z936" s="2" t="s">
        <v>2061</v>
      </c>
    </row>
    <row r="937" spans="1:26" x14ac:dyDescent="0.3">
      <c r="A937" s="2" t="s">
        <v>1916</v>
      </c>
      <c r="B937" s="1">
        <v>44524</v>
      </c>
      <c r="C937" s="2" t="s">
        <v>1917</v>
      </c>
      <c r="D937" s="2" t="s">
        <v>56</v>
      </c>
      <c r="E937">
        <v>35171</v>
      </c>
      <c r="F937">
        <v>18.3</v>
      </c>
      <c r="G937">
        <v>60</v>
      </c>
      <c r="H937" s="2" t="s">
        <v>19</v>
      </c>
      <c r="I937" s="2" t="s">
        <v>41</v>
      </c>
      <c r="J937" s="2" t="s">
        <v>21</v>
      </c>
      <c r="K937">
        <v>50316</v>
      </c>
      <c r="L937" s="2" t="s">
        <v>29</v>
      </c>
      <c r="M937">
        <v>0.32</v>
      </c>
      <c r="N937">
        <v>0.7</v>
      </c>
      <c r="O937">
        <v>41607.29</v>
      </c>
      <c r="P937">
        <v>0</v>
      </c>
      <c r="Q937">
        <v>51</v>
      </c>
      <c r="R937">
        <v>32181.465</v>
      </c>
      <c r="S937">
        <v>67352.464999999997</v>
      </c>
      <c r="T937">
        <v>6436.2900000000009</v>
      </c>
      <c r="U937">
        <v>0</v>
      </c>
      <c r="V937" s="2" t="s">
        <v>2056</v>
      </c>
      <c r="W937" s="2" t="s">
        <v>2062</v>
      </c>
      <c r="X937">
        <v>53635.775000000001</v>
      </c>
      <c r="Y937">
        <v>0.18299991470245375</v>
      </c>
      <c r="Z937" s="2" t="s">
        <v>2061</v>
      </c>
    </row>
    <row r="938" spans="1:26" x14ac:dyDescent="0.3">
      <c r="A938" s="2" t="s">
        <v>1918</v>
      </c>
      <c r="B938" s="1">
        <v>45274</v>
      </c>
      <c r="C938" s="2" t="s">
        <v>1919</v>
      </c>
      <c r="D938" s="2" t="s">
        <v>72</v>
      </c>
      <c r="E938">
        <v>4292</v>
      </c>
      <c r="F938">
        <v>16</v>
      </c>
      <c r="G938">
        <v>36</v>
      </c>
      <c r="H938" s="2" t="s">
        <v>26</v>
      </c>
      <c r="I938" s="2" t="s">
        <v>36</v>
      </c>
      <c r="J938" s="2" t="s">
        <v>47</v>
      </c>
      <c r="K938">
        <v>106996</v>
      </c>
      <c r="L938" s="2" t="s">
        <v>22</v>
      </c>
      <c r="M938">
        <v>0.21</v>
      </c>
      <c r="N938">
        <v>0.92</v>
      </c>
      <c r="O938">
        <v>836.21</v>
      </c>
      <c r="P938">
        <v>0</v>
      </c>
      <c r="Q938">
        <v>27</v>
      </c>
      <c r="R938">
        <v>2060.1600000000003</v>
      </c>
      <c r="S938">
        <v>6352.16</v>
      </c>
      <c r="T938">
        <v>-3455.79</v>
      </c>
      <c r="U938">
        <v>0</v>
      </c>
      <c r="V938" s="2" t="s">
        <v>2059</v>
      </c>
      <c r="W938" s="2" t="s">
        <v>2062</v>
      </c>
      <c r="X938">
        <v>5722.6666999999998</v>
      </c>
      <c r="Y938">
        <v>-0.80517008387698041</v>
      </c>
      <c r="Z938" s="2" t="s">
        <v>2058</v>
      </c>
    </row>
    <row r="939" spans="1:26" x14ac:dyDescent="0.3">
      <c r="A939" s="2" t="s">
        <v>1920</v>
      </c>
      <c r="B939" s="1">
        <v>44957</v>
      </c>
      <c r="C939" s="2" t="s">
        <v>1921</v>
      </c>
      <c r="D939" s="2" t="s">
        <v>72</v>
      </c>
      <c r="E939">
        <v>34187</v>
      </c>
      <c r="F939">
        <v>22.6</v>
      </c>
      <c r="G939">
        <v>60</v>
      </c>
      <c r="H939" s="2" t="s">
        <v>19</v>
      </c>
      <c r="I939" s="2" t="s">
        <v>57</v>
      </c>
      <c r="J939" s="2" t="s">
        <v>32</v>
      </c>
      <c r="K939">
        <v>46968</v>
      </c>
      <c r="L939" s="2" t="s">
        <v>22</v>
      </c>
      <c r="M939">
        <v>0.41</v>
      </c>
      <c r="N939">
        <v>0.93</v>
      </c>
      <c r="O939">
        <v>41913.26</v>
      </c>
      <c r="P939">
        <v>0</v>
      </c>
      <c r="Q939">
        <v>37</v>
      </c>
      <c r="R939">
        <v>38631.310000000005</v>
      </c>
      <c r="S939">
        <v>72818.31</v>
      </c>
      <c r="T939">
        <v>7726.260000000002</v>
      </c>
      <c r="U939">
        <v>0</v>
      </c>
      <c r="V939" s="2" t="s">
        <v>2056</v>
      </c>
      <c r="W939" s="2" t="s">
        <v>2057</v>
      </c>
      <c r="X939">
        <v>64385.5167</v>
      </c>
      <c r="Y939">
        <v>0.22599994149823038</v>
      </c>
      <c r="Z939" s="2" t="s">
        <v>2058</v>
      </c>
    </row>
    <row r="940" spans="1:26" x14ac:dyDescent="0.3">
      <c r="A940" s="2" t="s">
        <v>1922</v>
      </c>
      <c r="B940" s="1">
        <v>44775</v>
      </c>
      <c r="C940" s="2" t="s">
        <v>1923</v>
      </c>
      <c r="D940" s="2" t="s">
        <v>25</v>
      </c>
      <c r="E940">
        <v>13411</v>
      </c>
      <c r="F940">
        <v>18.5</v>
      </c>
      <c r="G940">
        <v>36</v>
      </c>
      <c r="H940" s="2" t="s">
        <v>81</v>
      </c>
      <c r="I940" s="2" t="s">
        <v>20</v>
      </c>
      <c r="J940" s="2" t="s">
        <v>32</v>
      </c>
      <c r="K940">
        <v>60266</v>
      </c>
      <c r="L940" s="2" t="s">
        <v>33</v>
      </c>
      <c r="M940">
        <v>0.45</v>
      </c>
      <c r="N940">
        <v>0.61</v>
      </c>
      <c r="O940">
        <v>2332.75</v>
      </c>
      <c r="P940">
        <v>2064.9299999999998</v>
      </c>
      <c r="Q940">
        <v>43</v>
      </c>
      <c r="R940">
        <v>7443.1049999999996</v>
      </c>
      <c r="S940">
        <v>20854.105</v>
      </c>
      <c r="T940">
        <v>-9013.32</v>
      </c>
      <c r="U940">
        <v>1</v>
      </c>
      <c r="V940" s="2" t="s">
        <v>2063</v>
      </c>
      <c r="W940" s="2" t="s">
        <v>2057</v>
      </c>
      <c r="X940">
        <v>20675.291700000002</v>
      </c>
      <c r="Y940">
        <v>-0.67208411005890689</v>
      </c>
      <c r="Z940" s="2" t="s">
        <v>2058</v>
      </c>
    </row>
    <row r="941" spans="1:26" x14ac:dyDescent="0.3">
      <c r="A941" s="2" t="s">
        <v>1924</v>
      </c>
      <c r="B941" s="1">
        <v>45271</v>
      </c>
      <c r="C941" s="2" t="s">
        <v>1925</v>
      </c>
      <c r="D941" s="2" t="s">
        <v>72</v>
      </c>
      <c r="E941">
        <v>38285</v>
      </c>
      <c r="F941">
        <v>15.9</v>
      </c>
      <c r="G941">
        <v>60</v>
      </c>
      <c r="H941" s="2" t="s">
        <v>19</v>
      </c>
      <c r="I941" s="2" t="s">
        <v>20</v>
      </c>
      <c r="J941" s="2" t="s">
        <v>47</v>
      </c>
      <c r="K941">
        <v>125745</v>
      </c>
      <c r="L941" s="2" t="s">
        <v>22</v>
      </c>
      <c r="M941">
        <v>0.26</v>
      </c>
      <c r="N941">
        <v>0.78</v>
      </c>
      <c r="O941">
        <v>44372.32</v>
      </c>
      <c r="P941">
        <v>0</v>
      </c>
      <c r="Q941">
        <v>27</v>
      </c>
      <c r="R941">
        <v>30436.574999999997</v>
      </c>
      <c r="S941">
        <v>68721.574999999997</v>
      </c>
      <c r="T941">
        <v>6087.32</v>
      </c>
      <c r="U941">
        <v>0</v>
      </c>
      <c r="V941" s="2" t="s">
        <v>2056</v>
      </c>
      <c r="W941" s="2" t="s">
        <v>2057</v>
      </c>
      <c r="X941">
        <v>50727.625</v>
      </c>
      <c r="Y941">
        <v>0.15900013059945148</v>
      </c>
      <c r="Z941" s="2" t="s">
        <v>2061</v>
      </c>
    </row>
    <row r="942" spans="1:26" x14ac:dyDescent="0.3">
      <c r="A942" s="2" t="s">
        <v>1926</v>
      </c>
      <c r="B942" s="1">
        <v>45203</v>
      </c>
      <c r="C942" s="2" t="s">
        <v>1927</v>
      </c>
      <c r="D942" s="2" t="s">
        <v>56</v>
      </c>
      <c r="E942">
        <v>16422</v>
      </c>
      <c r="F942">
        <v>21.6</v>
      </c>
      <c r="G942">
        <v>36</v>
      </c>
      <c r="H942" s="2" t="s">
        <v>19</v>
      </c>
      <c r="I942" s="2" t="s">
        <v>41</v>
      </c>
      <c r="J942" s="2" t="s">
        <v>47</v>
      </c>
      <c r="K942">
        <v>54000</v>
      </c>
      <c r="L942" s="2" t="s">
        <v>33</v>
      </c>
      <c r="M942">
        <v>0.45</v>
      </c>
      <c r="N942">
        <v>0.71</v>
      </c>
      <c r="O942">
        <v>19969.150000000001</v>
      </c>
      <c r="P942">
        <v>0</v>
      </c>
      <c r="Q942">
        <v>29</v>
      </c>
      <c r="R942">
        <v>10641.456</v>
      </c>
      <c r="S942">
        <v>27063.455999999998</v>
      </c>
      <c r="T942">
        <v>3547.1500000000015</v>
      </c>
      <c r="U942">
        <v>0</v>
      </c>
      <c r="V942" s="2" t="s">
        <v>2056</v>
      </c>
      <c r="W942" s="2" t="s">
        <v>2062</v>
      </c>
      <c r="X942">
        <v>29559.599999999999</v>
      </c>
      <c r="Y942">
        <v>0.21599987821215452</v>
      </c>
      <c r="Z942" s="2" t="s">
        <v>2058</v>
      </c>
    </row>
    <row r="943" spans="1:26" x14ac:dyDescent="0.3">
      <c r="A943" s="2" t="s">
        <v>1928</v>
      </c>
      <c r="B943" s="1">
        <v>44292</v>
      </c>
      <c r="C943" s="2" t="s">
        <v>1929</v>
      </c>
      <c r="D943" s="2" t="s">
        <v>25</v>
      </c>
      <c r="E943">
        <v>33371</v>
      </c>
      <c r="F943">
        <v>17.100000000000001</v>
      </c>
      <c r="G943">
        <v>36</v>
      </c>
      <c r="H943" s="2" t="s">
        <v>26</v>
      </c>
      <c r="I943" s="2" t="s">
        <v>73</v>
      </c>
      <c r="J943" s="2" t="s">
        <v>28</v>
      </c>
      <c r="K943">
        <v>44011</v>
      </c>
      <c r="L943" s="2" t="s">
        <v>29</v>
      </c>
      <c r="M943">
        <v>0.21</v>
      </c>
      <c r="N943">
        <v>0.89</v>
      </c>
      <c r="O943">
        <v>1803.79</v>
      </c>
      <c r="P943">
        <v>0</v>
      </c>
      <c r="Q943">
        <v>59</v>
      </c>
      <c r="R943">
        <v>17119.323</v>
      </c>
      <c r="S943">
        <v>50490.323000000004</v>
      </c>
      <c r="T943">
        <v>-31567.21</v>
      </c>
      <c r="U943">
        <v>0</v>
      </c>
      <c r="V943" s="2" t="s">
        <v>2059</v>
      </c>
      <c r="W943" s="2" t="s">
        <v>2064</v>
      </c>
      <c r="X943">
        <v>47553.675000000003</v>
      </c>
      <c r="Y943">
        <v>-0.94594737946120877</v>
      </c>
      <c r="Z943" s="2" t="s">
        <v>2058</v>
      </c>
    </row>
    <row r="944" spans="1:26" x14ac:dyDescent="0.3">
      <c r="A944" s="2" t="s">
        <v>1930</v>
      </c>
      <c r="B944" s="1">
        <v>45010</v>
      </c>
      <c r="C944" s="2" t="s">
        <v>1931</v>
      </c>
      <c r="D944" s="2" t="s">
        <v>56</v>
      </c>
      <c r="E944">
        <v>6693</v>
      </c>
      <c r="F944">
        <v>10.8</v>
      </c>
      <c r="G944">
        <v>60</v>
      </c>
      <c r="H944" s="2" t="s">
        <v>19</v>
      </c>
      <c r="I944" s="2" t="s">
        <v>57</v>
      </c>
      <c r="J944" s="2" t="s">
        <v>21</v>
      </c>
      <c r="K944">
        <v>32866</v>
      </c>
      <c r="L944" s="2" t="s">
        <v>29</v>
      </c>
      <c r="M944">
        <v>0.31</v>
      </c>
      <c r="N944">
        <v>0.62</v>
      </c>
      <c r="O944">
        <v>7415.84</v>
      </c>
      <c r="P944">
        <v>0</v>
      </c>
      <c r="Q944">
        <v>35</v>
      </c>
      <c r="R944">
        <v>3614.22</v>
      </c>
      <c r="S944">
        <v>10307.219999999999</v>
      </c>
      <c r="T944">
        <v>722.84000000000015</v>
      </c>
      <c r="U944">
        <v>0</v>
      </c>
      <c r="V944" s="2" t="s">
        <v>2056</v>
      </c>
      <c r="W944" s="2" t="s">
        <v>2057</v>
      </c>
      <c r="X944">
        <v>6023.7</v>
      </c>
      <c r="Y944">
        <v>0.10799940236067536</v>
      </c>
      <c r="Z944" s="2" t="s">
        <v>2061</v>
      </c>
    </row>
    <row r="945" spans="1:26" x14ac:dyDescent="0.3">
      <c r="A945" s="2" t="s">
        <v>1932</v>
      </c>
      <c r="B945" s="1">
        <v>44687</v>
      </c>
      <c r="C945" s="2" t="s">
        <v>1933</v>
      </c>
      <c r="D945" s="2" t="s">
        <v>18</v>
      </c>
      <c r="E945">
        <v>34535</v>
      </c>
      <c r="F945">
        <v>9.1</v>
      </c>
      <c r="G945">
        <v>36</v>
      </c>
      <c r="H945" s="2" t="s">
        <v>19</v>
      </c>
      <c r="I945" s="2" t="s">
        <v>57</v>
      </c>
      <c r="J945" s="2" t="s">
        <v>32</v>
      </c>
      <c r="K945">
        <v>142669</v>
      </c>
      <c r="L945" s="2" t="s">
        <v>29</v>
      </c>
      <c r="M945">
        <v>0.44</v>
      </c>
      <c r="N945">
        <v>0.5</v>
      </c>
      <c r="O945">
        <v>37677.68</v>
      </c>
      <c r="P945">
        <v>0</v>
      </c>
      <c r="Q945">
        <v>46</v>
      </c>
      <c r="R945">
        <v>9428.0550000000003</v>
      </c>
      <c r="S945">
        <v>43963.055</v>
      </c>
      <c r="T945">
        <v>3142.6800000000003</v>
      </c>
      <c r="U945">
        <v>0</v>
      </c>
      <c r="V945" s="2" t="s">
        <v>2056</v>
      </c>
      <c r="W945" s="2" t="s">
        <v>2057</v>
      </c>
      <c r="X945">
        <v>26189.041700000002</v>
      </c>
      <c r="Y945">
        <v>9.0999855219342701E-2</v>
      </c>
      <c r="Z945" s="2" t="s">
        <v>2058</v>
      </c>
    </row>
    <row r="946" spans="1:26" x14ac:dyDescent="0.3">
      <c r="A946" s="2" t="s">
        <v>1934</v>
      </c>
      <c r="B946" s="1">
        <v>44648</v>
      </c>
      <c r="C946" s="2" t="s">
        <v>1935</v>
      </c>
      <c r="D946" s="2" t="s">
        <v>50</v>
      </c>
      <c r="E946">
        <v>15818</v>
      </c>
      <c r="F946">
        <v>8</v>
      </c>
      <c r="G946">
        <v>36</v>
      </c>
      <c r="H946" s="2" t="s">
        <v>26</v>
      </c>
      <c r="I946" s="2" t="s">
        <v>57</v>
      </c>
      <c r="J946" s="2" t="s">
        <v>37</v>
      </c>
      <c r="K946">
        <v>35898</v>
      </c>
      <c r="L946" s="2" t="s">
        <v>29</v>
      </c>
      <c r="M946">
        <v>0.23</v>
      </c>
      <c r="N946">
        <v>0.56999999999999995</v>
      </c>
      <c r="O946">
        <v>2467.0100000000002</v>
      </c>
      <c r="P946">
        <v>0</v>
      </c>
      <c r="Q946">
        <v>47</v>
      </c>
      <c r="R946">
        <v>3796.32</v>
      </c>
      <c r="S946">
        <v>19614.32</v>
      </c>
      <c r="T946">
        <v>-13350.99</v>
      </c>
      <c r="U946">
        <v>0</v>
      </c>
      <c r="V946" s="2" t="s">
        <v>2059</v>
      </c>
      <c r="W946" s="2" t="s">
        <v>2057</v>
      </c>
      <c r="X946">
        <v>10545.3334</v>
      </c>
      <c r="Y946">
        <v>-0.84403780503224168</v>
      </c>
      <c r="Z946" s="2" t="s">
        <v>2061</v>
      </c>
    </row>
    <row r="947" spans="1:26" x14ac:dyDescent="0.3">
      <c r="A947" s="2" t="s">
        <v>1936</v>
      </c>
      <c r="B947" s="1">
        <v>44361</v>
      </c>
      <c r="C947" s="2" t="s">
        <v>1937</v>
      </c>
      <c r="D947" s="2" t="s">
        <v>46</v>
      </c>
      <c r="E947">
        <v>32238</v>
      </c>
      <c r="F947">
        <v>23</v>
      </c>
      <c r="G947">
        <v>60</v>
      </c>
      <c r="H947" s="2" t="s">
        <v>26</v>
      </c>
      <c r="I947" s="2" t="s">
        <v>27</v>
      </c>
      <c r="J947" s="2" t="s">
        <v>28</v>
      </c>
      <c r="K947">
        <v>48395</v>
      </c>
      <c r="L947" s="2" t="s">
        <v>22</v>
      </c>
      <c r="M947">
        <v>0.48</v>
      </c>
      <c r="N947">
        <v>0.66</v>
      </c>
      <c r="O947">
        <v>3609.94</v>
      </c>
      <c r="P947">
        <v>0</v>
      </c>
      <c r="Q947">
        <v>57</v>
      </c>
      <c r="R947">
        <v>37073.699999999997</v>
      </c>
      <c r="S947">
        <v>69311.7</v>
      </c>
      <c r="T947">
        <v>-28628.06</v>
      </c>
      <c r="U947">
        <v>0</v>
      </c>
      <c r="V947" s="2" t="s">
        <v>2059</v>
      </c>
      <c r="W947" s="2" t="s">
        <v>2060</v>
      </c>
      <c r="X947">
        <v>61789.5</v>
      </c>
      <c r="Y947">
        <v>-0.88802220981450464</v>
      </c>
      <c r="Z947" s="2" t="s">
        <v>2058</v>
      </c>
    </row>
    <row r="948" spans="1:26" x14ac:dyDescent="0.3">
      <c r="A948" s="2" t="s">
        <v>1938</v>
      </c>
      <c r="B948" s="1">
        <v>44378</v>
      </c>
      <c r="C948" s="2" t="s">
        <v>1939</v>
      </c>
      <c r="D948" s="2" t="s">
        <v>18</v>
      </c>
      <c r="E948">
        <v>31874</v>
      </c>
      <c r="F948">
        <v>19.2</v>
      </c>
      <c r="G948">
        <v>36</v>
      </c>
      <c r="H948" s="2" t="s">
        <v>19</v>
      </c>
      <c r="I948" s="2" t="s">
        <v>57</v>
      </c>
      <c r="J948" s="2" t="s">
        <v>28</v>
      </c>
      <c r="K948">
        <v>69019</v>
      </c>
      <c r="L948" s="2" t="s">
        <v>22</v>
      </c>
      <c r="M948">
        <v>0.15</v>
      </c>
      <c r="N948">
        <v>0.64</v>
      </c>
      <c r="O948">
        <v>37993.81</v>
      </c>
      <c r="P948">
        <v>0</v>
      </c>
      <c r="Q948">
        <v>56</v>
      </c>
      <c r="R948">
        <v>18359.423999999995</v>
      </c>
      <c r="S948">
        <v>50233.423999999999</v>
      </c>
      <c r="T948">
        <v>6119.8099999999977</v>
      </c>
      <c r="U948">
        <v>0</v>
      </c>
      <c r="V948" s="2" t="s">
        <v>2056</v>
      </c>
      <c r="W948" s="2" t="s">
        <v>2057</v>
      </c>
      <c r="X948">
        <v>50998.400000000001</v>
      </c>
      <c r="Y948">
        <v>0.19200006274706649</v>
      </c>
      <c r="Z948" s="2" t="s">
        <v>2061</v>
      </c>
    </row>
    <row r="949" spans="1:26" x14ac:dyDescent="0.3">
      <c r="A949" s="2" t="s">
        <v>1940</v>
      </c>
      <c r="B949" s="1">
        <v>44665</v>
      </c>
      <c r="C949" s="2" t="s">
        <v>1941</v>
      </c>
      <c r="D949" s="2" t="s">
        <v>18</v>
      </c>
      <c r="E949">
        <v>27715</v>
      </c>
      <c r="F949">
        <v>23.7</v>
      </c>
      <c r="G949">
        <v>36</v>
      </c>
      <c r="H949" s="2" t="s">
        <v>26</v>
      </c>
      <c r="I949" s="2" t="s">
        <v>41</v>
      </c>
      <c r="J949" s="2" t="s">
        <v>37</v>
      </c>
      <c r="K949">
        <v>133243</v>
      </c>
      <c r="L949" s="2" t="s">
        <v>33</v>
      </c>
      <c r="M949">
        <v>0.11</v>
      </c>
      <c r="N949">
        <v>0.86</v>
      </c>
      <c r="O949">
        <v>9020.5300000000007</v>
      </c>
      <c r="P949">
        <v>0</v>
      </c>
      <c r="Q949">
        <v>47</v>
      </c>
      <c r="R949">
        <v>19705.365000000002</v>
      </c>
      <c r="S949">
        <v>47420.365000000005</v>
      </c>
      <c r="T949">
        <v>-18694.47</v>
      </c>
      <c r="U949">
        <v>0</v>
      </c>
      <c r="V949" s="2" t="s">
        <v>2059</v>
      </c>
      <c r="W949" s="2" t="s">
        <v>2062</v>
      </c>
      <c r="X949">
        <v>54737.125</v>
      </c>
      <c r="Y949">
        <v>-0.6745253472848638</v>
      </c>
      <c r="Z949" s="2" t="s">
        <v>2058</v>
      </c>
    </row>
    <row r="950" spans="1:26" x14ac:dyDescent="0.3">
      <c r="A950" s="2" t="s">
        <v>1942</v>
      </c>
      <c r="B950" s="1">
        <v>45106</v>
      </c>
      <c r="C950" s="2" t="s">
        <v>1943</v>
      </c>
      <c r="D950" s="2" t="s">
        <v>72</v>
      </c>
      <c r="E950">
        <v>28605</v>
      </c>
      <c r="F950">
        <v>17.100000000000001</v>
      </c>
      <c r="G950">
        <v>36</v>
      </c>
      <c r="H950" s="2" t="s">
        <v>19</v>
      </c>
      <c r="I950" s="2" t="s">
        <v>27</v>
      </c>
      <c r="J950" s="2" t="s">
        <v>37</v>
      </c>
      <c r="K950">
        <v>34006</v>
      </c>
      <c r="L950" s="2" t="s">
        <v>33</v>
      </c>
      <c r="M950">
        <v>0.46</v>
      </c>
      <c r="N950">
        <v>0.81</v>
      </c>
      <c r="O950">
        <v>33496.46</v>
      </c>
      <c r="P950">
        <v>0</v>
      </c>
      <c r="Q950">
        <v>32</v>
      </c>
      <c r="R950">
        <v>14674.365000000003</v>
      </c>
      <c r="S950">
        <v>43279.365000000005</v>
      </c>
      <c r="T950">
        <v>4891.4599999999991</v>
      </c>
      <c r="U950">
        <v>0</v>
      </c>
      <c r="V950" s="2" t="s">
        <v>2056</v>
      </c>
      <c r="W950" s="2" t="s">
        <v>2060</v>
      </c>
      <c r="X950">
        <v>40762.125</v>
      </c>
      <c r="Y950">
        <v>0.17100017479461629</v>
      </c>
      <c r="Z950" s="2" t="s">
        <v>2058</v>
      </c>
    </row>
    <row r="951" spans="1:26" x14ac:dyDescent="0.3">
      <c r="A951" s="2" t="s">
        <v>1944</v>
      </c>
      <c r="B951" s="1">
        <v>44931</v>
      </c>
      <c r="C951" s="2" t="s">
        <v>1945</v>
      </c>
      <c r="D951" s="2" t="s">
        <v>65</v>
      </c>
      <c r="E951">
        <v>35317</v>
      </c>
      <c r="F951">
        <v>14.5</v>
      </c>
      <c r="G951">
        <v>60</v>
      </c>
      <c r="H951" s="2" t="s">
        <v>19</v>
      </c>
      <c r="I951" s="2" t="s">
        <v>84</v>
      </c>
      <c r="J951" s="2" t="s">
        <v>37</v>
      </c>
      <c r="K951">
        <v>64393</v>
      </c>
      <c r="L951" s="2" t="s">
        <v>33</v>
      </c>
      <c r="M951">
        <v>0.13</v>
      </c>
      <c r="N951">
        <v>0.63</v>
      </c>
      <c r="O951">
        <v>40437.97</v>
      </c>
      <c r="P951">
        <v>0</v>
      </c>
      <c r="Q951">
        <v>38</v>
      </c>
      <c r="R951">
        <v>25604.825000000001</v>
      </c>
      <c r="S951">
        <v>60921.824999999997</v>
      </c>
      <c r="T951">
        <v>5120.9700000000012</v>
      </c>
      <c r="U951">
        <v>0</v>
      </c>
      <c r="V951" s="2" t="s">
        <v>2056</v>
      </c>
      <c r="W951" s="2" t="s">
        <v>2062</v>
      </c>
      <c r="X951">
        <v>42674.708299999998</v>
      </c>
      <c r="Y951">
        <v>0.14500014157487898</v>
      </c>
      <c r="Z951" s="2" t="s">
        <v>2061</v>
      </c>
    </row>
    <row r="952" spans="1:26" x14ac:dyDescent="0.3">
      <c r="A952" s="2" t="s">
        <v>1946</v>
      </c>
      <c r="B952" s="1">
        <v>45019</v>
      </c>
      <c r="C952" s="2" t="s">
        <v>1947</v>
      </c>
      <c r="D952" s="2" t="s">
        <v>53</v>
      </c>
      <c r="E952">
        <v>32174</v>
      </c>
      <c r="F952">
        <v>6.2</v>
      </c>
      <c r="G952">
        <v>60</v>
      </c>
      <c r="H952" s="2" t="s">
        <v>19</v>
      </c>
      <c r="I952" s="2" t="s">
        <v>57</v>
      </c>
      <c r="J952" s="2" t="s">
        <v>47</v>
      </c>
      <c r="K952">
        <v>40956</v>
      </c>
      <c r="L952" s="2" t="s">
        <v>33</v>
      </c>
      <c r="M952">
        <v>0.5</v>
      </c>
      <c r="N952">
        <v>0.71</v>
      </c>
      <c r="O952">
        <v>34168.79</v>
      </c>
      <c r="P952">
        <v>0</v>
      </c>
      <c r="Q952">
        <v>35</v>
      </c>
      <c r="R952">
        <v>9973.94</v>
      </c>
      <c r="S952">
        <v>42147.94</v>
      </c>
      <c r="T952">
        <v>1994.7900000000009</v>
      </c>
      <c r="U952">
        <v>0</v>
      </c>
      <c r="V952" s="2" t="s">
        <v>2056</v>
      </c>
      <c r="W952" s="2" t="s">
        <v>2057</v>
      </c>
      <c r="X952">
        <v>16623.2333</v>
      </c>
      <c r="Y952">
        <v>6.2000062161994184E-2</v>
      </c>
      <c r="Z952" s="2" t="s">
        <v>2058</v>
      </c>
    </row>
    <row r="953" spans="1:26" x14ac:dyDescent="0.3">
      <c r="A953" s="2" t="s">
        <v>1948</v>
      </c>
      <c r="B953" s="1">
        <v>45140</v>
      </c>
      <c r="C953" s="2" t="s">
        <v>1949</v>
      </c>
      <c r="D953" s="2" t="s">
        <v>72</v>
      </c>
      <c r="E953">
        <v>10956</v>
      </c>
      <c r="F953">
        <v>18.399999999999999</v>
      </c>
      <c r="G953">
        <v>60</v>
      </c>
      <c r="H953" s="2" t="s">
        <v>19</v>
      </c>
      <c r="I953" s="2" t="s">
        <v>20</v>
      </c>
      <c r="J953" s="2" t="s">
        <v>32</v>
      </c>
      <c r="K953">
        <v>80042</v>
      </c>
      <c r="L953" s="2" t="s">
        <v>33</v>
      </c>
      <c r="M953">
        <v>0.48</v>
      </c>
      <c r="N953">
        <v>0.54</v>
      </c>
      <c r="O953">
        <v>12971.9</v>
      </c>
      <c r="P953">
        <v>0</v>
      </c>
      <c r="Q953">
        <v>31</v>
      </c>
      <c r="R953">
        <v>10079.52</v>
      </c>
      <c r="S953">
        <v>21035.52</v>
      </c>
      <c r="T953">
        <v>2015.8999999999996</v>
      </c>
      <c r="U953">
        <v>0</v>
      </c>
      <c r="V953" s="2" t="s">
        <v>2056</v>
      </c>
      <c r="W953" s="2" t="s">
        <v>2057</v>
      </c>
      <c r="X953">
        <v>16799.2</v>
      </c>
      <c r="Y953">
        <v>0.18399963490324933</v>
      </c>
      <c r="Z953" s="2" t="s">
        <v>2058</v>
      </c>
    </row>
    <row r="954" spans="1:26" x14ac:dyDescent="0.3">
      <c r="A954" s="2" t="s">
        <v>1950</v>
      </c>
      <c r="B954" s="1">
        <v>44203</v>
      </c>
      <c r="C954" s="2" t="s">
        <v>1951</v>
      </c>
      <c r="D954" s="2" t="s">
        <v>65</v>
      </c>
      <c r="E954">
        <v>39908</v>
      </c>
      <c r="F954">
        <v>16.600000000000001</v>
      </c>
      <c r="G954">
        <v>36</v>
      </c>
      <c r="H954" s="2" t="s">
        <v>26</v>
      </c>
      <c r="I954" s="2" t="s">
        <v>73</v>
      </c>
      <c r="J954" s="2" t="s">
        <v>47</v>
      </c>
      <c r="K954">
        <v>126199</v>
      </c>
      <c r="L954" s="2" t="s">
        <v>29</v>
      </c>
      <c r="M954">
        <v>0.15</v>
      </c>
      <c r="N954">
        <v>0.9</v>
      </c>
      <c r="O954">
        <v>4986.33</v>
      </c>
      <c r="P954">
        <v>0</v>
      </c>
      <c r="Q954">
        <v>62</v>
      </c>
      <c r="R954">
        <v>19874.184000000001</v>
      </c>
      <c r="S954">
        <v>59782.184000000001</v>
      </c>
      <c r="T954">
        <v>-34921.67</v>
      </c>
      <c r="U954">
        <v>0</v>
      </c>
      <c r="V954" s="2" t="s">
        <v>2059</v>
      </c>
      <c r="W954" s="2" t="s">
        <v>2064</v>
      </c>
      <c r="X954">
        <v>55206.066700000003</v>
      </c>
      <c r="Y954">
        <v>-0.87505437506264405</v>
      </c>
      <c r="Z954" s="2" t="s">
        <v>2058</v>
      </c>
    </row>
    <row r="955" spans="1:26" x14ac:dyDescent="0.3">
      <c r="A955" s="2" t="s">
        <v>1952</v>
      </c>
      <c r="B955" s="1">
        <v>44526</v>
      </c>
      <c r="C955" s="2" t="s">
        <v>1953</v>
      </c>
      <c r="D955" s="2" t="s">
        <v>56</v>
      </c>
      <c r="E955">
        <v>11837</v>
      </c>
      <c r="F955">
        <v>24.8</v>
      </c>
      <c r="G955">
        <v>36</v>
      </c>
      <c r="H955" s="2" t="s">
        <v>19</v>
      </c>
      <c r="I955" s="2" t="s">
        <v>57</v>
      </c>
      <c r="J955" s="2" t="s">
        <v>32</v>
      </c>
      <c r="K955">
        <v>36078</v>
      </c>
      <c r="L955" s="2" t="s">
        <v>29</v>
      </c>
      <c r="M955">
        <v>0.32</v>
      </c>
      <c r="N955">
        <v>0.92</v>
      </c>
      <c r="O955">
        <v>14772.58</v>
      </c>
      <c r="P955">
        <v>0</v>
      </c>
      <c r="Q955">
        <v>51</v>
      </c>
      <c r="R955">
        <v>8806.728000000001</v>
      </c>
      <c r="S955">
        <v>20643.728000000003</v>
      </c>
      <c r="T955">
        <v>2935.58</v>
      </c>
      <c r="U955">
        <v>0</v>
      </c>
      <c r="V955" s="2" t="s">
        <v>2056</v>
      </c>
      <c r="W955" s="2" t="s">
        <v>2057</v>
      </c>
      <c r="X955">
        <v>24463.133300000001</v>
      </c>
      <c r="Y955">
        <v>0.24800033792346032</v>
      </c>
      <c r="Z955" s="2" t="s">
        <v>2058</v>
      </c>
    </row>
    <row r="956" spans="1:26" x14ac:dyDescent="0.3">
      <c r="A956" s="2" t="s">
        <v>1954</v>
      </c>
      <c r="B956" s="1">
        <v>44971</v>
      </c>
      <c r="C956" s="2" t="s">
        <v>1955</v>
      </c>
      <c r="D956" s="2" t="s">
        <v>53</v>
      </c>
      <c r="E956">
        <v>4716</v>
      </c>
      <c r="F956">
        <v>9.8000000000000007</v>
      </c>
      <c r="G956">
        <v>36</v>
      </c>
      <c r="H956" s="2" t="s">
        <v>26</v>
      </c>
      <c r="I956" s="2" t="s">
        <v>20</v>
      </c>
      <c r="J956" s="2" t="s">
        <v>47</v>
      </c>
      <c r="K956">
        <v>59631</v>
      </c>
      <c r="L956" s="2" t="s">
        <v>29</v>
      </c>
      <c r="M956">
        <v>0.17</v>
      </c>
      <c r="N956">
        <v>0.94</v>
      </c>
      <c r="O956">
        <v>1357.66</v>
      </c>
      <c r="P956">
        <v>0</v>
      </c>
      <c r="Q956">
        <v>37</v>
      </c>
      <c r="R956">
        <v>1386.5039999999999</v>
      </c>
      <c r="S956">
        <v>6102.5039999999999</v>
      </c>
      <c r="T956">
        <v>-3358.34</v>
      </c>
      <c r="U956">
        <v>0</v>
      </c>
      <c r="V956" s="2" t="s">
        <v>2059</v>
      </c>
      <c r="W956" s="2" t="s">
        <v>2057</v>
      </c>
      <c r="X956">
        <v>3851.4</v>
      </c>
      <c r="Y956">
        <v>-0.71211620016963528</v>
      </c>
      <c r="Z956" s="2" t="s">
        <v>2058</v>
      </c>
    </row>
    <row r="957" spans="1:26" x14ac:dyDescent="0.3">
      <c r="A957" s="2" t="s">
        <v>1956</v>
      </c>
      <c r="B957" s="1">
        <v>44347</v>
      </c>
      <c r="C957" s="2" t="s">
        <v>1957</v>
      </c>
      <c r="D957" s="2" t="s">
        <v>72</v>
      </c>
      <c r="E957">
        <v>5481</v>
      </c>
      <c r="F957">
        <v>15.6</v>
      </c>
      <c r="G957">
        <v>36</v>
      </c>
      <c r="H957" s="2" t="s">
        <v>19</v>
      </c>
      <c r="I957" s="2" t="s">
        <v>36</v>
      </c>
      <c r="J957" s="2" t="s">
        <v>21</v>
      </c>
      <c r="K957">
        <v>125676</v>
      </c>
      <c r="L957" s="2" t="s">
        <v>33</v>
      </c>
      <c r="M957">
        <v>0.27</v>
      </c>
      <c r="N957">
        <v>0.89</v>
      </c>
      <c r="O957">
        <v>6336.04</v>
      </c>
      <c r="P957">
        <v>0</v>
      </c>
      <c r="Q957">
        <v>57</v>
      </c>
      <c r="R957">
        <v>2565.1079999999997</v>
      </c>
      <c r="S957">
        <v>8046.1080000000002</v>
      </c>
      <c r="T957">
        <v>855.04</v>
      </c>
      <c r="U957">
        <v>0</v>
      </c>
      <c r="V957" s="2" t="s">
        <v>2056</v>
      </c>
      <c r="W957" s="2" t="s">
        <v>2062</v>
      </c>
      <c r="X957">
        <v>7125.3</v>
      </c>
      <c r="Y957">
        <v>0.15600072979383323</v>
      </c>
      <c r="Z957" s="2" t="s">
        <v>2058</v>
      </c>
    </row>
    <row r="958" spans="1:26" x14ac:dyDescent="0.3">
      <c r="A958" s="2" t="s">
        <v>1958</v>
      </c>
      <c r="B958" s="1">
        <v>44343</v>
      </c>
      <c r="C958" s="2" t="s">
        <v>1959</v>
      </c>
      <c r="D958" s="2" t="s">
        <v>53</v>
      </c>
      <c r="E958">
        <v>25282</v>
      </c>
      <c r="F958">
        <v>18</v>
      </c>
      <c r="G958">
        <v>60</v>
      </c>
      <c r="H958" s="2" t="s">
        <v>60</v>
      </c>
      <c r="I958" s="2" t="s">
        <v>57</v>
      </c>
      <c r="J958" s="2" t="s">
        <v>32</v>
      </c>
      <c r="K958">
        <v>92901</v>
      </c>
      <c r="L958" s="2" t="s">
        <v>29</v>
      </c>
      <c r="M958">
        <v>0.12</v>
      </c>
      <c r="N958">
        <v>0.57999999999999996</v>
      </c>
      <c r="O958">
        <v>0</v>
      </c>
      <c r="P958">
        <v>0</v>
      </c>
      <c r="Q958">
        <v>57</v>
      </c>
      <c r="R958">
        <v>22753.800000000003</v>
      </c>
      <c r="S958">
        <v>48035.8</v>
      </c>
      <c r="T958">
        <v>-25282</v>
      </c>
      <c r="U958">
        <v>0</v>
      </c>
      <c r="V958" s="2" t="s">
        <v>2063</v>
      </c>
      <c r="W958" s="2" t="s">
        <v>2057</v>
      </c>
      <c r="X958">
        <v>37923</v>
      </c>
      <c r="Y958">
        <v>-1</v>
      </c>
      <c r="Z958" s="2" t="s">
        <v>2061</v>
      </c>
    </row>
    <row r="959" spans="1:26" x14ac:dyDescent="0.3">
      <c r="A959" s="2" t="s">
        <v>1960</v>
      </c>
      <c r="B959" s="1">
        <v>45111</v>
      </c>
      <c r="C959" s="2" t="s">
        <v>1961</v>
      </c>
      <c r="D959" s="2" t="s">
        <v>53</v>
      </c>
      <c r="E959">
        <v>7548</v>
      </c>
      <c r="F959">
        <v>17.899999999999999</v>
      </c>
      <c r="G959">
        <v>36</v>
      </c>
      <c r="H959" s="2" t="s">
        <v>26</v>
      </c>
      <c r="I959" s="2" t="s">
        <v>20</v>
      </c>
      <c r="J959" s="2" t="s">
        <v>28</v>
      </c>
      <c r="K959">
        <v>137227</v>
      </c>
      <c r="L959" s="2" t="s">
        <v>29</v>
      </c>
      <c r="M959">
        <v>0.19</v>
      </c>
      <c r="N959">
        <v>0.52</v>
      </c>
      <c r="O959">
        <v>2381.79</v>
      </c>
      <c r="P959">
        <v>0</v>
      </c>
      <c r="Q959">
        <v>32</v>
      </c>
      <c r="R959">
        <v>4053.2759999999998</v>
      </c>
      <c r="S959">
        <v>11601.276</v>
      </c>
      <c r="T959">
        <v>-5166.21</v>
      </c>
      <c r="U959">
        <v>0</v>
      </c>
      <c r="V959" s="2" t="s">
        <v>2059</v>
      </c>
      <c r="W959" s="2" t="s">
        <v>2057</v>
      </c>
      <c r="X959">
        <v>11259.1</v>
      </c>
      <c r="Y959">
        <v>-0.68444753577106521</v>
      </c>
      <c r="Z959" s="2" t="s">
        <v>2061</v>
      </c>
    </row>
    <row r="960" spans="1:26" x14ac:dyDescent="0.3">
      <c r="A960" s="2" t="s">
        <v>1962</v>
      </c>
      <c r="B960" s="1">
        <v>44896</v>
      </c>
      <c r="C960" s="2" t="s">
        <v>1963</v>
      </c>
      <c r="D960" s="2" t="s">
        <v>40</v>
      </c>
      <c r="E960">
        <v>38605</v>
      </c>
      <c r="F960">
        <v>16.2</v>
      </c>
      <c r="G960">
        <v>36</v>
      </c>
      <c r="H960" s="2" t="s">
        <v>26</v>
      </c>
      <c r="I960" s="2" t="s">
        <v>20</v>
      </c>
      <c r="J960" s="2" t="s">
        <v>32</v>
      </c>
      <c r="K960">
        <v>99497</v>
      </c>
      <c r="L960" s="2" t="s">
        <v>29</v>
      </c>
      <c r="M960">
        <v>0.25</v>
      </c>
      <c r="N960">
        <v>0.76</v>
      </c>
      <c r="O960">
        <v>7107.9</v>
      </c>
      <c r="P960">
        <v>0</v>
      </c>
      <c r="Q960">
        <v>39</v>
      </c>
      <c r="R960">
        <v>18762.030000000002</v>
      </c>
      <c r="S960">
        <v>57367.03</v>
      </c>
      <c r="T960">
        <v>-31497.1</v>
      </c>
      <c r="U960">
        <v>0</v>
      </c>
      <c r="V960" s="2" t="s">
        <v>2059</v>
      </c>
      <c r="W960" s="2" t="s">
        <v>2057</v>
      </c>
      <c r="X960">
        <v>52116.75</v>
      </c>
      <c r="Y960">
        <v>-0.81588136251780852</v>
      </c>
      <c r="Z960" s="2" t="s">
        <v>2061</v>
      </c>
    </row>
    <row r="961" spans="1:26" x14ac:dyDescent="0.3">
      <c r="A961" s="2" t="s">
        <v>1964</v>
      </c>
      <c r="B961" s="1">
        <v>44278</v>
      </c>
      <c r="C961" s="2" t="s">
        <v>1965</v>
      </c>
      <c r="D961" s="2" t="s">
        <v>50</v>
      </c>
      <c r="E961">
        <v>8758</v>
      </c>
      <c r="F961">
        <v>20.5</v>
      </c>
      <c r="G961">
        <v>36</v>
      </c>
      <c r="H961" s="2" t="s">
        <v>19</v>
      </c>
      <c r="I961" s="2" t="s">
        <v>57</v>
      </c>
      <c r="J961" s="2" t="s">
        <v>32</v>
      </c>
      <c r="K961">
        <v>124813</v>
      </c>
      <c r="L961" s="2" t="s">
        <v>29</v>
      </c>
      <c r="M961">
        <v>0.28000000000000003</v>
      </c>
      <c r="N961">
        <v>0.91</v>
      </c>
      <c r="O961">
        <v>10553.39</v>
      </c>
      <c r="P961">
        <v>0</v>
      </c>
      <c r="Q961">
        <v>59</v>
      </c>
      <c r="R961">
        <v>5386.17</v>
      </c>
      <c r="S961">
        <v>14144.17</v>
      </c>
      <c r="T961">
        <v>1795.3899999999994</v>
      </c>
      <c r="U961">
        <v>0</v>
      </c>
      <c r="V961" s="2" t="s">
        <v>2056</v>
      </c>
      <c r="W961" s="2" t="s">
        <v>2057</v>
      </c>
      <c r="X961">
        <v>14961.5833</v>
      </c>
      <c r="Y961">
        <v>0.20499999999999993</v>
      </c>
      <c r="Z961" s="2" t="s">
        <v>2058</v>
      </c>
    </row>
    <row r="962" spans="1:26" x14ac:dyDescent="0.3">
      <c r="A962" s="2" t="s">
        <v>1966</v>
      </c>
      <c r="B962" s="1">
        <v>44710</v>
      </c>
      <c r="C962" s="2" t="s">
        <v>1967</v>
      </c>
      <c r="D962" s="2" t="s">
        <v>40</v>
      </c>
      <c r="E962">
        <v>24177</v>
      </c>
      <c r="F962">
        <v>9.1</v>
      </c>
      <c r="G962">
        <v>60</v>
      </c>
      <c r="H962" s="2" t="s">
        <v>19</v>
      </c>
      <c r="I962" s="2" t="s">
        <v>41</v>
      </c>
      <c r="J962" s="2" t="s">
        <v>32</v>
      </c>
      <c r="K962">
        <v>147192</v>
      </c>
      <c r="L962" s="2" t="s">
        <v>22</v>
      </c>
      <c r="M962">
        <v>0.49</v>
      </c>
      <c r="N962">
        <v>0.57999999999999996</v>
      </c>
      <c r="O962">
        <v>26377.11</v>
      </c>
      <c r="P962">
        <v>0</v>
      </c>
      <c r="Q962">
        <v>45</v>
      </c>
      <c r="R962">
        <v>11000.534999999998</v>
      </c>
      <c r="S962">
        <v>35177.534999999996</v>
      </c>
      <c r="T962">
        <v>2200.1100000000006</v>
      </c>
      <c r="U962">
        <v>0</v>
      </c>
      <c r="V962" s="2" t="s">
        <v>2056</v>
      </c>
      <c r="W962" s="2" t="s">
        <v>2062</v>
      </c>
      <c r="X962">
        <v>18334.224999999999</v>
      </c>
      <c r="Y962">
        <v>9.1000124084874082E-2</v>
      </c>
      <c r="Z962" s="2" t="s">
        <v>2058</v>
      </c>
    </row>
    <row r="963" spans="1:26" x14ac:dyDescent="0.3">
      <c r="A963" s="2" t="s">
        <v>1968</v>
      </c>
      <c r="B963" s="1">
        <v>45011</v>
      </c>
      <c r="C963" s="2" t="s">
        <v>1969</v>
      </c>
      <c r="D963" s="2" t="s">
        <v>65</v>
      </c>
      <c r="E963">
        <v>25022</v>
      </c>
      <c r="F963">
        <v>19.5</v>
      </c>
      <c r="G963">
        <v>36</v>
      </c>
      <c r="H963" s="2" t="s">
        <v>19</v>
      </c>
      <c r="I963" s="2" t="s">
        <v>57</v>
      </c>
      <c r="J963" s="2" t="s">
        <v>21</v>
      </c>
      <c r="K963">
        <v>71574</v>
      </c>
      <c r="L963" s="2" t="s">
        <v>33</v>
      </c>
      <c r="M963">
        <v>0.42</v>
      </c>
      <c r="N963">
        <v>0.5</v>
      </c>
      <c r="O963">
        <v>29901.29</v>
      </c>
      <c r="P963">
        <v>0</v>
      </c>
      <c r="Q963">
        <v>35</v>
      </c>
      <c r="R963">
        <v>14637.87</v>
      </c>
      <c r="S963">
        <v>39659.870000000003</v>
      </c>
      <c r="T963">
        <v>4879.2900000000009</v>
      </c>
      <c r="U963">
        <v>0</v>
      </c>
      <c r="V963" s="2" t="s">
        <v>2056</v>
      </c>
      <c r="W963" s="2" t="s">
        <v>2057</v>
      </c>
      <c r="X963">
        <v>40660.75</v>
      </c>
      <c r="Y963">
        <v>0.19500000000000003</v>
      </c>
      <c r="Z963" s="2" t="s">
        <v>2058</v>
      </c>
    </row>
    <row r="964" spans="1:26" x14ac:dyDescent="0.3">
      <c r="A964" s="2" t="s">
        <v>1970</v>
      </c>
      <c r="B964" s="1">
        <v>44905</v>
      </c>
      <c r="C964" s="2" t="s">
        <v>1971</v>
      </c>
      <c r="D964" s="2" t="s">
        <v>76</v>
      </c>
      <c r="E964">
        <v>6542</v>
      </c>
      <c r="F964">
        <v>17.399999999999999</v>
      </c>
      <c r="G964">
        <v>36</v>
      </c>
      <c r="H964" s="2" t="s">
        <v>81</v>
      </c>
      <c r="I964" s="2" t="s">
        <v>57</v>
      </c>
      <c r="J964" s="2" t="s">
        <v>47</v>
      </c>
      <c r="K964">
        <v>148494</v>
      </c>
      <c r="L964" s="2" t="s">
        <v>33</v>
      </c>
      <c r="M964">
        <v>0.39</v>
      </c>
      <c r="N964">
        <v>0.86</v>
      </c>
      <c r="O964">
        <v>723.02</v>
      </c>
      <c r="P964">
        <v>1622.45</v>
      </c>
      <c r="Q964">
        <v>39</v>
      </c>
      <c r="R964">
        <v>3414.9240000000004</v>
      </c>
      <c r="S964">
        <v>9956.9240000000009</v>
      </c>
      <c r="T964">
        <v>-4196.53</v>
      </c>
      <c r="U964">
        <v>1</v>
      </c>
      <c r="V964" s="2" t="s">
        <v>2063</v>
      </c>
      <c r="W964" s="2" t="s">
        <v>2057</v>
      </c>
      <c r="X964">
        <v>9485.9</v>
      </c>
      <c r="Y964">
        <v>-0.64147508407214915</v>
      </c>
      <c r="Z964" s="2" t="s">
        <v>2058</v>
      </c>
    </row>
    <row r="965" spans="1:26" x14ac:dyDescent="0.3">
      <c r="A965" s="2" t="s">
        <v>1972</v>
      </c>
      <c r="B965" s="1">
        <v>44942</v>
      </c>
      <c r="C965" s="2" t="s">
        <v>1973</v>
      </c>
      <c r="D965" s="2" t="s">
        <v>25</v>
      </c>
      <c r="E965">
        <v>26476</v>
      </c>
      <c r="F965">
        <v>22.9</v>
      </c>
      <c r="G965">
        <v>36</v>
      </c>
      <c r="H965" s="2" t="s">
        <v>19</v>
      </c>
      <c r="I965" s="2" t="s">
        <v>27</v>
      </c>
      <c r="J965" s="2" t="s">
        <v>28</v>
      </c>
      <c r="K965">
        <v>61417</v>
      </c>
      <c r="L965" s="2" t="s">
        <v>22</v>
      </c>
      <c r="M965">
        <v>0.31</v>
      </c>
      <c r="N965">
        <v>0.53</v>
      </c>
      <c r="O965">
        <v>32539</v>
      </c>
      <c r="P965">
        <v>0</v>
      </c>
      <c r="Q965">
        <v>38</v>
      </c>
      <c r="R965">
        <v>18189.011999999999</v>
      </c>
      <c r="S965">
        <v>44665.012000000002</v>
      </c>
      <c r="T965">
        <v>6063</v>
      </c>
      <c r="U965">
        <v>0</v>
      </c>
      <c r="V965" s="2" t="s">
        <v>2056</v>
      </c>
      <c r="W965" s="2" t="s">
        <v>2060</v>
      </c>
      <c r="X965">
        <v>50525.033300000003</v>
      </c>
      <c r="Y965">
        <v>0.2289998489197764</v>
      </c>
      <c r="Z965" s="2" t="s">
        <v>2061</v>
      </c>
    </row>
    <row r="966" spans="1:26" x14ac:dyDescent="0.3">
      <c r="A966" s="2" t="s">
        <v>1974</v>
      </c>
      <c r="B966" s="1">
        <v>45219</v>
      </c>
      <c r="C966" s="2" t="s">
        <v>1975</v>
      </c>
      <c r="D966" s="2" t="s">
        <v>46</v>
      </c>
      <c r="E966">
        <v>31784</v>
      </c>
      <c r="F966">
        <v>21.9</v>
      </c>
      <c r="G966">
        <v>36</v>
      </c>
      <c r="H966" s="2" t="s">
        <v>26</v>
      </c>
      <c r="I966" s="2" t="s">
        <v>57</v>
      </c>
      <c r="J966" s="2" t="s">
        <v>47</v>
      </c>
      <c r="K966">
        <v>118020</v>
      </c>
      <c r="L966" s="2" t="s">
        <v>29</v>
      </c>
      <c r="M966">
        <v>0.44</v>
      </c>
      <c r="N966">
        <v>0.69</v>
      </c>
      <c r="O966">
        <v>2122.0300000000002</v>
      </c>
      <c r="P966">
        <v>0</v>
      </c>
      <c r="Q966">
        <v>28</v>
      </c>
      <c r="R966">
        <v>20882.088</v>
      </c>
      <c r="S966">
        <v>52666.088000000003</v>
      </c>
      <c r="T966">
        <v>-29661.97</v>
      </c>
      <c r="U966">
        <v>0</v>
      </c>
      <c r="V966" s="2" t="s">
        <v>2059</v>
      </c>
      <c r="W966" s="2" t="s">
        <v>2057</v>
      </c>
      <c r="X966">
        <v>58005.8</v>
      </c>
      <c r="Y966">
        <v>-0.93323590485779007</v>
      </c>
      <c r="Z966" s="2" t="s">
        <v>2058</v>
      </c>
    </row>
    <row r="967" spans="1:26" x14ac:dyDescent="0.3">
      <c r="A967" s="2" t="s">
        <v>1976</v>
      </c>
      <c r="B967" s="1">
        <v>44903</v>
      </c>
      <c r="C967" s="2" t="s">
        <v>1977</v>
      </c>
      <c r="D967" s="2" t="s">
        <v>76</v>
      </c>
      <c r="E967">
        <v>23740</v>
      </c>
      <c r="F967">
        <v>11.3</v>
      </c>
      <c r="G967">
        <v>36</v>
      </c>
      <c r="H967" s="2" t="s">
        <v>26</v>
      </c>
      <c r="I967" s="2" t="s">
        <v>20</v>
      </c>
      <c r="J967" s="2" t="s">
        <v>47</v>
      </c>
      <c r="K967">
        <v>113639</v>
      </c>
      <c r="L967" s="2" t="s">
        <v>29</v>
      </c>
      <c r="M967">
        <v>0.24</v>
      </c>
      <c r="N967">
        <v>0.81</v>
      </c>
      <c r="O967">
        <v>1468.47</v>
      </c>
      <c r="P967">
        <v>0</v>
      </c>
      <c r="Q967">
        <v>39</v>
      </c>
      <c r="R967">
        <v>8047.86</v>
      </c>
      <c r="S967">
        <v>31787.86</v>
      </c>
      <c r="T967">
        <v>-22271.53</v>
      </c>
      <c r="U967">
        <v>0</v>
      </c>
      <c r="V967" s="2" t="s">
        <v>2059</v>
      </c>
      <c r="W967" s="2" t="s">
        <v>2057</v>
      </c>
      <c r="X967">
        <v>22355.166700000002</v>
      </c>
      <c r="Y967">
        <v>-0.9381436394271272</v>
      </c>
      <c r="Z967" s="2" t="s">
        <v>2058</v>
      </c>
    </row>
    <row r="968" spans="1:26" x14ac:dyDescent="0.3">
      <c r="A968" s="2" t="s">
        <v>1978</v>
      </c>
      <c r="B968" s="1">
        <v>44667</v>
      </c>
      <c r="C968" s="2" t="s">
        <v>1979</v>
      </c>
      <c r="D968" s="2" t="s">
        <v>25</v>
      </c>
      <c r="E968">
        <v>25817</v>
      </c>
      <c r="F968">
        <v>10.5</v>
      </c>
      <c r="G968">
        <v>60</v>
      </c>
      <c r="H968" s="2" t="s">
        <v>19</v>
      </c>
      <c r="I968" s="2" t="s">
        <v>20</v>
      </c>
      <c r="J968" s="2" t="s">
        <v>37</v>
      </c>
      <c r="K968">
        <v>95006</v>
      </c>
      <c r="L968" s="2" t="s">
        <v>29</v>
      </c>
      <c r="M968">
        <v>0.38</v>
      </c>
      <c r="N968">
        <v>0.61</v>
      </c>
      <c r="O968">
        <v>28527.78</v>
      </c>
      <c r="P968">
        <v>0</v>
      </c>
      <c r="Q968">
        <v>47</v>
      </c>
      <c r="R968">
        <v>13553.924999999997</v>
      </c>
      <c r="S968">
        <v>39370.924999999996</v>
      </c>
      <c r="T968">
        <v>2710.7799999999988</v>
      </c>
      <c r="U968">
        <v>0</v>
      </c>
      <c r="V968" s="2" t="s">
        <v>2056</v>
      </c>
      <c r="W968" s="2" t="s">
        <v>2057</v>
      </c>
      <c r="X968">
        <v>22589.875</v>
      </c>
      <c r="Y968">
        <v>0.10499980632916291</v>
      </c>
      <c r="Z968" s="2" t="s">
        <v>2061</v>
      </c>
    </row>
    <row r="969" spans="1:26" x14ac:dyDescent="0.3">
      <c r="A969" s="2" t="s">
        <v>1980</v>
      </c>
      <c r="B969" s="1">
        <v>44592</v>
      </c>
      <c r="C969" s="2" t="s">
        <v>1981</v>
      </c>
      <c r="D969" s="2" t="s">
        <v>65</v>
      </c>
      <c r="E969">
        <v>17052</v>
      </c>
      <c r="F969">
        <v>24.6</v>
      </c>
      <c r="G969">
        <v>36</v>
      </c>
      <c r="H969" s="2" t="s">
        <v>26</v>
      </c>
      <c r="I969" s="2" t="s">
        <v>57</v>
      </c>
      <c r="J969" s="2" t="s">
        <v>21</v>
      </c>
      <c r="K969">
        <v>124881</v>
      </c>
      <c r="L969" s="2" t="s">
        <v>33</v>
      </c>
      <c r="M969">
        <v>0.5</v>
      </c>
      <c r="N969">
        <v>0.54</v>
      </c>
      <c r="O969">
        <v>6524.2</v>
      </c>
      <c r="P969">
        <v>0</v>
      </c>
      <c r="Q969">
        <v>49</v>
      </c>
      <c r="R969">
        <v>12584.376000000002</v>
      </c>
      <c r="S969">
        <v>29636.376000000004</v>
      </c>
      <c r="T969">
        <v>-10527.8</v>
      </c>
      <c r="U969">
        <v>0</v>
      </c>
      <c r="V969" s="2" t="s">
        <v>2059</v>
      </c>
      <c r="W969" s="2" t="s">
        <v>2057</v>
      </c>
      <c r="X969">
        <v>34956.6</v>
      </c>
      <c r="Y969">
        <v>-0.61739385409336145</v>
      </c>
      <c r="Z969" s="2" t="s">
        <v>2058</v>
      </c>
    </row>
    <row r="970" spans="1:26" x14ac:dyDescent="0.3">
      <c r="A970" s="2" t="s">
        <v>1982</v>
      </c>
      <c r="B970" s="1">
        <v>44457</v>
      </c>
      <c r="C970" s="2" t="s">
        <v>1983</v>
      </c>
      <c r="D970" s="2" t="s">
        <v>65</v>
      </c>
      <c r="E970">
        <v>36153</v>
      </c>
      <c r="F970">
        <v>15.5</v>
      </c>
      <c r="G970">
        <v>36</v>
      </c>
      <c r="H970" s="2" t="s">
        <v>26</v>
      </c>
      <c r="I970" s="2" t="s">
        <v>20</v>
      </c>
      <c r="J970" s="2" t="s">
        <v>37</v>
      </c>
      <c r="K970">
        <v>141862</v>
      </c>
      <c r="L970" s="2" t="s">
        <v>33</v>
      </c>
      <c r="M970">
        <v>0.23</v>
      </c>
      <c r="N970">
        <v>0.85</v>
      </c>
      <c r="O970">
        <v>6981.3</v>
      </c>
      <c r="P970">
        <v>0</v>
      </c>
      <c r="Q970">
        <v>54</v>
      </c>
      <c r="R970">
        <v>16811.145</v>
      </c>
      <c r="S970">
        <v>52964.145000000004</v>
      </c>
      <c r="T970">
        <v>-29171.7</v>
      </c>
      <c r="U970">
        <v>0</v>
      </c>
      <c r="V970" s="2" t="s">
        <v>2059</v>
      </c>
      <c r="W970" s="2" t="s">
        <v>2057</v>
      </c>
      <c r="X970">
        <v>46697.625</v>
      </c>
      <c r="Y970">
        <v>-0.80689569330346034</v>
      </c>
      <c r="Z970" s="2" t="s">
        <v>2058</v>
      </c>
    </row>
    <row r="971" spans="1:26" x14ac:dyDescent="0.3">
      <c r="A971" s="2" t="s">
        <v>1984</v>
      </c>
      <c r="B971" s="1">
        <v>45001</v>
      </c>
      <c r="C971" s="2" t="s">
        <v>1985</v>
      </c>
      <c r="D971" s="2" t="s">
        <v>56</v>
      </c>
      <c r="E971">
        <v>1671</v>
      </c>
      <c r="F971">
        <v>23.1</v>
      </c>
      <c r="G971">
        <v>36</v>
      </c>
      <c r="H971" s="2" t="s">
        <v>26</v>
      </c>
      <c r="I971" s="2" t="s">
        <v>20</v>
      </c>
      <c r="J971" s="2" t="s">
        <v>21</v>
      </c>
      <c r="K971">
        <v>69454</v>
      </c>
      <c r="L971" s="2" t="s">
        <v>33</v>
      </c>
      <c r="M971">
        <v>0.37</v>
      </c>
      <c r="N971">
        <v>0.78</v>
      </c>
      <c r="O971">
        <v>682.33</v>
      </c>
      <c r="P971">
        <v>0</v>
      </c>
      <c r="Q971">
        <v>36</v>
      </c>
      <c r="R971">
        <v>1158.0030000000002</v>
      </c>
      <c r="S971">
        <v>2829.0030000000002</v>
      </c>
      <c r="T971">
        <v>-988.67</v>
      </c>
      <c r="U971">
        <v>0</v>
      </c>
      <c r="V971" s="2" t="s">
        <v>2059</v>
      </c>
      <c r="W971" s="2" t="s">
        <v>2057</v>
      </c>
      <c r="X971">
        <v>3216.6750000000002</v>
      </c>
      <c r="Y971">
        <v>-0.59166367444643919</v>
      </c>
      <c r="Z971" s="2" t="s">
        <v>2061</v>
      </c>
    </row>
    <row r="972" spans="1:26" x14ac:dyDescent="0.3">
      <c r="A972" s="2" t="s">
        <v>1986</v>
      </c>
      <c r="B972" s="1">
        <v>45130</v>
      </c>
      <c r="C972" s="2" t="s">
        <v>1987</v>
      </c>
      <c r="D972" s="2" t="s">
        <v>46</v>
      </c>
      <c r="E972">
        <v>1163</v>
      </c>
      <c r="F972">
        <v>8.3000000000000007</v>
      </c>
      <c r="G972">
        <v>36</v>
      </c>
      <c r="H972" s="2" t="s">
        <v>19</v>
      </c>
      <c r="I972" s="2" t="s">
        <v>84</v>
      </c>
      <c r="J972" s="2" t="s">
        <v>47</v>
      </c>
      <c r="K972">
        <v>31587</v>
      </c>
      <c r="L972" s="2" t="s">
        <v>33</v>
      </c>
      <c r="M972">
        <v>0.44</v>
      </c>
      <c r="N972">
        <v>0.94</v>
      </c>
      <c r="O972">
        <v>1259.53</v>
      </c>
      <c r="P972">
        <v>0</v>
      </c>
      <c r="Q972">
        <v>31</v>
      </c>
      <c r="R972">
        <v>289.58700000000005</v>
      </c>
      <c r="S972">
        <v>1452.587</v>
      </c>
      <c r="T972">
        <v>96.529999999999973</v>
      </c>
      <c r="U972">
        <v>0</v>
      </c>
      <c r="V972" s="2" t="s">
        <v>2056</v>
      </c>
      <c r="W972" s="2" t="s">
        <v>2062</v>
      </c>
      <c r="X972">
        <v>804.40830000000005</v>
      </c>
      <c r="Y972">
        <v>8.3000859845227842E-2</v>
      </c>
      <c r="Z972" s="2" t="s">
        <v>2058</v>
      </c>
    </row>
    <row r="973" spans="1:26" x14ac:dyDescent="0.3">
      <c r="A973" s="2" t="s">
        <v>1988</v>
      </c>
      <c r="B973" s="1">
        <v>45101</v>
      </c>
      <c r="C973" s="2" t="s">
        <v>1989</v>
      </c>
      <c r="D973" s="2" t="s">
        <v>50</v>
      </c>
      <c r="E973">
        <v>5795</v>
      </c>
      <c r="F973">
        <v>17.899999999999999</v>
      </c>
      <c r="G973">
        <v>36</v>
      </c>
      <c r="H973" s="2" t="s">
        <v>19</v>
      </c>
      <c r="I973" s="2" t="s">
        <v>20</v>
      </c>
      <c r="J973" s="2" t="s">
        <v>47</v>
      </c>
      <c r="K973">
        <v>138107</v>
      </c>
      <c r="L973" s="2" t="s">
        <v>33</v>
      </c>
      <c r="M973">
        <v>0.47</v>
      </c>
      <c r="N973">
        <v>0.65</v>
      </c>
      <c r="O973">
        <v>6832.3</v>
      </c>
      <c r="P973">
        <v>0</v>
      </c>
      <c r="Q973">
        <v>32</v>
      </c>
      <c r="R973">
        <v>3111.9149999999995</v>
      </c>
      <c r="S973">
        <v>8906.9149999999991</v>
      </c>
      <c r="T973">
        <v>1037.3000000000002</v>
      </c>
      <c r="U973">
        <v>0</v>
      </c>
      <c r="V973" s="2" t="s">
        <v>2056</v>
      </c>
      <c r="W973" s="2" t="s">
        <v>2057</v>
      </c>
      <c r="X973">
        <v>8644.2083000000002</v>
      </c>
      <c r="Y973">
        <v>0.1789991371872304</v>
      </c>
      <c r="Z973" s="2" t="s">
        <v>2058</v>
      </c>
    </row>
    <row r="974" spans="1:26" x14ac:dyDescent="0.3">
      <c r="A974" s="2" t="s">
        <v>1990</v>
      </c>
      <c r="B974" s="1">
        <v>45273</v>
      </c>
      <c r="C974" s="2" t="s">
        <v>1991</v>
      </c>
      <c r="D974" s="2" t="s">
        <v>53</v>
      </c>
      <c r="E974">
        <v>11634</v>
      </c>
      <c r="F974">
        <v>21.2</v>
      </c>
      <c r="G974">
        <v>36</v>
      </c>
      <c r="H974" s="2" t="s">
        <v>19</v>
      </c>
      <c r="I974" s="2" t="s">
        <v>27</v>
      </c>
      <c r="J974" s="2" t="s">
        <v>21</v>
      </c>
      <c r="K974">
        <v>145584</v>
      </c>
      <c r="L974" s="2" t="s">
        <v>22</v>
      </c>
      <c r="M974">
        <v>0.39</v>
      </c>
      <c r="N974">
        <v>0.53</v>
      </c>
      <c r="O974">
        <v>14100.41</v>
      </c>
      <c r="P974">
        <v>0</v>
      </c>
      <c r="Q974">
        <v>27</v>
      </c>
      <c r="R974">
        <v>7399.2239999999993</v>
      </c>
      <c r="S974">
        <v>19033.223999999998</v>
      </c>
      <c r="T974">
        <v>2466.41</v>
      </c>
      <c r="U974">
        <v>0</v>
      </c>
      <c r="V974" s="2" t="s">
        <v>2056</v>
      </c>
      <c r="W974" s="2" t="s">
        <v>2060</v>
      </c>
      <c r="X974">
        <v>20553.400000000001</v>
      </c>
      <c r="Y974">
        <v>0.21200017190991918</v>
      </c>
      <c r="Z974" s="2" t="s">
        <v>2061</v>
      </c>
    </row>
    <row r="975" spans="1:26" x14ac:dyDescent="0.3">
      <c r="A975" s="2" t="s">
        <v>1992</v>
      </c>
      <c r="B975" s="1">
        <v>45136</v>
      </c>
      <c r="C975" s="2" t="s">
        <v>1993</v>
      </c>
      <c r="D975" s="2" t="s">
        <v>40</v>
      </c>
      <c r="E975">
        <v>5798</v>
      </c>
      <c r="F975">
        <v>23.9</v>
      </c>
      <c r="G975">
        <v>36</v>
      </c>
      <c r="H975" s="2" t="s">
        <v>26</v>
      </c>
      <c r="I975" s="2" t="s">
        <v>84</v>
      </c>
      <c r="J975" s="2" t="s">
        <v>47</v>
      </c>
      <c r="K975">
        <v>84710</v>
      </c>
      <c r="L975" s="2" t="s">
        <v>33</v>
      </c>
      <c r="M975">
        <v>0.21</v>
      </c>
      <c r="N975">
        <v>0.83</v>
      </c>
      <c r="O975">
        <v>1416.33</v>
      </c>
      <c r="P975">
        <v>0</v>
      </c>
      <c r="Q975">
        <v>31</v>
      </c>
      <c r="R975">
        <v>4157.1659999999993</v>
      </c>
      <c r="S975">
        <v>9955.1659999999993</v>
      </c>
      <c r="T975">
        <v>-4381.67</v>
      </c>
      <c r="U975">
        <v>0</v>
      </c>
      <c r="V975" s="2" t="s">
        <v>2059</v>
      </c>
      <c r="W975" s="2" t="s">
        <v>2062</v>
      </c>
      <c r="X975">
        <v>11547.683300000001</v>
      </c>
      <c r="Y975">
        <v>-0.75572093825457054</v>
      </c>
      <c r="Z975" s="2" t="s">
        <v>2058</v>
      </c>
    </row>
    <row r="976" spans="1:26" x14ac:dyDescent="0.3">
      <c r="A976" s="2" t="s">
        <v>1994</v>
      </c>
      <c r="B976" s="1">
        <v>45050</v>
      </c>
      <c r="C976" s="2" t="s">
        <v>1995</v>
      </c>
      <c r="D976" s="2" t="s">
        <v>40</v>
      </c>
      <c r="E976">
        <v>23420</v>
      </c>
      <c r="F976">
        <v>11.7</v>
      </c>
      <c r="G976">
        <v>36</v>
      </c>
      <c r="H976" s="2" t="s">
        <v>26</v>
      </c>
      <c r="I976" s="2" t="s">
        <v>73</v>
      </c>
      <c r="J976" s="2" t="s">
        <v>47</v>
      </c>
      <c r="K976">
        <v>116567</v>
      </c>
      <c r="L976" s="2" t="s">
        <v>29</v>
      </c>
      <c r="M976">
        <v>0.23</v>
      </c>
      <c r="N976">
        <v>0.73</v>
      </c>
      <c r="O976">
        <v>5945.15</v>
      </c>
      <c r="P976">
        <v>0</v>
      </c>
      <c r="Q976">
        <v>34</v>
      </c>
      <c r="R976">
        <v>8220.42</v>
      </c>
      <c r="S976">
        <v>31640.42</v>
      </c>
      <c r="T976">
        <v>-17474.849999999999</v>
      </c>
      <c r="U976">
        <v>0</v>
      </c>
      <c r="V976" s="2" t="s">
        <v>2059</v>
      </c>
      <c r="W976" s="2" t="s">
        <v>2064</v>
      </c>
      <c r="X976">
        <v>22834.5</v>
      </c>
      <c r="Y976">
        <v>-0.74615072587532016</v>
      </c>
      <c r="Z976" s="2" t="s">
        <v>2061</v>
      </c>
    </row>
    <row r="977" spans="1:26" x14ac:dyDescent="0.3">
      <c r="A977" s="2" t="s">
        <v>1996</v>
      </c>
      <c r="B977" s="1">
        <v>44789</v>
      </c>
      <c r="C977" s="2" t="s">
        <v>1997</v>
      </c>
      <c r="D977" s="2" t="s">
        <v>65</v>
      </c>
      <c r="E977">
        <v>30300</v>
      </c>
      <c r="F977">
        <v>19.5</v>
      </c>
      <c r="G977">
        <v>36</v>
      </c>
      <c r="H977" s="2" t="s">
        <v>19</v>
      </c>
      <c r="I977" s="2" t="s">
        <v>57</v>
      </c>
      <c r="J977" s="2" t="s">
        <v>28</v>
      </c>
      <c r="K977">
        <v>121748</v>
      </c>
      <c r="L977" s="2" t="s">
        <v>33</v>
      </c>
      <c r="M977">
        <v>0.11</v>
      </c>
      <c r="N977">
        <v>0.6</v>
      </c>
      <c r="O977">
        <v>36208.5</v>
      </c>
      <c r="P977">
        <v>0</v>
      </c>
      <c r="Q977">
        <v>43</v>
      </c>
      <c r="R977">
        <v>17725.5</v>
      </c>
      <c r="S977">
        <v>48025.5</v>
      </c>
      <c r="T977">
        <v>5908.5</v>
      </c>
      <c r="U977">
        <v>0</v>
      </c>
      <c r="V977" s="2" t="s">
        <v>2056</v>
      </c>
      <c r="W977" s="2" t="s">
        <v>2057</v>
      </c>
      <c r="X977">
        <v>49237.5</v>
      </c>
      <c r="Y977">
        <v>0.19500000000000001</v>
      </c>
      <c r="Z977" s="2" t="s">
        <v>2061</v>
      </c>
    </row>
    <row r="978" spans="1:26" x14ac:dyDescent="0.3">
      <c r="A978" s="2" t="s">
        <v>1998</v>
      </c>
      <c r="B978" s="1">
        <v>44910</v>
      </c>
      <c r="C978" s="2" t="s">
        <v>1999</v>
      </c>
      <c r="D978" s="2" t="s">
        <v>40</v>
      </c>
      <c r="E978">
        <v>25345</v>
      </c>
      <c r="F978">
        <v>15.8</v>
      </c>
      <c r="G978">
        <v>36</v>
      </c>
      <c r="H978" s="2" t="s">
        <v>81</v>
      </c>
      <c r="I978" s="2" t="s">
        <v>20</v>
      </c>
      <c r="J978" s="2" t="s">
        <v>37</v>
      </c>
      <c r="K978">
        <v>105886</v>
      </c>
      <c r="L978" s="2" t="s">
        <v>22</v>
      </c>
      <c r="M978">
        <v>0.4</v>
      </c>
      <c r="N978">
        <v>0.85</v>
      </c>
      <c r="O978">
        <v>6434.2</v>
      </c>
      <c r="P978">
        <v>4640.18</v>
      </c>
      <c r="Q978">
        <v>39</v>
      </c>
      <c r="R978">
        <v>12013.53</v>
      </c>
      <c r="S978">
        <v>37358.53</v>
      </c>
      <c r="T978">
        <v>-14270.619999999999</v>
      </c>
      <c r="U978">
        <v>1</v>
      </c>
      <c r="V978" s="2" t="s">
        <v>2063</v>
      </c>
      <c r="W978" s="2" t="s">
        <v>2057</v>
      </c>
      <c r="X978">
        <v>33370.916700000002</v>
      </c>
      <c r="Y978">
        <v>-0.56305464588676268</v>
      </c>
      <c r="Z978" s="2" t="s">
        <v>2058</v>
      </c>
    </row>
    <row r="979" spans="1:26" x14ac:dyDescent="0.3">
      <c r="A979" s="2" t="s">
        <v>2000</v>
      </c>
      <c r="B979" s="1">
        <v>44828</v>
      </c>
      <c r="C979" s="2" t="s">
        <v>2001</v>
      </c>
      <c r="D979" s="2" t="s">
        <v>65</v>
      </c>
      <c r="E979">
        <v>11749</v>
      </c>
      <c r="F979">
        <v>6.2</v>
      </c>
      <c r="G979">
        <v>60</v>
      </c>
      <c r="H979" s="2" t="s">
        <v>19</v>
      </c>
      <c r="I979" s="2" t="s">
        <v>27</v>
      </c>
      <c r="J979" s="2" t="s">
        <v>37</v>
      </c>
      <c r="K979">
        <v>48816</v>
      </c>
      <c r="L979" s="2" t="s">
        <v>29</v>
      </c>
      <c r="M979">
        <v>0.12</v>
      </c>
      <c r="N979">
        <v>0.59</v>
      </c>
      <c r="O979">
        <v>12477.44</v>
      </c>
      <c r="P979">
        <v>0</v>
      </c>
      <c r="Q979">
        <v>41</v>
      </c>
      <c r="R979">
        <v>3642.19</v>
      </c>
      <c r="S979">
        <v>15391.19</v>
      </c>
      <c r="T979">
        <v>728.44000000000051</v>
      </c>
      <c r="U979">
        <v>0</v>
      </c>
      <c r="V979" s="2" t="s">
        <v>2056</v>
      </c>
      <c r="W979" s="2" t="s">
        <v>2060</v>
      </c>
      <c r="X979">
        <v>6070.3167000000003</v>
      </c>
      <c r="Y979">
        <v>6.2000170227253425E-2</v>
      </c>
      <c r="Z979" s="2" t="s">
        <v>2061</v>
      </c>
    </row>
    <row r="980" spans="1:26" x14ac:dyDescent="0.3">
      <c r="A980" s="2" t="s">
        <v>2002</v>
      </c>
      <c r="B980" s="1">
        <v>44255</v>
      </c>
      <c r="C980" s="2" t="s">
        <v>2003</v>
      </c>
      <c r="D980" s="2" t="s">
        <v>53</v>
      </c>
      <c r="E980">
        <v>39595</v>
      </c>
      <c r="F980">
        <v>18.8</v>
      </c>
      <c r="G980">
        <v>60</v>
      </c>
      <c r="H980" s="2" t="s">
        <v>81</v>
      </c>
      <c r="I980" s="2" t="s">
        <v>73</v>
      </c>
      <c r="J980" s="2" t="s">
        <v>37</v>
      </c>
      <c r="K980">
        <v>115824</v>
      </c>
      <c r="L980" s="2" t="s">
        <v>22</v>
      </c>
      <c r="M980">
        <v>0.45</v>
      </c>
      <c r="N980">
        <v>0.62</v>
      </c>
      <c r="O980">
        <v>12429.24</v>
      </c>
      <c r="P980">
        <v>11066.94</v>
      </c>
      <c r="Q980">
        <v>60</v>
      </c>
      <c r="R980">
        <v>37219.299999999996</v>
      </c>
      <c r="S980">
        <v>76814.299999999988</v>
      </c>
      <c r="T980">
        <v>-16098.82</v>
      </c>
      <c r="U980">
        <v>1</v>
      </c>
      <c r="V980" s="2" t="s">
        <v>2063</v>
      </c>
      <c r="W980" s="2" t="s">
        <v>2064</v>
      </c>
      <c r="X980">
        <v>62032.166700000002</v>
      </c>
      <c r="Y980">
        <v>-0.40658719535294857</v>
      </c>
      <c r="Z980" s="2" t="s">
        <v>2058</v>
      </c>
    </row>
    <row r="981" spans="1:26" x14ac:dyDescent="0.3">
      <c r="A981" s="2" t="s">
        <v>2004</v>
      </c>
      <c r="B981" s="1">
        <v>44324</v>
      </c>
      <c r="C981" s="2" t="s">
        <v>2005</v>
      </c>
      <c r="D981" s="2" t="s">
        <v>65</v>
      </c>
      <c r="E981">
        <v>26121</v>
      </c>
      <c r="F981">
        <v>18.8</v>
      </c>
      <c r="G981">
        <v>60</v>
      </c>
      <c r="H981" s="2" t="s">
        <v>315</v>
      </c>
      <c r="I981" s="2" t="s">
        <v>27</v>
      </c>
      <c r="J981" s="2" t="s">
        <v>32</v>
      </c>
      <c r="K981">
        <v>59432</v>
      </c>
      <c r="L981" s="2" t="s">
        <v>29</v>
      </c>
      <c r="M981">
        <v>0.15</v>
      </c>
      <c r="N981">
        <v>0.54</v>
      </c>
      <c r="O981">
        <v>0</v>
      </c>
      <c r="P981">
        <v>0</v>
      </c>
      <c r="Q981">
        <v>58</v>
      </c>
      <c r="R981">
        <v>24553.74</v>
      </c>
      <c r="S981">
        <v>50674.740000000005</v>
      </c>
      <c r="T981">
        <v>-26121</v>
      </c>
      <c r="U981">
        <v>0</v>
      </c>
      <c r="V981" s="2" t="s">
        <v>2063</v>
      </c>
      <c r="W981" s="2" t="s">
        <v>2060</v>
      </c>
      <c r="X981">
        <v>40922.9</v>
      </c>
      <c r="Y981">
        <v>-1</v>
      </c>
      <c r="Z981" s="2" t="s">
        <v>2061</v>
      </c>
    </row>
    <row r="982" spans="1:26" x14ac:dyDescent="0.3">
      <c r="A982" s="2" t="s">
        <v>2006</v>
      </c>
      <c r="B982" s="1">
        <v>44932</v>
      </c>
      <c r="C982" s="2" t="s">
        <v>2007</v>
      </c>
      <c r="D982" s="2" t="s">
        <v>56</v>
      </c>
      <c r="E982">
        <v>38487</v>
      </c>
      <c r="F982">
        <v>23.6</v>
      </c>
      <c r="G982">
        <v>60</v>
      </c>
      <c r="H982" s="2" t="s">
        <v>81</v>
      </c>
      <c r="I982" s="2" t="s">
        <v>20</v>
      </c>
      <c r="J982" s="2" t="s">
        <v>28</v>
      </c>
      <c r="K982">
        <v>139758</v>
      </c>
      <c r="L982" s="2" t="s">
        <v>33</v>
      </c>
      <c r="M982">
        <v>0.17</v>
      </c>
      <c r="N982">
        <v>0.68</v>
      </c>
      <c r="O982">
        <v>7006.59</v>
      </c>
      <c r="P982">
        <v>17357.919999999998</v>
      </c>
      <c r="Q982">
        <v>38</v>
      </c>
      <c r="R982">
        <v>45414.66</v>
      </c>
      <c r="S982">
        <v>83901.66</v>
      </c>
      <c r="T982">
        <v>-14122.490000000002</v>
      </c>
      <c r="U982">
        <v>1</v>
      </c>
      <c r="V982" s="2" t="s">
        <v>2063</v>
      </c>
      <c r="W982" s="2" t="s">
        <v>2057</v>
      </c>
      <c r="X982">
        <v>75691.100000000006</v>
      </c>
      <c r="Y982">
        <v>-0.366941824512173</v>
      </c>
      <c r="Z982" s="2" t="s">
        <v>2061</v>
      </c>
    </row>
    <row r="983" spans="1:26" x14ac:dyDescent="0.3">
      <c r="A983" s="2" t="s">
        <v>2008</v>
      </c>
      <c r="B983" s="1">
        <v>44917</v>
      </c>
      <c r="C983" s="2" t="s">
        <v>2009</v>
      </c>
      <c r="D983" s="2" t="s">
        <v>50</v>
      </c>
      <c r="E983">
        <v>29411</v>
      </c>
      <c r="F983">
        <v>14.9</v>
      </c>
      <c r="G983">
        <v>36</v>
      </c>
      <c r="H983" s="2" t="s">
        <v>26</v>
      </c>
      <c r="I983" s="2" t="s">
        <v>36</v>
      </c>
      <c r="J983" s="2" t="s">
        <v>37</v>
      </c>
      <c r="K983">
        <v>78617</v>
      </c>
      <c r="L983" s="2" t="s">
        <v>22</v>
      </c>
      <c r="M983">
        <v>0.28999999999999998</v>
      </c>
      <c r="N983">
        <v>0.69</v>
      </c>
      <c r="O983">
        <v>3079.75</v>
      </c>
      <c r="P983">
        <v>0</v>
      </c>
      <c r="Q983">
        <v>38</v>
      </c>
      <c r="R983">
        <v>13146.717000000002</v>
      </c>
      <c r="S983">
        <v>42557.717000000004</v>
      </c>
      <c r="T983">
        <v>-26331.25</v>
      </c>
      <c r="U983">
        <v>0</v>
      </c>
      <c r="V983" s="2" t="s">
        <v>2059</v>
      </c>
      <c r="W983" s="2" t="s">
        <v>2062</v>
      </c>
      <c r="X983">
        <v>36518.658300000003</v>
      </c>
      <c r="Y983">
        <v>-0.8952857774302132</v>
      </c>
      <c r="Z983" s="2" t="s">
        <v>2061</v>
      </c>
    </row>
    <row r="984" spans="1:26" x14ac:dyDescent="0.3">
      <c r="A984" s="2" t="s">
        <v>2010</v>
      </c>
      <c r="B984" s="1">
        <v>44722</v>
      </c>
      <c r="C984" s="2" t="s">
        <v>2011</v>
      </c>
      <c r="D984" s="2" t="s">
        <v>18</v>
      </c>
      <c r="E984">
        <v>34361</v>
      </c>
      <c r="F984">
        <v>9.6</v>
      </c>
      <c r="G984">
        <v>60</v>
      </c>
      <c r="H984" s="2" t="s">
        <v>19</v>
      </c>
      <c r="I984" s="2" t="s">
        <v>20</v>
      </c>
      <c r="J984" s="2" t="s">
        <v>37</v>
      </c>
      <c r="K984">
        <v>102373</v>
      </c>
      <c r="L984" s="2" t="s">
        <v>29</v>
      </c>
      <c r="M984">
        <v>0.4</v>
      </c>
      <c r="N984">
        <v>0.73</v>
      </c>
      <c r="O984">
        <v>37659.660000000003</v>
      </c>
      <c r="P984">
        <v>0</v>
      </c>
      <c r="Q984">
        <v>45</v>
      </c>
      <c r="R984">
        <v>16493.28</v>
      </c>
      <c r="S984">
        <v>50854.28</v>
      </c>
      <c r="T984">
        <v>3298.6600000000035</v>
      </c>
      <c r="U984">
        <v>0</v>
      </c>
      <c r="V984" s="2" t="s">
        <v>2056</v>
      </c>
      <c r="W984" s="2" t="s">
        <v>2057</v>
      </c>
      <c r="X984">
        <v>27488.799999999999</v>
      </c>
      <c r="Y984">
        <v>9.6000116411047512E-2</v>
      </c>
      <c r="Z984" s="2" t="s">
        <v>2061</v>
      </c>
    </row>
    <row r="985" spans="1:26" x14ac:dyDescent="0.3">
      <c r="A985" s="2" t="s">
        <v>2012</v>
      </c>
      <c r="B985" s="1">
        <v>44717</v>
      </c>
      <c r="C985" s="2" t="s">
        <v>2013</v>
      </c>
      <c r="D985" s="2" t="s">
        <v>72</v>
      </c>
      <c r="E985">
        <v>22223</v>
      </c>
      <c r="F985">
        <v>5.9</v>
      </c>
      <c r="G985">
        <v>60</v>
      </c>
      <c r="H985" s="2" t="s">
        <v>19</v>
      </c>
      <c r="I985" s="2" t="s">
        <v>57</v>
      </c>
      <c r="J985" s="2" t="s">
        <v>28</v>
      </c>
      <c r="K985">
        <v>64217</v>
      </c>
      <c r="L985" s="2" t="s">
        <v>33</v>
      </c>
      <c r="M985">
        <v>0.16</v>
      </c>
      <c r="N985">
        <v>0.82</v>
      </c>
      <c r="O985">
        <v>23534.16</v>
      </c>
      <c r="P985">
        <v>0</v>
      </c>
      <c r="Q985">
        <v>45</v>
      </c>
      <c r="R985">
        <v>6555.7850000000008</v>
      </c>
      <c r="S985">
        <v>28778.785</v>
      </c>
      <c r="T985">
        <v>1311.1599999999999</v>
      </c>
      <c r="U985">
        <v>0</v>
      </c>
      <c r="V985" s="2" t="s">
        <v>2056</v>
      </c>
      <c r="W985" s="2" t="s">
        <v>2057</v>
      </c>
      <c r="X985">
        <v>10926.308300000001</v>
      </c>
      <c r="Y985">
        <v>5.9000134995275157E-2</v>
      </c>
      <c r="Z985" s="2" t="s">
        <v>2058</v>
      </c>
    </row>
    <row r="986" spans="1:26" x14ac:dyDescent="0.3">
      <c r="A986" s="2" t="s">
        <v>2014</v>
      </c>
      <c r="B986" s="1">
        <v>44748</v>
      </c>
      <c r="C986" s="2" t="s">
        <v>2015</v>
      </c>
      <c r="D986" s="2" t="s">
        <v>50</v>
      </c>
      <c r="E986">
        <v>8394</v>
      </c>
      <c r="F986">
        <v>13.3</v>
      </c>
      <c r="G986">
        <v>36</v>
      </c>
      <c r="H986" s="2" t="s">
        <v>26</v>
      </c>
      <c r="I986" s="2" t="s">
        <v>57</v>
      </c>
      <c r="J986" s="2" t="s">
        <v>47</v>
      </c>
      <c r="K986">
        <v>50884</v>
      </c>
      <c r="L986" s="2" t="s">
        <v>29</v>
      </c>
      <c r="M986">
        <v>0.28000000000000003</v>
      </c>
      <c r="N986">
        <v>0.91</v>
      </c>
      <c r="O986">
        <v>2520.1</v>
      </c>
      <c r="P986">
        <v>0</v>
      </c>
      <c r="Q986">
        <v>44</v>
      </c>
      <c r="R986">
        <v>3349.2060000000001</v>
      </c>
      <c r="S986">
        <v>11743.206</v>
      </c>
      <c r="T986">
        <v>-5873.9</v>
      </c>
      <c r="U986">
        <v>0</v>
      </c>
      <c r="V986" s="2" t="s">
        <v>2059</v>
      </c>
      <c r="W986" s="2" t="s">
        <v>2057</v>
      </c>
      <c r="X986">
        <v>9303.35</v>
      </c>
      <c r="Y986">
        <v>-0.69977364784369789</v>
      </c>
      <c r="Z986" s="2" t="s">
        <v>2058</v>
      </c>
    </row>
    <row r="987" spans="1:26" x14ac:dyDescent="0.3">
      <c r="A987" s="2" t="s">
        <v>2016</v>
      </c>
      <c r="B987" s="1">
        <v>44433</v>
      </c>
      <c r="C987" s="2" t="s">
        <v>2017</v>
      </c>
      <c r="D987" s="2" t="s">
        <v>50</v>
      </c>
      <c r="E987">
        <v>15056</v>
      </c>
      <c r="F987">
        <v>11</v>
      </c>
      <c r="G987">
        <v>60</v>
      </c>
      <c r="H987" s="2" t="s">
        <v>19</v>
      </c>
      <c r="I987" s="2" t="s">
        <v>20</v>
      </c>
      <c r="J987" s="2" t="s">
        <v>37</v>
      </c>
      <c r="K987">
        <v>35454</v>
      </c>
      <c r="L987" s="2" t="s">
        <v>22</v>
      </c>
      <c r="M987">
        <v>0.28999999999999998</v>
      </c>
      <c r="N987">
        <v>0.56000000000000005</v>
      </c>
      <c r="O987">
        <v>16712.16</v>
      </c>
      <c r="P987">
        <v>0</v>
      </c>
      <c r="Q987">
        <v>54</v>
      </c>
      <c r="R987">
        <v>8280.8000000000011</v>
      </c>
      <c r="S987">
        <v>23336.800000000003</v>
      </c>
      <c r="T987">
        <v>1656.1599999999999</v>
      </c>
      <c r="U987">
        <v>0</v>
      </c>
      <c r="V987" s="2" t="s">
        <v>2056</v>
      </c>
      <c r="W987" s="2" t="s">
        <v>2057</v>
      </c>
      <c r="X987">
        <v>13801.3333</v>
      </c>
      <c r="Y987">
        <v>0.10999999999999999</v>
      </c>
      <c r="Z987" s="2" t="s">
        <v>2061</v>
      </c>
    </row>
    <row r="988" spans="1:26" x14ac:dyDescent="0.3">
      <c r="A988" s="2" t="s">
        <v>2018</v>
      </c>
      <c r="B988" s="1">
        <v>44690</v>
      </c>
      <c r="C988" s="2" t="s">
        <v>2019</v>
      </c>
      <c r="D988" s="2" t="s">
        <v>76</v>
      </c>
      <c r="E988">
        <v>29380</v>
      </c>
      <c r="F988">
        <v>20.2</v>
      </c>
      <c r="G988">
        <v>60</v>
      </c>
      <c r="H988" s="2" t="s">
        <v>19</v>
      </c>
      <c r="I988" s="2" t="s">
        <v>73</v>
      </c>
      <c r="J988" s="2" t="s">
        <v>47</v>
      </c>
      <c r="K988">
        <v>104960</v>
      </c>
      <c r="L988" s="2" t="s">
        <v>22</v>
      </c>
      <c r="M988">
        <v>0.18</v>
      </c>
      <c r="N988">
        <v>0.52</v>
      </c>
      <c r="O988">
        <v>35314.76</v>
      </c>
      <c r="P988">
        <v>0</v>
      </c>
      <c r="Q988">
        <v>46</v>
      </c>
      <c r="R988">
        <v>29673.800000000003</v>
      </c>
      <c r="S988">
        <v>59053.8</v>
      </c>
      <c r="T988">
        <v>5934.760000000002</v>
      </c>
      <c r="U988">
        <v>0</v>
      </c>
      <c r="V988" s="2" t="s">
        <v>2056</v>
      </c>
      <c r="W988" s="2" t="s">
        <v>2064</v>
      </c>
      <c r="X988">
        <v>49456.333299999998</v>
      </c>
      <c r="Y988">
        <v>0.20200000000000007</v>
      </c>
      <c r="Z988" s="2" t="s">
        <v>2061</v>
      </c>
    </row>
    <row r="989" spans="1:26" x14ac:dyDescent="0.3">
      <c r="A989" s="2" t="s">
        <v>2020</v>
      </c>
      <c r="B989" s="1">
        <v>44200</v>
      </c>
      <c r="C989" s="2" t="s">
        <v>2021</v>
      </c>
      <c r="D989" s="2" t="s">
        <v>46</v>
      </c>
      <c r="E989">
        <v>27035</v>
      </c>
      <c r="F989">
        <v>12.1</v>
      </c>
      <c r="G989">
        <v>36</v>
      </c>
      <c r="H989" s="2" t="s">
        <v>26</v>
      </c>
      <c r="I989" s="2" t="s">
        <v>27</v>
      </c>
      <c r="J989" s="2" t="s">
        <v>37</v>
      </c>
      <c r="K989">
        <v>132421</v>
      </c>
      <c r="L989" s="2" t="s">
        <v>22</v>
      </c>
      <c r="M989">
        <v>0.15</v>
      </c>
      <c r="N989">
        <v>0.51</v>
      </c>
      <c r="O989">
        <v>5329.68</v>
      </c>
      <c r="P989">
        <v>0</v>
      </c>
      <c r="Q989">
        <v>62</v>
      </c>
      <c r="R989">
        <v>9813.7049999999999</v>
      </c>
      <c r="S989">
        <v>36848.705000000002</v>
      </c>
      <c r="T989">
        <v>-21705.32</v>
      </c>
      <c r="U989">
        <v>0</v>
      </c>
      <c r="V989" s="2" t="s">
        <v>2059</v>
      </c>
      <c r="W989" s="2" t="s">
        <v>2060</v>
      </c>
      <c r="X989">
        <v>27260.291700000002</v>
      </c>
      <c r="Y989">
        <v>-0.80285999630109117</v>
      </c>
      <c r="Z989" s="2" t="s">
        <v>2061</v>
      </c>
    </row>
    <row r="990" spans="1:26" x14ac:dyDescent="0.3">
      <c r="A990" s="2" t="s">
        <v>2022</v>
      </c>
      <c r="B990" s="1">
        <v>44862</v>
      </c>
      <c r="C990" s="2" t="s">
        <v>2023</v>
      </c>
      <c r="D990" s="2" t="s">
        <v>46</v>
      </c>
      <c r="E990">
        <v>31620</v>
      </c>
      <c r="F990">
        <v>24</v>
      </c>
      <c r="G990">
        <v>36</v>
      </c>
      <c r="H990" s="2" t="s">
        <v>19</v>
      </c>
      <c r="I990" s="2" t="s">
        <v>84</v>
      </c>
      <c r="J990" s="2" t="s">
        <v>21</v>
      </c>
      <c r="K990">
        <v>137173</v>
      </c>
      <c r="L990" s="2" t="s">
        <v>22</v>
      </c>
      <c r="M990">
        <v>0.43</v>
      </c>
      <c r="N990">
        <v>0.56000000000000005</v>
      </c>
      <c r="O990">
        <v>39208.800000000003</v>
      </c>
      <c r="P990">
        <v>0</v>
      </c>
      <c r="Q990">
        <v>40</v>
      </c>
      <c r="R990">
        <v>22766.399999999998</v>
      </c>
      <c r="S990">
        <v>54386.399999999994</v>
      </c>
      <c r="T990">
        <v>7588.8000000000029</v>
      </c>
      <c r="U990">
        <v>0</v>
      </c>
      <c r="V990" s="2" t="s">
        <v>2056</v>
      </c>
      <c r="W990" s="2" t="s">
        <v>2062</v>
      </c>
      <c r="X990">
        <v>63240</v>
      </c>
      <c r="Y990">
        <v>0.2400000000000001</v>
      </c>
      <c r="Z990" s="2" t="s">
        <v>2058</v>
      </c>
    </row>
    <row r="991" spans="1:26" x14ac:dyDescent="0.3">
      <c r="A991" s="2" t="s">
        <v>2024</v>
      </c>
      <c r="B991" s="1">
        <v>44638</v>
      </c>
      <c r="C991" s="2" t="s">
        <v>2025</v>
      </c>
      <c r="D991" s="2" t="s">
        <v>25</v>
      </c>
      <c r="E991">
        <v>20877</v>
      </c>
      <c r="F991">
        <v>24.2</v>
      </c>
      <c r="G991">
        <v>36</v>
      </c>
      <c r="H991" s="2" t="s">
        <v>81</v>
      </c>
      <c r="I991" s="2" t="s">
        <v>84</v>
      </c>
      <c r="J991" s="2" t="s">
        <v>32</v>
      </c>
      <c r="K991">
        <v>73618</v>
      </c>
      <c r="L991" s="2" t="s">
        <v>33</v>
      </c>
      <c r="M991">
        <v>0.3</v>
      </c>
      <c r="N991">
        <v>0.8</v>
      </c>
      <c r="O991">
        <v>4859.07</v>
      </c>
      <c r="P991">
        <v>9308.75</v>
      </c>
      <c r="Q991">
        <v>48</v>
      </c>
      <c r="R991">
        <v>15156.701999999997</v>
      </c>
      <c r="S991">
        <v>36033.701999999997</v>
      </c>
      <c r="T991">
        <v>-6709.18</v>
      </c>
      <c r="U991">
        <v>1</v>
      </c>
      <c r="V991" s="2" t="s">
        <v>2063</v>
      </c>
      <c r="W991" s="2" t="s">
        <v>2062</v>
      </c>
      <c r="X991">
        <v>42101.95</v>
      </c>
      <c r="Y991">
        <v>-0.32136705465344639</v>
      </c>
      <c r="Z991" s="2" t="s">
        <v>2061</v>
      </c>
    </row>
    <row r="992" spans="1:26" x14ac:dyDescent="0.3">
      <c r="A992" s="2" t="s">
        <v>2026</v>
      </c>
      <c r="B992" s="1">
        <v>44225</v>
      </c>
      <c r="C992" s="2" t="s">
        <v>2027</v>
      </c>
      <c r="D992" s="2" t="s">
        <v>72</v>
      </c>
      <c r="E992">
        <v>31911</v>
      </c>
      <c r="F992">
        <v>17.399999999999999</v>
      </c>
      <c r="G992">
        <v>60</v>
      </c>
      <c r="H992" s="2" t="s">
        <v>26</v>
      </c>
      <c r="I992" s="2" t="s">
        <v>73</v>
      </c>
      <c r="J992" s="2" t="s">
        <v>37</v>
      </c>
      <c r="K992">
        <v>113948</v>
      </c>
      <c r="L992" s="2" t="s">
        <v>29</v>
      </c>
      <c r="M992">
        <v>0.11</v>
      </c>
      <c r="N992">
        <v>0.83</v>
      </c>
      <c r="O992">
        <v>10885.67</v>
      </c>
      <c r="P992">
        <v>0</v>
      </c>
      <c r="Q992">
        <v>61</v>
      </c>
      <c r="R992">
        <v>27762.569999999996</v>
      </c>
      <c r="S992">
        <v>59673.569999999992</v>
      </c>
      <c r="T992">
        <v>-21025.33</v>
      </c>
      <c r="U992">
        <v>0</v>
      </c>
      <c r="V992" s="2" t="s">
        <v>2059</v>
      </c>
      <c r="W992" s="2" t="s">
        <v>2064</v>
      </c>
      <c r="X992">
        <v>46270.95</v>
      </c>
      <c r="Y992">
        <v>-0.65887405596816151</v>
      </c>
      <c r="Z992" s="2" t="s">
        <v>2058</v>
      </c>
    </row>
    <row r="993" spans="1:26" x14ac:dyDescent="0.3">
      <c r="A993" s="2" t="s">
        <v>2028</v>
      </c>
      <c r="B993" s="1">
        <v>44806</v>
      </c>
      <c r="C993" s="2" t="s">
        <v>2029</v>
      </c>
      <c r="D993" s="2" t="s">
        <v>53</v>
      </c>
      <c r="E993">
        <v>33784</v>
      </c>
      <c r="F993">
        <v>23.6</v>
      </c>
      <c r="G993">
        <v>60</v>
      </c>
      <c r="H993" s="2" t="s">
        <v>26</v>
      </c>
      <c r="I993" s="2" t="s">
        <v>27</v>
      </c>
      <c r="J993" s="2" t="s">
        <v>21</v>
      </c>
      <c r="K993">
        <v>92671</v>
      </c>
      <c r="L993" s="2" t="s">
        <v>33</v>
      </c>
      <c r="M993">
        <v>0.42</v>
      </c>
      <c r="N993">
        <v>0.85</v>
      </c>
      <c r="O993">
        <v>9201.2900000000009</v>
      </c>
      <c r="P993">
        <v>0</v>
      </c>
      <c r="Q993">
        <v>42</v>
      </c>
      <c r="R993">
        <v>39865.120000000003</v>
      </c>
      <c r="S993">
        <v>73649.119999999995</v>
      </c>
      <c r="T993">
        <v>-24582.71</v>
      </c>
      <c r="U993">
        <v>0</v>
      </c>
      <c r="V993" s="2" t="s">
        <v>2059</v>
      </c>
      <c r="W993" s="2" t="s">
        <v>2060</v>
      </c>
      <c r="X993">
        <v>66441.866699999999</v>
      </c>
      <c r="Y993">
        <v>-0.7276435590812218</v>
      </c>
      <c r="Z993" s="2" t="s">
        <v>2058</v>
      </c>
    </row>
    <row r="994" spans="1:26" x14ac:dyDescent="0.3">
      <c r="A994" s="2" t="s">
        <v>2030</v>
      </c>
      <c r="B994" s="1">
        <v>45001</v>
      </c>
      <c r="C994" s="2" t="s">
        <v>2031</v>
      </c>
      <c r="D994" s="2" t="s">
        <v>18</v>
      </c>
      <c r="E994">
        <v>4191</v>
      </c>
      <c r="F994">
        <v>20.2</v>
      </c>
      <c r="G994">
        <v>36</v>
      </c>
      <c r="H994" s="2" t="s">
        <v>26</v>
      </c>
      <c r="I994" s="2" t="s">
        <v>20</v>
      </c>
      <c r="J994" s="2" t="s">
        <v>28</v>
      </c>
      <c r="K994">
        <v>77111</v>
      </c>
      <c r="L994" s="2" t="s">
        <v>22</v>
      </c>
      <c r="M994">
        <v>0.49</v>
      </c>
      <c r="N994">
        <v>0.61</v>
      </c>
      <c r="O994">
        <v>1379.36</v>
      </c>
      <c r="P994">
        <v>0</v>
      </c>
      <c r="Q994">
        <v>36</v>
      </c>
      <c r="R994">
        <v>2539.7460000000001</v>
      </c>
      <c r="S994">
        <v>6730.7460000000001</v>
      </c>
      <c r="T994">
        <v>-2811.6400000000003</v>
      </c>
      <c r="U994">
        <v>0</v>
      </c>
      <c r="V994" s="2" t="s">
        <v>2059</v>
      </c>
      <c r="W994" s="2" t="s">
        <v>2057</v>
      </c>
      <c r="X994">
        <v>7054.85</v>
      </c>
      <c r="Y994">
        <v>-0.67087568599379632</v>
      </c>
      <c r="Z994" s="2" t="s">
        <v>2058</v>
      </c>
    </row>
    <row r="995" spans="1:26" x14ac:dyDescent="0.3">
      <c r="A995" s="2" t="s">
        <v>2032</v>
      </c>
      <c r="B995" s="1">
        <v>44271</v>
      </c>
      <c r="C995" s="2" t="s">
        <v>2033</v>
      </c>
      <c r="D995" s="2" t="s">
        <v>18</v>
      </c>
      <c r="E995">
        <v>34160</v>
      </c>
      <c r="F995">
        <v>15.9</v>
      </c>
      <c r="G995">
        <v>36</v>
      </c>
      <c r="H995" s="2" t="s">
        <v>81</v>
      </c>
      <c r="I995" s="2" t="s">
        <v>73</v>
      </c>
      <c r="J995" s="2" t="s">
        <v>21</v>
      </c>
      <c r="K995">
        <v>69613</v>
      </c>
      <c r="L995" s="2" t="s">
        <v>29</v>
      </c>
      <c r="M995">
        <v>0.34</v>
      </c>
      <c r="N995">
        <v>0.64</v>
      </c>
      <c r="O995">
        <v>8992.9599999999991</v>
      </c>
      <c r="P995">
        <v>10741.33</v>
      </c>
      <c r="Q995">
        <v>60</v>
      </c>
      <c r="R995">
        <v>16294.32</v>
      </c>
      <c r="S995">
        <v>50454.32</v>
      </c>
      <c r="T995">
        <v>-14425.71</v>
      </c>
      <c r="U995">
        <v>1</v>
      </c>
      <c r="V995" s="2" t="s">
        <v>2063</v>
      </c>
      <c r="W995" s="2" t="s">
        <v>2064</v>
      </c>
      <c r="X995">
        <v>45262</v>
      </c>
      <c r="Y995">
        <v>-0.42229830210772829</v>
      </c>
      <c r="Z995" s="2" t="s">
        <v>2061</v>
      </c>
    </row>
    <row r="996" spans="1:26" x14ac:dyDescent="0.3">
      <c r="A996" s="2" t="s">
        <v>2034</v>
      </c>
      <c r="B996" s="1">
        <v>45034</v>
      </c>
      <c r="C996" s="2" t="s">
        <v>2035</v>
      </c>
      <c r="D996" s="2" t="s">
        <v>46</v>
      </c>
      <c r="E996">
        <v>26000</v>
      </c>
      <c r="F996">
        <v>8.6</v>
      </c>
      <c r="G996">
        <v>60</v>
      </c>
      <c r="H996" s="2" t="s">
        <v>26</v>
      </c>
      <c r="I996" s="2" t="s">
        <v>20</v>
      </c>
      <c r="J996" s="2" t="s">
        <v>28</v>
      </c>
      <c r="K996">
        <v>115678</v>
      </c>
      <c r="L996" s="2" t="s">
        <v>22</v>
      </c>
      <c r="M996">
        <v>0.3</v>
      </c>
      <c r="N996">
        <v>0.72</v>
      </c>
      <c r="O996">
        <v>9955.6200000000008</v>
      </c>
      <c r="P996">
        <v>0</v>
      </c>
      <c r="Q996">
        <v>35</v>
      </c>
      <c r="R996">
        <v>11180</v>
      </c>
      <c r="S996">
        <v>37180</v>
      </c>
      <c r="T996">
        <v>-16044.38</v>
      </c>
      <c r="U996">
        <v>0</v>
      </c>
      <c r="V996" s="2" t="s">
        <v>2059</v>
      </c>
      <c r="W996" s="2" t="s">
        <v>2057</v>
      </c>
      <c r="X996">
        <v>18633.333299999998</v>
      </c>
      <c r="Y996">
        <v>-0.61709153846153841</v>
      </c>
      <c r="Z996" s="2" t="s">
        <v>2061</v>
      </c>
    </row>
    <row r="997" spans="1:26" x14ac:dyDescent="0.3">
      <c r="A997" s="2" t="s">
        <v>2036</v>
      </c>
      <c r="B997" s="1">
        <v>44324</v>
      </c>
      <c r="C997" s="2" t="s">
        <v>2037</v>
      </c>
      <c r="D997" s="2" t="s">
        <v>50</v>
      </c>
      <c r="E997">
        <v>4631</v>
      </c>
      <c r="F997">
        <v>14.2</v>
      </c>
      <c r="G997">
        <v>36</v>
      </c>
      <c r="H997" s="2" t="s">
        <v>26</v>
      </c>
      <c r="I997" s="2" t="s">
        <v>57</v>
      </c>
      <c r="J997" s="2" t="s">
        <v>37</v>
      </c>
      <c r="K997">
        <v>132928</v>
      </c>
      <c r="L997" s="2" t="s">
        <v>33</v>
      </c>
      <c r="M997">
        <v>0.45</v>
      </c>
      <c r="N997">
        <v>0.53</v>
      </c>
      <c r="O997">
        <v>1702.69</v>
      </c>
      <c r="P997">
        <v>0</v>
      </c>
      <c r="Q997">
        <v>58</v>
      </c>
      <c r="R997">
        <v>1972.8059999999998</v>
      </c>
      <c r="S997">
        <v>6603.8059999999996</v>
      </c>
      <c r="T997">
        <v>-2928.31</v>
      </c>
      <c r="U997">
        <v>0</v>
      </c>
      <c r="V997" s="2" t="s">
        <v>2059</v>
      </c>
      <c r="W997" s="2" t="s">
        <v>2057</v>
      </c>
      <c r="X997">
        <v>5480.0167000000001</v>
      </c>
      <c r="Y997">
        <v>-0.63232779097387171</v>
      </c>
      <c r="Z997" s="2" t="s">
        <v>2058</v>
      </c>
    </row>
    <row r="998" spans="1:26" x14ac:dyDescent="0.3">
      <c r="A998" s="2" t="s">
        <v>2038</v>
      </c>
      <c r="B998" s="1">
        <v>44238</v>
      </c>
      <c r="C998" s="2" t="s">
        <v>2039</v>
      </c>
      <c r="D998" s="2" t="s">
        <v>56</v>
      </c>
      <c r="E998">
        <v>7172</v>
      </c>
      <c r="F998">
        <v>16.2</v>
      </c>
      <c r="G998">
        <v>60</v>
      </c>
      <c r="H998" s="2" t="s">
        <v>19</v>
      </c>
      <c r="I998" s="2" t="s">
        <v>57</v>
      </c>
      <c r="J998" s="2" t="s">
        <v>28</v>
      </c>
      <c r="K998">
        <v>89993</v>
      </c>
      <c r="L998" s="2" t="s">
        <v>33</v>
      </c>
      <c r="M998">
        <v>0.48</v>
      </c>
      <c r="N998">
        <v>0.78</v>
      </c>
      <c r="O998">
        <v>8333.86</v>
      </c>
      <c r="P998">
        <v>0</v>
      </c>
      <c r="Q998">
        <v>61</v>
      </c>
      <c r="R998">
        <v>5809.32</v>
      </c>
      <c r="S998">
        <v>12981.32</v>
      </c>
      <c r="T998">
        <v>1161.8600000000006</v>
      </c>
      <c r="U998">
        <v>0</v>
      </c>
      <c r="V998" s="2" t="s">
        <v>2056</v>
      </c>
      <c r="W998" s="2" t="s">
        <v>2057</v>
      </c>
      <c r="X998">
        <v>9682.2000000000007</v>
      </c>
      <c r="Y998">
        <v>0.16199944227551596</v>
      </c>
      <c r="Z998" s="2" t="s">
        <v>2058</v>
      </c>
    </row>
    <row r="999" spans="1:26" x14ac:dyDescent="0.3">
      <c r="A999" s="2" t="s">
        <v>2040</v>
      </c>
      <c r="B999" s="1">
        <v>44237</v>
      </c>
      <c r="C999" s="2" t="s">
        <v>2041</v>
      </c>
      <c r="D999" s="2" t="s">
        <v>25</v>
      </c>
      <c r="E999">
        <v>24561</v>
      </c>
      <c r="F999">
        <v>22.3</v>
      </c>
      <c r="G999">
        <v>36</v>
      </c>
      <c r="H999" s="2" t="s">
        <v>81</v>
      </c>
      <c r="I999" s="2" t="s">
        <v>57</v>
      </c>
      <c r="J999" s="2" t="s">
        <v>21</v>
      </c>
      <c r="K999">
        <v>38848</v>
      </c>
      <c r="L999" s="2" t="s">
        <v>33</v>
      </c>
      <c r="M999">
        <v>0.4</v>
      </c>
      <c r="N999">
        <v>0.94</v>
      </c>
      <c r="O999">
        <v>6392.17</v>
      </c>
      <c r="P999">
        <v>9431.07</v>
      </c>
      <c r="Q999">
        <v>61</v>
      </c>
      <c r="R999">
        <v>16431.309000000001</v>
      </c>
      <c r="S999">
        <v>40992.309000000001</v>
      </c>
      <c r="T999">
        <v>-8737.76</v>
      </c>
      <c r="U999">
        <v>1</v>
      </c>
      <c r="V999" s="2" t="s">
        <v>2063</v>
      </c>
      <c r="W999" s="2" t="s">
        <v>2057</v>
      </c>
      <c r="X999">
        <v>45642.525000000001</v>
      </c>
      <c r="Y999">
        <v>-0.35575750173038556</v>
      </c>
      <c r="Z999" s="2" t="s">
        <v>2058</v>
      </c>
    </row>
    <row r="1000" spans="1:26" x14ac:dyDescent="0.3">
      <c r="A1000" s="2" t="s">
        <v>2042</v>
      </c>
      <c r="B1000" s="1">
        <v>45130</v>
      </c>
      <c r="C1000" s="2" t="s">
        <v>2043</v>
      </c>
      <c r="D1000" s="2" t="s">
        <v>65</v>
      </c>
      <c r="E1000">
        <v>25817</v>
      </c>
      <c r="F1000">
        <v>14.6</v>
      </c>
      <c r="G1000">
        <v>36</v>
      </c>
      <c r="H1000" s="2" t="s">
        <v>26</v>
      </c>
      <c r="I1000" s="2" t="s">
        <v>73</v>
      </c>
      <c r="J1000" s="2" t="s">
        <v>32</v>
      </c>
      <c r="K1000">
        <v>144853</v>
      </c>
      <c r="L1000" s="2" t="s">
        <v>29</v>
      </c>
      <c r="M1000">
        <v>0.28000000000000003</v>
      </c>
      <c r="N1000">
        <v>0.66</v>
      </c>
      <c r="O1000">
        <v>9178.11</v>
      </c>
      <c r="P1000">
        <v>0</v>
      </c>
      <c r="Q1000">
        <v>31</v>
      </c>
      <c r="R1000">
        <v>11307.846</v>
      </c>
      <c r="S1000">
        <v>37124.845999999998</v>
      </c>
      <c r="T1000">
        <v>-16638.89</v>
      </c>
      <c r="U1000">
        <v>0</v>
      </c>
      <c r="V1000" s="2" t="s">
        <v>2059</v>
      </c>
      <c r="W1000" s="2" t="s">
        <v>2064</v>
      </c>
      <c r="X1000">
        <v>31410.683300000001</v>
      </c>
      <c r="Y1000">
        <v>-0.64449355076112635</v>
      </c>
      <c r="Z1000" s="2" t="s">
        <v>2061</v>
      </c>
    </row>
    <row r="1001" spans="1:26" x14ac:dyDescent="0.3">
      <c r="A1001" s="2" t="s">
        <v>2044</v>
      </c>
      <c r="B1001" s="1">
        <v>44230</v>
      </c>
      <c r="C1001" s="2" t="s">
        <v>2045</v>
      </c>
      <c r="D1001" s="2" t="s">
        <v>25</v>
      </c>
      <c r="E1001">
        <v>21281</v>
      </c>
      <c r="F1001">
        <v>23</v>
      </c>
      <c r="G1001">
        <v>60</v>
      </c>
      <c r="H1001" s="2" t="s">
        <v>19</v>
      </c>
      <c r="I1001" s="2" t="s">
        <v>36</v>
      </c>
      <c r="J1001" s="2" t="s">
        <v>47</v>
      </c>
      <c r="K1001">
        <v>108672</v>
      </c>
      <c r="L1001" s="2" t="s">
        <v>29</v>
      </c>
      <c r="M1001">
        <v>0.34</v>
      </c>
      <c r="N1001">
        <v>0.84</v>
      </c>
      <c r="O1001">
        <v>26175.63</v>
      </c>
      <c r="P1001">
        <v>0</v>
      </c>
      <c r="Q1001">
        <v>61</v>
      </c>
      <c r="R1001">
        <v>24473.149999999998</v>
      </c>
      <c r="S1001">
        <v>45754.149999999994</v>
      </c>
      <c r="T1001">
        <v>4894.630000000001</v>
      </c>
      <c r="U1001">
        <v>0</v>
      </c>
      <c r="V1001" s="2" t="s">
        <v>2056</v>
      </c>
      <c r="W1001" s="2" t="s">
        <v>2062</v>
      </c>
      <c r="X1001">
        <v>40788.583299999998</v>
      </c>
      <c r="Y1001">
        <v>0.23000000000000004</v>
      </c>
      <c r="Z1001" s="2" t="s">
        <v>2058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5DFA5B-B5C0-41B3-84CE-0AD6E26EB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banking_loan_data</vt:lpstr>
      <vt:lpstr>Loan status</vt:lpstr>
      <vt:lpstr>Loan grade</vt:lpstr>
      <vt:lpstr>Loan intent</vt:lpstr>
      <vt:lpstr>Monthly loan trend</vt:lpstr>
      <vt:lpstr>Distribution by loan grade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sai</dc:creator>
  <cp:lastModifiedBy>lakshman sai</cp:lastModifiedBy>
  <dcterms:created xsi:type="dcterms:W3CDTF">2026-03-19T06:28:59Z</dcterms:created>
  <dcterms:modified xsi:type="dcterms:W3CDTF">2026-03-19T11:57:26Z</dcterms:modified>
</cp:coreProperties>
</file>